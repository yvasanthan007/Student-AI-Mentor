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  <sheet name="Summary" sheetId="2" state="visible" r:id="rId4"/>
  </sheets>
  <definedNames>
    <definedName function="false" hidden="true" localSheetId="0" name="_xlnm._FilterDatabase" vbProcedure="false">Master!$A$1:$AF$897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<sst xmlns="http://schemas.openxmlformats.org/spreadsheetml/2006/main" count="14385" uniqueCount="4930">
  <si>
    <t xml:space="preserve">S.No</t>
  </si>
  <si>
    <t xml:space="preserve">Name</t>
  </si>
  <si>
    <t xml:space="preserve">Department</t>
  </si>
  <si>
    <t xml:space="preserve">Roll No</t>
  </si>
  <si>
    <t xml:space="preserve">Category</t>
  </si>
  <si>
    <t xml:space="preserve">Valid Upto</t>
  </si>
  <si>
    <t xml:space="preserve">Blood Group</t>
  </si>
  <si>
    <t xml:space="preserve">Date of Birth</t>
  </si>
  <si>
    <t xml:space="preserve">Residential Address</t>
  </si>
  <si>
    <t xml:space="preserve">Mobile No</t>
  </si>
  <si>
    <t xml:space="preserve">Emergency Contact No</t>
  </si>
  <si>
    <t xml:space="preserve">PDS Mark</t>
  </si>
  <si>
    <t xml:space="preserve">PDS Grade</t>
  </si>
  <si>
    <t xml:space="preserve">PDS %</t>
  </si>
  <si>
    <t xml:space="preserve">ADS Mark</t>
  </si>
  <si>
    <t xml:space="preserve">ADS Grade</t>
  </si>
  <si>
    <t xml:space="preserve">ADS %</t>
  </si>
  <si>
    <t xml:space="preserve">DAA Mark</t>
  </si>
  <si>
    <t xml:space="preserve">DAA Grade</t>
  </si>
  <si>
    <t xml:space="preserve">DAA %</t>
  </si>
  <si>
    <t xml:space="preserve">DBMS Mark</t>
  </si>
  <si>
    <t xml:space="preserve">DBMS Grade</t>
  </si>
  <si>
    <t xml:space="preserve">DBMS %</t>
  </si>
  <si>
    <t xml:space="preserve">AJP Mark</t>
  </si>
  <si>
    <t xml:space="preserve">AJP Grade</t>
  </si>
  <si>
    <t xml:space="preserve">AJP %</t>
  </si>
  <si>
    <t xml:space="preserve">OOPS Mark</t>
  </si>
  <si>
    <t xml:space="preserve">OOPS Grade</t>
  </si>
  <si>
    <t xml:space="preserve">OOPS %</t>
  </si>
  <si>
    <t xml:space="preserve">Total Marks</t>
  </si>
  <si>
    <t xml:space="preserve">Average %</t>
  </si>
  <si>
    <t xml:space="preserve">Overall Result</t>
  </si>
  <si>
    <t xml:space="preserve">ABHIRAJ KUMAR</t>
  </si>
  <si>
    <t xml:space="preserve">B.E-CSE(CYBER)</t>
  </si>
  <si>
    <t xml:space="preserve">24CY001</t>
  </si>
  <si>
    <t xml:space="preserve">Hosteller</t>
  </si>
  <si>
    <t xml:space="preserve">2027-05-31</t>
  </si>
  <si>
    <t xml:space="preserve">AB+</t>
  </si>
  <si>
    <t xml:space="preserve">2004-10-29</t>
  </si>
  <si>
    <t xml:space="preserve">460 Main Road, Coimbatore</t>
  </si>
  <si>
    <t xml:space="preserve">9268574666</t>
  </si>
  <si>
    <t xml:space="preserve">8109568700</t>
  </si>
  <si>
    <t xml:space="preserve">A+</t>
  </si>
  <si>
    <t xml:space="preserve">A</t>
  </si>
  <si>
    <t xml:space="preserve">B+</t>
  </si>
  <si>
    <t xml:space="preserve">RA</t>
  </si>
  <si>
    <t xml:space="preserve">ADHARSHA S T</t>
  </si>
  <si>
    <t xml:space="preserve">24CY002</t>
  </si>
  <si>
    <t xml:space="preserve">O-</t>
  </si>
  <si>
    <t xml:space="preserve">2002-08-25</t>
  </si>
  <si>
    <t xml:space="preserve">485 Main Road, Coimbatore</t>
  </si>
  <si>
    <t xml:space="preserve">9020642028</t>
  </si>
  <si>
    <t xml:space="preserve">8443228721</t>
  </si>
  <si>
    <t xml:space="preserve">B</t>
  </si>
  <si>
    <t xml:space="preserve">O</t>
  </si>
  <si>
    <t xml:space="preserve">AFTHAF AHAMED A</t>
  </si>
  <si>
    <t xml:space="preserve">24CY003</t>
  </si>
  <si>
    <t xml:space="preserve">Dayscholar</t>
  </si>
  <si>
    <t xml:space="preserve">2002-08-14</t>
  </si>
  <si>
    <t xml:space="preserve">660 Main Road, Coimbatore</t>
  </si>
  <si>
    <t xml:space="preserve">9302575995</t>
  </si>
  <si>
    <t xml:space="preserve">8686948428</t>
  </si>
  <si>
    <t xml:space="preserve">AKALYA M</t>
  </si>
  <si>
    <t xml:space="preserve">24CY004</t>
  </si>
  <si>
    <t xml:space="preserve">O+</t>
  </si>
  <si>
    <t xml:space="preserve">2004-03-29</t>
  </si>
  <si>
    <t xml:space="preserve">727 Main Road, Coimbatore</t>
  </si>
  <si>
    <t xml:space="preserve">9020872140</t>
  </si>
  <si>
    <t xml:space="preserve">8936698460</t>
  </si>
  <si>
    <t xml:space="preserve">AKASH S</t>
  </si>
  <si>
    <t xml:space="preserve">24CY005</t>
  </si>
  <si>
    <t xml:space="preserve">B-</t>
  </si>
  <si>
    <t xml:space="preserve">2005-12-27</t>
  </si>
  <si>
    <t xml:space="preserve">35 Main Road, Coimbatore</t>
  </si>
  <si>
    <t xml:space="preserve">9588104505</t>
  </si>
  <si>
    <t xml:space="preserve">8149738682</t>
  </si>
  <si>
    <t xml:space="preserve">AKHILESH S</t>
  </si>
  <si>
    <t xml:space="preserve">24CY006</t>
  </si>
  <si>
    <t xml:space="preserve">A-</t>
  </si>
  <si>
    <t xml:space="preserve">2002-03-18</t>
  </si>
  <si>
    <t xml:space="preserve">327 Main Road, Coimbatore</t>
  </si>
  <si>
    <t xml:space="preserve">9570930291</t>
  </si>
  <si>
    <t xml:space="preserve">8050400691</t>
  </si>
  <si>
    <t xml:space="preserve">AKSHAYA V L</t>
  </si>
  <si>
    <t xml:space="preserve">24CY007</t>
  </si>
  <si>
    <t xml:space="preserve">2002-03-17</t>
  </si>
  <si>
    <t xml:space="preserve">350 Main Road, Coimbatore</t>
  </si>
  <si>
    <t xml:space="preserve">9338132305</t>
  </si>
  <si>
    <t xml:space="preserve">8620626809</t>
  </si>
  <si>
    <t xml:space="preserve">AKSHITA K</t>
  </si>
  <si>
    <t xml:space="preserve">24CY008</t>
  </si>
  <si>
    <t xml:space="preserve">AB-</t>
  </si>
  <si>
    <t xml:space="preserve">2003-06-16</t>
  </si>
  <si>
    <t xml:space="preserve">587 Main Road, Coimbatore</t>
  </si>
  <si>
    <t xml:space="preserve">9594220980</t>
  </si>
  <si>
    <t xml:space="preserve">8827664779</t>
  </si>
  <si>
    <t xml:space="preserve">AKSHIYA C</t>
  </si>
  <si>
    <t xml:space="preserve">24CY009</t>
  </si>
  <si>
    <t xml:space="preserve">2005-12-04</t>
  </si>
  <si>
    <t xml:space="preserve">753 Main Road, Coimbatore</t>
  </si>
  <si>
    <t xml:space="preserve">9694940010</t>
  </si>
  <si>
    <t xml:space="preserve">8834556731</t>
  </si>
  <si>
    <t xml:space="preserve">ANUPRIYA S</t>
  </si>
  <si>
    <t xml:space="preserve">24CY010</t>
  </si>
  <si>
    <t xml:space="preserve">2002-08-03</t>
  </si>
  <si>
    <t xml:space="preserve">147 Main Road, Coimbatore</t>
  </si>
  <si>
    <t xml:space="preserve">9709676577</t>
  </si>
  <si>
    <t xml:space="preserve">8602073136</t>
  </si>
  <si>
    <t xml:space="preserve">ANUVARSHINI P V</t>
  </si>
  <si>
    <t xml:space="preserve">24CY011</t>
  </si>
  <si>
    <t xml:space="preserve">2005-01-23</t>
  </si>
  <si>
    <t xml:space="preserve">440 Main Road, Coimbatore</t>
  </si>
  <si>
    <t xml:space="preserve">9557076178</t>
  </si>
  <si>
    <t xml:space="preserve">8832966321</t>
  </si>
  <si>
    <t xml:space="preserve">ARAVIND SREESANTH S</t>
  </si>
  <si>
    <t xml:space="preserve">24CY012</t>
  </si>
  <si>
    <t xml:space="preserve">2004-05-23</t>
  </si>
  <si>
    <t xml:space="preserve">381 Main Road, Coimbatore</t>
  </si>
  <si>
    <t xml:space="preserve">9476810239</t>
  </si>
  <si>
    <t xml:space="preserve">8230563547</t>
  </si>
  <si>
    <t xml:space="preserve">ARO MARYA ADAM R</t>
  </si>
  <si>
    <t xml:space="preserve">24CY013</t>
  </si>
  <si>
    <t xml:space="preserve">2006-03-29</t>
  </si>
  <si>
    <t xml:space="preserve">366 Main Road, Coimbatore</t>
  </si>
  <si>
    <t xml:space="preserve">9703262535</t>
  </si>
  <si>
    <t xml:space="preserve">8369361548</t>
  </si>
  <si>
    <t xml:space="preserve">ASUWATH KUMARESH V</t>
  </si>
  <si>
    <t xml:space="preserve">24CY014</t>
  </si>
  <si>
    <t xml:space="preserve">2006-09-13</t>
  </si>
  <si>
    <t xml:space="preserve">116 Main Road, Coimbatore</t>
  </si>
  <si>
    <t xml:space="preserve">9666644269</t>
  </si>
  <si>
    <t xml:space="preserve">8855554142</t>
  </si>
  <si>
    <t xml:space="preserve">AVANTIKA R</t>
  </si>
  <si>
    <t xml:space="preserve">24CY015</t>
  </si>
  <si>
    <t xml:space="preserve">2005-01-08</t>
  </si>
  <si>
    <t xml:space="preserve">947 Main Road, Coimbatore</t>
  </si>
  <si>
    <t xml:space="preserve">9211849164</t>
  </si>
  <si>
    <t xml:space="preserve">8305500987</t>
  </si>
  <si>
    <t xml:space="preserve">AVINASH R K</t>
  </si>
  <si>
    <t xml:space="preserve">24CY016</t>
  </si>
  <si>
    <t xml:space="preserve">2004-10-25</t>
  </si>
  <si>
    <t xml:space="preserve">27 Main Road, Coimbatore</t>
  </si>
  <si>
    <t xml:space="preserve">9579411258</t>
  </si>
  <si>
    <t xml:space="preserve">8120559432</t>
  </si>
  <si>
    <t xml:space="preserve">BALA G</t>
  </si>
  <si>
    <t xml:space="preserve">24CY017</t>
  </si>
  <si>
    <t xml:space="preserve">2003-08-04</t>
  </si>
  <si>
    <t xml:space="preserve">737 Main Road, Coimbatore</t>
  </si>
  <si>
    <t xml:space="preserve">9526482999</t>
  </si>
  <si>
    <t xml:space="preserve">8307407853</t>
  </si>
  <si>
    <t xml:space="preserve">BALA MURUGAN S</t>
  </si>
  <si>
    <t xml:space="preserve">24CY018</t>
  </si>
  <si>
    <t xml:space="preserve">2004-06-23</t>
  </si>
  <si>
    <t xml:space="preserve">573 Main Road, Coimbatore</t>
  </si>
  <si>
    <t xml:space="preserve">9057631753</t>
  </si>
  <si>
    <t xml:space="preserve">8470780448</t>
  </si>
  <si>
    <t xml:space="preserve">BHARATHRAJ P</t>
  </si>
  <si>
    <t xml:space="preserve">24CY019</t>
  </si>
  <si>
    <t xml:space="preserve">2004-12-11</t>
  </si>
  <si>
    <t xml:space="preserve">636 Main Road, Coimbatore</t>
  </si>
  <si>
    <t xml:space="preserve">9734084462</t>
  </si>
  <si>
    <t xml:space="preserve">8238440470</t>
  </si>
  <si>
    <t xml:space="preserve">BHAVAYAZHINITHA S V</t>
  </si>
  <si>
    <t xml:space="preserve">24CY020</t>
  </si>
  <si>
    <t xml:space="preserve">2006-06-16</t>
  </si>
  <si>
    <t xml:space="preserve">402 Main Road, Coimbatore</t>
  </si>
  <si>
    <t xml:space="preserve">9949759747</t>
  </si>
  <si>
    <t xml:space="preserve">8325276046</t>
  </si>
  <si>
    <t xml:space="preserve">DEVI K</t>
  </si>
  <si>
    <t xml:space="preserve">24CY021</t>
  </si>
  <si>
    <t xml:space="preserve">2005-06-10</t>
  </si>
  <si>
    <t xml:space="preserve">89 Main Road, Coimbatore</t>
  </si>
  <si>
    <t xml:space="preserve">9699496892</t>
  </si>
  <si>
    <t xml:space="preserve">8139445473</t>
  </si>
  <si>
    <t xml:space="preserve">DHAARANI S</t>
  </si>
  <si>
    <t xml:space="preserve">24CY022</t>
  </si>
  <si>
    <t xml:space="preserve">2006-04-21</t>
  </si>
  <si>
    <t xml:space="preserve">574 Main Road, Coimbatore</t>
  </si>
  <si>
    <t xml:space="preserve">9765682280</t>
  </si>
  <si>
    <t xml:space="preserve">8307274140</t>
  </si>
  <si>
    <t xml:space="preserve">DHANUSHYA S</t>
  </si>
  <si>
    <t xml:space="preserve">24CY023</t>
  </si>
  <si>
    <t xml:space="preserve">2002-04-02</t>
  </si>
  <si>
    <t xml:space="preserve">954 Main Road, Coimbatore</t>
  </si>
  <si>
    <t xml:space="preserve">9328398970</t>
  </si>
  <si>
    <t xml:space="preserve">8250876117</t>
  </si>
  <si>
    <t xml:space="preserve">DHANUSURYA S</t>
  </si>
  <si>
    <t xml:space="preserve">24CY024</t>
  </si>
  <si>
    <t xml:space="preserve">2002-02-03</t>
  </si>
  <si>
    <t xml:space="preserve">456 Main Road, Coimbatore</t>
  </si>
  <si>
    <t xml:space="preserve">9904786118</t>
  </si>
  <si>
    <t xml:space="preserve">8964396656</t>
  </si>
  <si>
    <t xml:space="preserve">DHARSHINI L</t>
  </si>
  <si>
    <t xml:space="preserve">24CY025</t>
  </si>
  <si>
    <t xml:space="preserve">2005-09-19</t>
  </si>
  <si>
    <t xml:space="preserve">276 Main Road, Coimbatore</t>
  </si>
  <si>
    <t xml:space="preserve">9934487901</t>
  </si>
  <si>
    <t xml:space="preserve">8393948323</t>
  </si>
  <si>
    <t xml:space="preserve">DHARSHINI T R</t>
  </si>
  <si>
    <t xml:space="preserve">24CY026</t>
  </si>
  <si>
    <t xml:space="preserve">2006-09-22</t>
  </si>
  <si>
    <t xml:space="preserve">710 Main Road, Coimbatore</t>
  </si>
  <si>
    <t xml:space="preserve">9346280761</t>
  </si>
  <si>
    <t xml:space="preserve">8168678816</t>
  </si>
  <si>
    <t xml:space="preserve">DHARSNI S</t>
  </si>
  <si>
    <t xml:space="preserve">24CY027</t>
  </si>
  <si>
    <t xml:space="preserve">2002-12-12</t>
  </si>
  <si>
    <t xml:space="preserve">624 Main Road, Coimbatore</t>
  </si>
  <si>
    <t xml:space="preserve">9652543123</t>
  </si>
  <si>
    <t xml:space="preserve">8575185140</t>
  </si>
  <si>
    <t xml:space="preserve">DHAYALAN K</t>
  </si>
  <si>
    <t xml:space="preserve">24CY028</t>
  </si>
  <si>
    <t xml:space="preserve">2004-05-15</t>
  </si>
  <si>
    <t xml:space="preserve">631 Main Road, Coimbatore</t>
  </si>
  <si>
    <t xml:space="preserve">9957064234</t>
  </si>
  <si>
    <t xml:space="preserve">8440050584</t>
  </si>
  <si>
    <t xml:space="preserve">DHEENADHAYALAN S</t>
  </si>
  <si>
    <t xml:space="preserve">24CY029</t>
  </si>
  <si>
    <t xml:space="preserve">2005-12-05</t>
  </si>
  <si>
    <t xml:space="preserve">421 Main Road, Coimbatore</t>
  </si>
  <si>
    <t xml:space="preserve">9160197407</t>
  </si>
  <si>
    <t xml:space="preserve">8672821948</t>
  </si>
  <si>
    <t xml:space="preserve">GOPIKRISHNAN B</t>
  </si>
  <si>
    <t xml:space="preserve">24CY030</t>
  </si>
  <si>
    <t xml:space="preserve">2004-10-17</t>
  </si>
  <si>
    <t xml:space="preserve">260 Main Road, Coimbatore</t>
  </si>
  <si>
    <t xml:space="preserve">9419792120</t>
  </si>
  <si>
    <t xml:space="preserve">8001978405</t>
  </si>
  <si>
    <t xml:space="preserve">GUNAL S</t>
  </si>
  <si>
    <t xml:space="preserve">24CY031</t>
  </si>
  <si>
    <t xml:space="preserve">2002-09-06</t>
  </si>
  <si>
    <t xml:space="preserve">846 Main Road, Coimbatore</t>
  </si>
  <si>
    <t xml:space="preserve">9366342216</t>
  </si>
  <si>
    <t xml:space="preserve">8219469681</t>
  </si>
  <si>
    <t xml:space="preserve">HANUSHREE L</t>
  </si>
  <si>
    <t xml:space="preserve">24CY032</t>
  </si>
  <si>
    <t xml:space="preserve">2005-08-24</t>
  </si>
  <si>
    <t xml:space="preserve">640 Main Road, Coimbatore</t>
  </si>
  <si>
    <t xml:space="preserve">9807986178</t>
  </si>
  <si>
    <t xml:space="preserve">8653599398</t>
  </si>
  <si>
    <t xml:space="preserve">HARI RAMA KRISHNAN J</t>
  </si>
  <si>
    <t xml:space="preserve">24CY033</t>
  </si>
  <si>
    <t xml:space="preserve">2006-07-12</t>
  </si>
  <si>
    <t xml:space="preserve">918 Main Road, Coimbatore</t>
  </si>
  <si>
    <t xml:space="preserve">9866882745</t>
  </si>
  <si>
    <t xml:space="preserve">8755926816</t>
  </si>
  <si>
    <t xml:space="preserve">HARISHKUMAR V S</t>
  </si>
  <si>
    <t xml:space="preserve">24CY034</t>
  </si>
  <si>
    <t xml:space="preserve">2005-11-13</t>
  </si>
  <si>
    <t xml:space="preserve">778 Main Road, Coimbatore</t>
  </si>
  <si>
    <t xml:space="preserve">9373307786</t>
  </si>
  <si>
    <t xml:space="preserve">8646555138</t>
  </si>
  <si>
    <t xml:space="preserve">HARSHA VARDHINI N</t>
  </si>
  <si>
    <t xml:space="preserve">24CY035</t>
  </si>
  <si>
    <t xml:space="preserve">2002-10-16</t>
  </si>
  <si>
    <t xml:space="preserve">405 Main Road, Coimbatore</t>
  </si>
  <si>
    <t xml:space="preserve">9508612416</t>
  </si>
  <si>
    <t xml:space="preserve">8121923516</t>
  </si>
  <si>
    <t xml:space="preserve">ILANCHERAN R</t>
  </si>
  <si>
    <t xml:space="preserve">24CY036</t>
  </si>
  <si>
    <t xml:space="preserve">2006-07-17</t>
  </si>
  <si>
    <t xml:space="preserve">414 Main Road, Coimbatore</t>
  </si>
  <si>
    <t xml:space="preserve">9920813701</t>
  </si>
  <si>
    <t xml:space="preserve">8851165123</t>
  </si>
  <si>
    <t xml:space="preserve">ISHWARYA S</t>
  </si>
  <si>
    <t xml:space="preserve">24CY037</t>
  </si>
  <si>
    <t xml:space="preserve">2003-02-07</t>
  </si>
  <si>
    <t xml:space="preserve">9049099694</t>
  </si>
  <si>
    <t xml:space="preserve">8309047773</t>
  </si>
  <si>
    <t xml:space="preserve">JAI KRISHNA P</t>
  </si>
  <si>
    <t xml:space="preserve">24CY038</t>
  </si>
  <si>
    <t xml:space="preserve">2003-07-26</t>
  </si>
  <si>
    <t xml:space="preserve">191 Main Road, Coimbatore</t>
  </si>
  <si>
    <t xml:space="preserve">9793139032</t>
  </si>
  <si>
    <t xml:space="preserve">8945264589</t>
  </si>
  <si>
    <t xml:space="preserve">JASHVANTH K</t>
  </si>
  <si>
    <t xml:space="preserve">24CY039</t>
  </si>
  <si>
    <t xml:space="preserve">2004-12-01</t>
  </si>
  <si>
    <t xml:space="preserve">307 Main Road, Coimbatore</t>
  </si>
  <si>
    <t xml:space="preserve">9060104064</t>
  </si>
  <si>
    <t xml:space="preserve">8556004654</t>
  </si>
  <si>
    <t xml:space="preserve">JASHWANTH M U</t>
  </si>
  <si>
    <t xml:space="preserve">24CY040</t>
  </si>
  <si>
    <t xml:space="preserve">2003-05-21</t>
  </si>
  <si>
    <t xml:space="preserve">198 Main Road, Coimbatore</t>
  </si>
  <si>
    <t xml:space="preserve">9556899790</t>
  </si>
  <si>
    <t xml:space="preserve">8085033020</t>
  </si>
  <si>
    <t xml:space="preserve">JEEVIRAJ V</t>
  </si>
  <si>
    <t xml:space="preserve">24CY041</t>
  </si>
  <si>
    <t xml:space="preserve">2003-05-15</t>
  </si>
  <si>
    <t xml:space="preserve">686 Main Road, Coimbatore</t>
  </si>
  <si>
    <t xml:space="preserve">9390608475</t>
  </si>
  <si>
    <t xml:space="preserve">8967949036</t>
  </si>
  <si>
    <t xml:space="preserve">JEEVITH V</t>
  </si>
  <si>
    <t xml:space="preserve">24CY042</t>
  </si>
  <si>
    <t xml:space="preserve">2003-03-19</t>
  </si>
  <si>
    <t xml:space="preserve">283 Main Road, Coimbatore</t>
  </si>
  <si>
    <t xml:space="preserve">9961523481</t>
  </si>
  <si>
    <t xml:space="preserve">8384051596</t>
  </si>
  <si>
    <t xml:space="preserve">JEEVITHKUMAR P</t>
  </si>
  <si>
    <t xml:space="preserve">24CY043</t>
  </si>
  <si>
    <t xml:space="preserve">2004-07-01</t>
  </si>
  <si>
    <t xml:space="preserve">263 Main Road, Coimbatore</t>
  </si>
  <si>
    <t xml:space="preserve">9173814680</t>
  </si>
  <si>
    <t xml:space="preserve">8467468815</t>
  </si>
  <si>
    <t xml:space="preserve">JERISHA FLAVIO J</t>
  </si>
  <si>
    <t xml:space="preserve">24CY044</t>
  </si>
  <si>
    <t xml:space="preserve">2003-02-21</t>
  </si>
  <si>
    <t xml:space="preserve">665 Main Road, Coimbatore</t>
  </si>
  <si>
    <t xml:space="preserve">9437594375</t>
  </si>
  <si>
    <t xml:space="preserve">8548203176</t>
  </si>
  <si>
    <t xml:space="preserve">JESVIN BRUCE J</t>
  </si>
  <si>
    <t xml:space="preserve">24CY045</t>
  </si>
  <si>
    <t xml:space="preserve">717 Main Road, Coimbatore</t>
  </si>
  <si>
    <t xml:space="preserve">9913926975</t>
  </si>
  <si>
    <t xml:space="preserve">8335727311</t>
  </si>
  <si>
    <t xml:space="preserve">JOHN S D</t>
  </si>
  <si>
    <t xml:space="preserve">24CY046</t>
  </si>
  <si>
    <t xml:space="preserve">2003-03-20</t>
  </si>
  <si>
    <t xml:space="preserve">335 Main Road, Coimbatore</t>
  </si>
  <si>
    <t xml:space="preserve">9328114657</t>
  </si>
  <si>
    <t xml:space="preserve">8634115459</t>
  </si>
  <si>
    <t xml:space="preserve">JOSHVA JASHPER W</t>
  </si>
  <si>
    <t xml:space="preserve">24CY047</t>
  </si>
  <si>
    <t xml:space="preserve">2002-06-06</t>
  </si>
  <si>
    <t xml:space="preserve">685 Main Road, Coimbatore</t>
  </si>
  <si>
    <t xml:space="preserve">9662996328</t>
  </si>
  <si>
    <t xml:space="preserve">8258486053</t>
  </si>
  <si>
    <t xml:space="preserve">KADHIRAVAN E G</t>
  </si>
  <si>
    <t xml:space="preserve">24CY048</t>
  </si>
  <si>
    <t xml:space="preserve">2003-05-27</t>
  </si>
  <si>
    <t xml:space="preserve">682 Main Road, Coimbatore</t>
  </si>
  <si>
    <t xml:space="preserve">9144759962</t>
  </si>
  <si>
    <t xml:space="preserve">8564775682</t>
  </si>
  <si>
    <t xml:space="preserve">KALAISEVLI S</t>
  </si>
  <si>
    <t xml:space="preserve">24CY049</t>
  </si>
  <si>
    <t xml:space="preserve">2006-06-28</t>
  </si>
  <si>
    <t xml:space="preserve">576 Main Road, Coimbatore</t>
  </si>
  <si>
    <t xml:space="preserve">9014519851</t>
  </si>
  <si>
    <t xml:space="preserve">8691393444</t>
  </si>
  <si>
    <t xml:space="preserve">KANISGHA VARSSINI C</t>
  </si>
  <si>
    <t xml:space="preserve">24CY050</t>
  </si>
  <si>
    <t xml:space="preserve">2002-12-19</t>
  </si>
  <si>
    <t xml:space="preserve">346 Main Road, Coimbatore</t>
  </si>
  <si>
    <t xml:space="preserve">9844452151</t>
  </si>
  <si>
    <t xml:space="preserve">8793697758</t>
  </si>
  <si>
    <t xml:space="preserve">KANISHKA R</t>
  </si>
  <si>
    <t xml:space="preserve">24CY051</t>
  </si>
  <si>
    <t xml:space="preserve">2005-10-20</t>
  </si>
  <si>
    <t xml:space="preserve">21 Main Road, Coimbatore</t>
  </si>
  <si>
    <t xml:space="preserve">9885117788</t>
  </si>
  <si>
    <t xml:space="preserve">8588946115</t>
  </si>
  <si>
    <t xml:space="preserve">KARAN R J</t>
  </si>
  <si>
    <t xml:space="preserve">24CY052</t>
  </si>
  <si>
    <t xml:space="preserve">2004-12-27</t>
  </si>
  <si>
    <t xml:space="preserve">849 Main Road, Coimbatore</t>
  </si>
  <si>
    <t xml:space="preserve">9354407555</t>
  </si>
  <si>
    <t xml:space="preserve">8457096049</t>
  </si>
  <si>
    <t xml:space="preserve">KARAN S</t>
  </si>
  <si>
    <t xml:space="preserve">24CY053</t>
  </si>
  <si>
    <t xml:space="preserve">2006-08-27</t>
  </si>
  <si>
    <t xml:space="preserve">541 Main Road, Coimbatore</t>
  </si>
  <si>
    <t xml:space="preserve">9990896655</t>
  </si>
  <si>
    <t xml:space="preserve">8324274743</t>
  </si>
  <si>
    <t xml:space="preserve">KARTHIKEYAN E</t>
  </si>
  <si>
    <t xml:space="preserve">24CY054</t>
  </si>
  <si>
    <t xml:space="preserve">2004-10-03</t>
  </si>
  <si>
    <t xml:space="preserve">392 Main Road, Coimbatore</t>
  </si>
  <si>
    <t xml:space="preserve">9156194696</t>
  </si>
  <si>
    <t xml:space="preserve">8202345066</t>
  </si>
  <si>
    <t xml:space="preserve">KARTHIKPRAKASH M</t>
  </si>
  <si>
    <t xml:space="preserve">24CY055</t>
  </si>
  <si>
    <t xml:space="preserve">2002-11-10</t>
  </si>
  <si>
    <t xml:space="preserve">692 Main Road, Coimbatore</t>
  </si>
  <si>
    <t xml:space="preserve">9484851438</t>
  </si>
  <si>
    <t xml:space="preserve">8269953577</t>
  </si>
  <si>
    <t xml:space="preserve">LINGESHWAR A</t>
  </si>
  <si>
    <t xml:space="preserve">24CY056</t>
  </si>
  <si>
    <t xml:space="preserve">2002-12-27</t>
  </si>
  <si>
    <t xml:space="preserve">850 Main Road, Coimbatore</t>
  </si>
  <si>
    <t xml:space="preserve">9606582994</t>
  </si>
  <si>
    <t xml:space="preserve">8046913603</t>
  </si>
  <si>
    <t xml:space="preserve">MANTRAA K</t>
  </si>
  <si>
    <t xml:space="preserve">24CY057</t>
  </si>
  <si>
    <t xml:space="preserve">769 Main Road, Coimbatore</t>
  </si>
  <si>
    <t xml:space="preserve">9277882240</t>
  </si>
  <si>
    <t xml:space="preserve">8984853609</t>
  </si>
  <si>
    <t xml:space="preserve">MATHANKUMAR J</t>
  </si>
  <si>
    <t xml:space="preserve">24CY058</t>
  </si>
  <si>
    <t xml:space="preserve">2002-01-13</t>
  </si>
  <si>
    <t xml:space="preserve">209 Main Road, Coimbatore</t>
  </si>
  <si>
    <t xml:space="preserve">9811229880</t>
  </si>
  <si>
    <t xml:space="preserve">8221480290</t>
  </si>
  <si>
    <t xml:space="preserve">MATHESH T</t>
  </si>
  <si>
    <t xml:space="preserve">24CY059</t>
  </si>
  <si>
    <t xml:space="preserve">2003-08-10</t>
  </si>
  <si>
    <t xml:space="preserve">425 Main Road, Coimbatore</t>
  </si>
  <si>
    <t xml:space="preserve">9903707186</t>
  </si>
  <si>
    <t xml:space="preserve">8647074128</t>
  </si>
  <si>
    <t xml:space="preserve">MEENASHREE</t>
  </si>
  <si>
    <t xml:space="preserve">24CY060</t>
  </si>
  <si>
    <t xml:space="preserve">2003-12-26</t>
  </si>
  <si>
    <t xml:space="preserve">331 Main Road, Coimbatore</t>
  </si>
  <si>
    <t xml:space="preserve">9057267938</t>
  </si>
  <si>
    <t xml:space="preserve">8329268653</t>
  </si>
  <si>
    <t xml:space="preserve">MEGALA S</t>
  </si>
  <si>
    <t xml:space="preserve">24CY061</t>
  </si>
  <si>
    <t xml:space="preserve">2003-01-21</t>
  </si>
  <si>
    <t xml:space="preserve">595 Main Road, Coimbatore</t>
  </si>
  <si>
    <t xml:space="preserve">9932334273</t>
  </si>
  <si>
    <t xml:space="preserve">8473888841</t>
  </si>
  <si>
    <t xml:space="preserve">MOHAMMED AL AMEEN S</t>
  </si>
  <si>
    <t xml:space="preserve">24CY062</t>
  </si>
  <si>
    <t xml:space="preserve">2004-05-17</t>
  </si>
  <si>
    <t xml:space="preserve">178 Main Road, Coimbatore</t>
  </si>
  <si>
    <t xml:space="preserve">9943254313</t>
  </si>
  <si>
    <t xml:space="preserve">8390977182</t>
  </si>
  <si>
    <t xml:space="preserve">MOHAMMED MUZAMMIL S</t>
  </si>
  <si>
    <t xml:space="preserve">24CY063</t>
  </si>
  <si>
    <t xml:space="preserve">2006-07-01</t>
  </si>
  <si>
    <t xml:space="preserve">643 Main Road, Coimbatore</t>
  </si>
  <si>
    <t xml:space="preserve">9275384156</t>
  </si>
  <si>
    <t xml:space="preserve">8953905869</t>
  </si>
  <si>
    <t xml:space="preserve">MOHANSUNDAR M</t>
  </si>
  <si>
    <t xml:space="preserve">24CY064</t>
  </si>
  <si>
    <t xml:space="preserve">2004-02-02</t>
  </si>
  <si>
    <t xml:space="preserve">652 Main Road, Coimbatore</t>
  </si>
  <si>
    <t xml:space="preserve">9541544444</t>
  </si>
  <si>
    <t xml:space="preserve">8319804277</t>
  </si>
  <si>
    <t xml:space="preserve">MONICA M</t>
  </si>
  <si>
    <t xml:space="preserve">24CY065</t>
  </si>
  <si>
    <t xml:space="preserve">2002-02-27</t>
  </si>
  <si>
    <t xml:space="preserve">661 Main Road, Coimbatore</t>
  </si>
  <si>
    <t xml:space="preserve">9149628679</t>
  </si>
  <si>
    <t xml:space="preserve">8528996941</t>
  </si>
  <si>
    <t xml:space="preserve">MONISH B</t>
  </si>
  <si>
    <t xml:space="preserve">24CY066</t>
  </si>
  <si>
    <t xml:space="preserve">2003-03-25</t>
  </si>
  <si>
    <t xml:space="preserve">8 Main Road, Coimbatore</t>
  </si>
  <si>
    <t xml:space="preserve">9878377882</t>
  </si>
  <si>
    <t xml:space="preserve">8277942640</t>
  </si>
  <si>
    <t xml:space="preserve">MRUDHUL N R</t>
  </si>
  <si>
    <t xml:space="preserve">24CY067</t>
  </si>
  <si>
    <t xml:space="preserve">2003-06-11</t>
  </si>
  <si>
    <t xml:space="preserve">79 Main Road, Coimbatore</t>
  </si>
  <si>
    <t xml:space="preserve">9875771807</t>
  </si>
  <si>
    <t xml:space="preserve">8048702807</t>
  </si>
  <si>
    <t xml:space="preserve">NAVEEN B</t>
  </si>
  <si>
    <t xml:space="preserve">24CY068</t>
  </si>
  <si>
    <t xml:space="preserve">2002-05-27</t>
  </si>
  <si>
    <t xml:space="preserve">882 Main Road, Coimbatore</t>
  </si>
  <si>
    <t xml:space="preserve">9183905668</t>
  </si>
  <si>
    <t xml:space="preserve">8390836339</t>
  </si>
  <si>
    <t xml:space="preserve">NIRANCHANA S</t>
  </si>
  <si>
    <t xml:space="preserve">24CY069</t>
  </si>
  <si>
    <t xml:space="preserve">2003-02-18</t>
  </si>
  <si>
    <t xml:space="preserve">81 Main Road, Coimbatore</t>
  </si>
  <si>
    <t xml:space="preserve">9773335089</t>
  </si>
  <si>
    <t xml:space="preserve">8524338814</t>
  </si>
  <si>
    <t xml:space="preserve">NITHISHKUMAR M</t>
  </si>
  <si>
    <t xml:space="preserve">24CY070</t>
  </si>
  <si>
    <t xml:space="preserve">2002-06-23</t>
  </si>
  <si>
    <t xml:space="preserve">278 Main Road, Coimbatore</t>
  </si>
  <si>
    <t xml:space="preserve">9508311249</t>
  </si>
  <si>
    <t xml:space="preserve">8304666693</t>
  </si>
  <si>
    <t xml:space="preserve">PRAGATHIS WARAN G</t>
  </si>
  <si>
    <t xml:space="preserve">24CY071</t>
  </si>
  <si>
    <t xml:space="preserve">2003-11-22</t>
  </si>
  <si>
    <t xml:space="preserve">129 Main Road, Coimbatore</t>
  </si>
  <si>
    <t xml:space="preserve">9116003039</t>
  </si>
  <si>
    <t xml:space="preserve">8503848204</t>
  </si>
  <si>
    <t xml:space="preserve">PRAVEEN S</t>
  </si>
  <si>
    <t xml:space="preserve">24CY072</t>
  </si>
  <si>
    <t xml:space="preserve">2006-10-16</t>
  </si>
  <si>
    <t xml:space="preserve">369 Main Road, Coimbatore</t>
  </si>
  <si>
    <t xml:space="preserve">9668316937</t>
  </si>
  <si>
    <t xml:space="preserve">8783995811</t>
  </si>
  <si>
    <t xml:space="preserve">PREMKISHORE N</t>
  </si>
  <si>
    <t xml:space="preserve">24CY073</t>
  </si>
  <si>
    <t xml:space="preserve">195 Main Road, Coimbatore</t>
  </si>
  <si>
    <t xml:space="preserve">9765749286</t>
  </si>
  <si>
    <t xml:space="preserve">8869103157</t>
  </si>
  <si>
    <t xml:space="preserve">PRINCE P</t>
  </si>
  <si>
    <t xml:space="preserve">24CY074</t>
  </si>
  <si>
    <t xml:space="preserve">2003-10-15</t>
  </si>
  <si>
    <t xml:space="preserve">127 Main Road, Coimbatore</t>
  </si>
  <si>
    <t xml:space="preserve">9260302224</t>
  </si>
  <si>
    <t xml:space="preserve">8786883960</t>
  </si>
  <si>
    <t xml:space="preserve">PRIYADHARSHINI S</t>
  </si>
  <si>
    <t xml:space="preserve">24CY075</t>
  </si>
  <si>
    <t xml:space="preserve">2002-10-12</t>
  </si>
  <si>
    <t xml:space="preserve">603 Main Road, Coimbatore</t>
  </si>
  <si>
    <t xml:space="preserve">9296032420</t>
  </si>
  <si>
    <t xml:space="preserve">8920584893</t>
  </si>
  <si>
    <t xml:space="preserve">PURUSHOTHAMAN V</t>
  </si>
  <si>
    <t xml:space="preserve">24CY076</t>
  </si>
  <si>
    <t xml:space="preserve">2003-06-19</t>
  </si>
  <si>
    <t xml:space="preserve">928 Main Road, Coimbatore</t>
  </si>
  <si>
    <t xml:space="preserve">9804245421</t>
  </si>
  <si>
    <t xml:space="preserve">8591644106</t>
  </si>
  <si>
    <t xml:space="preserve">RAJASAKTHI KUMAR R</t>
  </si>
  <si>
    <t xml:space="preserve">24CY077</t>
  </si>
  <si>
    <t xml:space="preserve">2004-08-27</t>
  </si>
  <si>
    <t xml:space="preserve">580 Main Road, Coimbatore</t>
  </si>
  <si>
    <t xml:space="preserve">9829036247</t>
  </si>
  <si>
    <t xml:space="preserve">8556593138</t>
  </si>
  <si>
    <t xml:space="preserve">RAKSHANAA B</t>
  </si>
  <si>
    <t xml:space="preserve">24CY078</t>
  </si>
  <si>
    <t xml:space="preserve">2002-12-18</t>
  </si>
  <si>
    <t xml:space="preserve">884 Main Road, Coimbatore</t>
  </si>
  <si>
    <t xml:space="preserve">9347944973</t>
  </si>
  <si>
    <t xml:space="preserve">8577228968</t>
  </si>
  <si>
    <t xml:space="preserve">RAMPRASATH D</t>
  </si>
  <si>
    <t xml:space="preserve">24CY079</t>
  </si>
  <si>
    <t xml:space="preserve">2005-10-28</t>
  </si>
  <si>
    <t xml:space="preserve">368 Main Road, Coimbatore</t>
  </si>
  <si>
    <t xml:space="preserve">9245689302</t>
  </si>
  <si>
    <t xml:space="preserve">8073354989</t>
  </si>
  <si>
    <t xml:space="preserve">RUBAN K</t>
  </si>
  <si>
    <t xml:space="preserve">24CY080</t>
  </si>
  <si>
    <t xml:space="preserve">2004-02-25</t>
  </si>
  <si>
    <t xml:space="preserve">926 Main Road, Coimbatore</t>
  </si>
  <si>
    <t xml:space="preserve">9449241087</t>
  </si>
  <si>
    <t xml:space="preserve">8040597503</t>
  </si>
  <si>
    <t xml:space="preserve">SABARIPRIYA S</t>
  </si>
  <si>
    <t xml:space="preserve">24CY081</t>
  </si>
  <si>
    <t xml:space="preserve">2002-05-21</t>
  </si>
  <si>
    <t xml:space="preserve">245 Main Road, Coimbatore</t>
  </si>
  <si>
    <t xml:space="preserve">9940961104</t>
  </si>
  <si>
    <t xml:space="preserve">8330711245</t>
  </si>
  <si>
    <t xml:space="preserve">SAMVARTHINI S</t>
  </si>
  <si>
    <t xml:space="preserve">24CY082</t>
  </si>
  <si>
    <t xml:space="preserve">2005-03-23</t>
  </si>
  <si>
    <t xml:space="preserve">406 Main Road, Coimbatore</t>
  </si>
  <si>
    <t xml:space="preserve">9770481237</t>
  </si>
  <si>
    <t xml:space="preserve">8448933350</t>
  </si>
  <si>
    <t xml:space="preserve">SANJAY D</t>
  </si>
  <si>
    <t xml:space="preserve">24CY083</t>
  </si>
  <si>
    <t xml:space="preserve">2003-01-22</t>
  </si>
  <si>
    <t xml:space="preserve">9 Main Road, Coimbatore</t>
  </si>
  <si>
    <t xml:space="preserve">9172278187</t>
  </si>
  <si>
    <t xml:space="preserve">8990442880</t>
  </si>
  <si>
    <t xml:space="preserve">SANJAI KUMAR S</t>
  </si>
  <si>
    <t xml:space="preserve">24CY084</t>
  </si>
  <si>
    <t xml:space="preserve">2003-12-07</t>
  </si>
  <si>
    <t xml:space="preserve">634 Main Road, Coimbatore</t>
  </si>
  <si>
    <t xml:space="preserve">9278306670</t>
  </si>
  <si>
    <t xml:space="preserve">8575841347</t>
  </si>
  <si>
    <t xml:space="preserve">SANTHOSH A S</t>
  </si>
  <si>
    <t xml:space="preserve">24CY085</t>
  </si>
  <si>
    <t xml:space="preserve">2004-08-23</t>
  </si>
  <si>
    <t xml:space="preserve">9436468255</t>
  </si>
  <si>
    <t xml:space="preserve">8823848479</t>
  </si>
  <si>
    <t xml:space="preserve">SANTHOSH D</t>
  </si>
  <si>
    <t xml:space="preserve">24CY086</t>
  </si>
  <si>
    <t xml:space="preserve">2005-04-18</t>
  </si>
  <si>
    <t xml:space="preserve">792 Main Road, Coimbatore</t>
  </si>
  <si>
    <t xml:space="preserve">9032691698</t>
  </si>
  <si>
    <t xml:space="preserve">8447320958</t>
  </si>
  <si>
    <t xml:space="preserve">SANTHOSHKUMAR S</t>
  </si>
  <si>
    <t xml:space="preserve">24CY087</t>
  </si>
  <si>
    <t xml:space="preserve">2004-07-06</t>
  </si>
  <si>
    <t xml:space="preserve">9302319543</t>
  </si>
  <si>
    <t xml:space="preserve">8136630488</t>
  </si>
  <si>
    <t xml:space="preserve">SARAN H</t>
  </si>
  <si>
    <t xml:space="preserve">24CY088</t>
  </si>
  <si>
    <t xml:space="preserve">2004-02-26</t>
  </si>
  <si>
    <t xml:space="preserve">16 Main Road, Coimbatore</t>
  </si>
  <si>
    <t xml:space="preserve">9511020141</t>
  </si>
  <si>
    <t xml:space="preserve">8526814580</t>
  </si>
  <si>
    <t xml:space="preserve">SARVANTH D</t>
  </si>
  <si>
    <t xml:space="preserve">24CY089</t>
  </si>
  <si>
    <t xml:space="preserve">2006-10-15</t>
  </si>
  <si>
    <t xml:space="preserve">123 Main Road, Coimbatore</t>
  </si>
  <si>
    <t xml:space="preserve">9001185058</t>
  </si>
  <si>
    <t xml:space="preserve">8211994567</t>
  </si>
  <si>
    <t xml:space="preserve">SASIPRABHA V</t>
  </si>
  <si>
    <t xml:space="preserve">24CY090</t>
  </si>
  <si>
    <t xml:space="preserve">2002-11-24</t>
  </si>
  <si>
    <t xml:space="preserve">592 Main Road, Coimbatore</t>
  </si>
  <si>
    <t xml:space="preserve">9899050457</t>
  </si>
  <si>
    <t xml:space="preserve">8336349821</t>
  </si>
  <si>
    <t xml:space="preserve">SELVA GANESH L</t>
  </si>
  <si>
    <t xml:space="preserve">24CY091</t>
  </si>
  <si>
    <t xml:space="preserve">2005-01-14</t>
  </si>
  <si>
    <t xml:space="preserve">74 Main Road, Coimbatore</t>
  </si>
  <si>
    <t xml:space="preserve">9554077169</t>
  </si>
  <si>
    <t xml:space="preserve">8462843836</t>
  </si>
  <si>
    <t xml:space="preserve">SHAILENDER RAJAN K</t>
  </si>
  <si>
    <t xml:space="preserve">24CY092</t>
  </si>
  <si>
    <t xml:space="preserve">2003-03-23</t>
  </si>
  <si>
    <t xml:space="preserve">9592009254</t>
  </si>
  <si>
    <t xml:space="preserve">8523751592</t>
  </si>
  <si>
    <t xml:space="preserve">SHAMINI S</t>
  </si>
  <si>
    <t xml:space="preserve">24CY093</t>
  </si>
  <si>
    <t xml:space="preserve">119 Main Road, Coimbatore</t>
  </si>
  <si>
    <t xml:space="preserve">9076031661</t>
  </si>
  <si>
    <t xml:space="preserve">8470354019</t>
  </si>
  <si>
    <t xml:space="preserve">SHOBAA P</t>
  </si>
  <si>
    <t xml:space="preserve">24CY094</t>
  </si>
  <si>
    <t xml:space="preserve">2003-03-24</t>
  </si>
  <si>
    <t xml:space="preserve">184 Main Road, Coimbatore</t>
  </si>
  <si>
    <t xml:space="preserve">9058103289</t>
  </si>
  <si>
    <t xml:space="preserve">8693121324</t>
  </si>
  <si>
    <t xml:space="preserve">SHREELINGANAATHAN M</t>
  </si>
  <si>
    <t xml:space="preserve">24CY095</t>
  </si>
  <si>
    <t xml:space="preserve">2003-11-30</t>
  </si>
  <si>
    <t xml:space="preserve">929 Main Road, Coimbatore</t>
  </si>
  <si>
    <t xml:space="preserve">9956347559</t>
  </si>
  <si>
    <t xml:space="preserve">8230390737</t>
  </si>
  <si>
    <t xml:space="preserve">SHRINIDHI M K</t>
  </si>
  <si>
    <t xml:space="preserve">24CY096</t>
  </si>
  <si>
    <t xml:space="preserve">2004-01-22</t>
  </si>
  <si>
    <t xml:space="preserve">575 Main Road, Coimbatore</t>
  </si>
  <si>
    <t xml:space="preserve">9045087285</t>
  </si>
  <si>
    <t xml:space="preserve">8171817676</t>
  </si>
  <si>
    <t xml:space="preserve">SIVA PRASATH L</t>
  </si>
  <si>
    <t xml:space="preserve">24CY097</t>
  </si>
  <si>
    <t xml:space="preserve">2006-08-03</t>
  </si>
  <si>
    <t xml:space="preserve">223 Main Road, Coimbatore</t>
  </si>
  <si>
    <t xml:space="preserve">9337159430</t>
  </si>
  <si>
    <t xml:space="preserve">8829433711</t>
  </si>
  <si>
    <t xml:space="preserve">SRI NITHYA R</t>
  </si>
  <si>
    <t xml:space="preserve">24CY098</t>
  </si>
  <si>
    <t xml:space="preserve">2005-05-29</t>
  </si>
  <si>
    <t xml:space="preserve">159 Main Road, Coimbatore</t>
  </si>
  <si>
    <t xml:space="preserve">9649209536</t>
  </si>
  <si>
    <t xml:space="preserve">8005643234</t>
  </si>
  <si>
    <t xml:space="preserve">SRI RAGHAV B V</t>
  </si>
  <si>
    <t xml:space="preserve">24CY099</t>
  </si>
  <si>
    <t xml:space="preserve">2006-07-31</t>
  </si>
  <si>
    <t xml:space="preserve">9610540486</t>
  </si>
  <si>
    <t xml:space="preserve">8258012159</t>
  </si>
  <si>
    <t xml:space="preserve">SRIDHAR L</t>
  </si>
  <si>
    <t xml:space="preserve">24CY100</t>
  </si>
  <si>
    <t xml:space="preserve">2006-11-24</t>
  </si>
  <si>
    <t xml:space="preserve">767 Main Road, Coimbatore</t>
  </si>
  <si>
    <t xml:space="preserve">9754664995</t>
  </si>
  <si>
    <t xml:space="preserve">8179166749</t>
  </si>
  <si>
    <t xml:space="preserve">SRIMUKHI T G</t>
  </si>
  <si>
    <t xml:space="preserve">24CY101</t>
  </si>
  <si>
    <t xml:space="preserve">2002-11-30</t>
  </si>
  <si>
    <t xml:space="preserve">135 Main Road, Coimbatore</t>
  </si>
  <si>
    <t xml:space="preserve">9742922190</t>
  </si>
  <si>
    <t xml:space="preserve">8362029054</t>
  </si>
  <si>
    <t xml:space="preserve">SUBARSSINI V</t>
  </si>
  <si>
    <t xml:space="preserve">24CY102</t>
  </si>
  <si>
    <t xml:space="preserve">2002-08-19</t>
  </si>
  <si>
    <t xml:space="preserve">889 Main Road, Coimbatore</t>
  </si>
  <si>
    <t xml:space="preserve">9866172040</t>
  </si>
  <si>
    <t xml:space="preserve">8380469122</t>
  </si>
  <si>
    <t xml:space="preserve">SUGANTHI R</t>
  </si>
  <si>
    <t xml:space="preserve">24CY103</t>
  </si>
  <si>
    <t xml:space="preserve">2004-10-21</t>
  </si>
  <si>
    <t xml:space="preserve">40 Main Road, Coimbatore</t>
  </si>
  <si>
    <t xml:space="preserve">9763785000</t>
  </si>
  <si>
    <t xml:space="preserve">8118486630</t>
  </si>
  <si>
    <t xml:space="preserve">SUPRIYA A</t>
  </si>
  <si>
    <t xml:space="preserve">24CY104</t>
  </si>
  <si>
    <t xml:space="preserve">2006-07-05</t>
  </si>
  <si>
    <t xml:space="preserve">756 Main Road, Coimbatore</t>
  </si>
  <si>
    <t xml:space="preserve">9806596381</t>
  </si>
  <si>
    <t xml:space="preserve">8399893103</t>
  </si>
  <si>
    <t xml:space="preserve">SURENDIRAN B J</t>
  </si>
  <si>
    <t xml:space="preserve">24CY105</t>
  </si>
  <si>
    <t xml:space="preserve">2002-11-17</t>
  </si>
  <si>
    <t xml:space="preserve">827 Main Road, Coimbatore</t>
  </si>
  <si>
    <t xml:space="preserve">9190205336</t>
  </si>
  <si>
    <t xml:space="preserve">8365476087</t>
  </si>
  <si>
    <t xml:space="preserve">THARUN S</t>
  </si>
  <si>
    <t xml:space="preserve">24CY106</t>
  </si>
  <si>
    <t xml:space="preserve">2005-07-07</t>
  </si>
  <si>
    <t xml:space="preserve">136 Main Road, Coimbatore</t>
  </si>
  <si>
    <t xml:space="preserve">9555122844</t>
  </si>
  <si>
    <t xml:space="preserve">8684407782</t>
  </si>
  <si>
    <t xml:space="preserve">THASBEEHA K</t>
  </si>
  <si>
    <t xml:space="preserve">24CY107</t>
  </si>
  <si>
    <t xml:space="preserve">2005-12-11</t>
  </si>
  <si>
    <t xml:space="preserve">562 Main Road, Coimbatore</t>
  </si>
  <si>
    <t xml:space="preserve">9978997916</t>
  </si>
  <si>
    <t xml:space="preserve">8537267042</t>
  </si>
  <si>
    <t xml:space="preserve">VAISHNAVAN S</t>
  </si>
  <si>
    <t xml:space="preserve">24CY108</t>
  </si>
  <si>
    <t xml:space="preserve">2005-01-28</t>
  </si>
  <si>
    <t xml:space="preserve">789 Main Road, Coimbatore</t>
  </si>
  <si>
    <t xml:space="preserve">9384805035</t>
  </si>
  <si>
    <t xml:space="preserve">8312562406</t>
  </si>
  <si>
    <t xml:space="preserve">VARSHA G</t>
  </si>
  <si>
    <t xml:space="preserve">24CY109</t>
  </si>
  <si>
    <t xml:space="preserve">244 Main Road, Coimbatore</t>
  </si>
  <si>
    <t xml:space="preserve">9638481610</t>
  </si>
  <si>
    <t xml:space="preserve">8625210564</t>
  </si>
  <si>
    <t xml:space="preserve">VARUN KUMAR V</t>
  </si>
  <si>
    <t xml:space="preserve">24CY110</t>
  </si>
  <si>
    <t xml:space="preserve">2006-05-24</t>
  </si>
  <si>
    <t xml:space="preserve">553 Main Road, Coimbatore</t>
  </si>
  <si>
    <t xml:space="preserve">9284015574</t>
  </si>
  <si>
    <t xml:space="preserve">8010686725</t>
  </si>
  <si>
    <t xml:space="preserve">VASANTHAN Y</t>
  </si>
  <si>
    <t xml:space="preserve">24CY111</t>
  </si>
  <si>
    <t xml:space="preserve">2006-08-09</t>
  </si>
  <si>
    <t xml:space="preserve">348 Main Road, Coimbatore</t>
  </si>
  <si>
    <t xml:space="preserve">9642587296</t>
  </si>
  <si>
    <t xml:space="preserve">8558435781</t>
  </si>
  <si>
    <t xml:space="preserve">VIDHULRAJ K</t>
  </si>
  <si>
    <t xml:space="preserve">24CY112</t>
  </si>
  <si>
    <t xml:space="preserve">2006-01-19</t>
  </si>
  <si>
    <t xml:space="preserve">318 Main Road, Coimbatore</t>
  </si>
  <si>
    <t xml:space="preserve">9588994017</t>
  </si>
  <si>
    <t xml:space="preserve">8971650546</t>
  </si>
  <si>
    <t xml:space="preserve">VIJAYARAGAVAN G</t>
  </si>
  <si>
    <t xml:space="preserve">24CY113</t>
  </si>
  <si>
    <t xml:space="preserve">82 Main Road, Coimbatore</t>
  </si>
  <si>
    <t xml:space="preserve">9650209116</t>
  </si>
  <si>
    <t xml:space="preserve">8800070458</t>
  </si>
  <si>
    <t xml:space="preserve">VIMAL RAJ M</t>
  </si>
  <si>
    <t xml:space="preserve">24CY114</t>
  </si>
  <si>
    <t xml:space="preserve">2004-10-18</t>
  </si>
  <si>
    <t xml:space="preserve">775 Main Road, Coimbatore</t>
  </si>
  <si>
    <t xml:space="preserve">9810996876</t>
  </si>
  <si>
    <t xml:space="preserve">8938195763</t>
  </si>
  <si>
    <t xml:space="preserve">VISHAL K</t>
  </si>
  <si>
    <t xml:space="preserve">24CY115</t>
  </si>
  <si>
    <t xml:space="preserve">2002-03-01</t>
  </si>
  <si>
    <t xml:space="preserve">9302782042</t>
  </si>
  <si>
    <t xml:space="preserve">8661193681</t>
  </si>
  <si>
    <t xml:space="preserve">VISHNU PRIYAN B</t>
  </si>
  <si>
    <t xml:space="preserve">24CY116</t>
  </si>
  <si>
    <t xml:space="preserve">192 Main Road, Coimbatore</t>
  </si>
  <si>
    <t xml:space="preserve">9000927492</t>
  </si>
  <si>
    <t xml:space="preserve">8046074761</t>
  </si>
  <si>
    <t xml:space="preserve">VISHVA P</t>
  </si>
  <si>
    <t xml:space="preserve">24CY117</t>
  </si>
  <si>
    <t xml:space="preserve">2002-06-18</t>
  </si>
  <si>
    <t xml:space="preserve">429 Main Road, Coimbatore</t>
  </si>
  <si>
    <t xml:space="preserve">9859164067</t>
  </si>
  <si>
    <t xml:space="preserve">8982986363</t>
  </si>
  <si>
    <t xml:space="preserve">WESLY JASPER N</t>
  </si>
  <si>
    <t xml:space="preserve">24CY118</t>
  </si>
  <si>
    <t xml:space="preserve">2006-03-13</t>
  </si>
  <si>
    <t xml:space="preserve">602 Main Road, Coimbatore</t>
  </si>
  <si>
    <t xml:space="preserve">9814657937</t>
  </si>
  <si>
    <t xml:space="preserve">8645973112</t>
  </si>
  <si>
    <t xml:space="preserve">YOGADHARSHINI I</t>
  </si>
  <si>
    <t xml:space="preserve">24CY119</t>
  </si>
  <si>
    <t xml:space="preserve">2006-05-15</t>
  </si>
  <si>
    <t xml:space="preserve">832 Main Road, Coimbatore</t>
  </si>
  <si>
    <t xml:space="preserve">9412942295</t>
  </si>
  <si>
    <t xml:space="preserve">8432487970</t>
  </si>
  <si>
    <t xml:space="preserve">YUVARAJ S</t>
  </si>
  <si>
    <t xml:space="preserve">EEE</t>
  </si>
  <si>
    <t xml:space="preserve">24CY120</t>
  </si>
  <si>
    <t xml:space="preserve">2006-08-16</t>
  </si>
  <si>
    <t xml:space="preserve">418 Main Road, Coimbatore</t>
  </si>
  <si>
    <t xml:space="preserve">9685782779</t>
  </si>
  <si>
    <t xml:space="preserve">8342266809</t>
  </si>
  <si>
    <t xml:space="preserve">MEENASHREE JAGADEESHKUMAR</t>
  </si>
  <si>
    <t xml:space="preserve">AIML</t>
  </si>
  <si>
    <t xml:space="preserve">24CY1121</t>
  </si>
  <si>
    <t xml:space="preserve">2004-03-24</t>
  </si>
  <si>
    <t xml:space="preserve">547 Main Road, Coimbatore</t>
  </si>
  <si>
    <t xml:space="preserve">9489483709</t>
  </si>
  <si>
    <t xml:space="preserve">8379733365</t>
  </si>
  <si>
    <t xml:space="preserve">SASMITHA KRISHNAMOORTHY</t>
  </si>
  <si>
    <t xml:space="preserve">24CY1122</t>
  </si>
  <si>
    <t xml:space="preserve">2004-04-08</t>
  </si>
  <si>
    <t xml:space="preserve">199 Main Road, Coimbatore</t>
  </si>
  <si>
    <t xml:space="preserve">9792400752</t>
  </si>
  <si>
    <t xml:space="preserve">8110758826</t>
  </si>
  <si>
    <t xml:space="preserve">SHARVITHA GUNASEKARAN VINODHA</t>
  </si>
  <si>
    <t xml:space="preserve">AI&amp;DS</t>
  </si>
  <si>
    <t xml:space="preserve">24CY1123</t>
  </si>
  <si>
    <t xml:space="preserve">2003-12-09</t>
  </si>
  <si>
    <t xml:space="preserve">922 Main Road, Coimbatore</t>
  </si>
  <si>
    <t xml:space="preserve">9432668589</t>
  </si>
  <si>
    <t xml:space="preserve">8324352585</t>
  </si>
  <si>
    <t xml:space="preserve">SINDHUJA SANKARAMOORTHY</t>
  </si>
  <si>
    <t xml:space="preserve">24CY1124</t>
  </si>
  <si>
    <t xml:space="preserve">2004-08-01</t>
  </si>
  <si>
    <t xml:space="preserve">29 Main Road, Coimbatore</t>
  </si>
  <si>
    <t xml:space="preserve">9816454429</t>
  </si>
  <si>
    <t xml:space="preserve">8955382009</t>
  </si>
  <si>
    <t xml:space="preserve">THARUN ADITH .V</t>
  </si>
  <si>
    <t xml:space="preserve">Food Tech</t>
  </si>
  <si>
    <t xml:space="preserve">24CY1125</t>
  </si>
  <si>
    <t xml:space="preserve">2002-04-05</t>
  </si>
  <si>
    <t xml:space="preserve">168 Main Road, Coimbatore</t>
  </si>
  <si>
    <t xml:space="preserve">9825922547</t>
  </si>
  <si>
    <t xml:space="preserve">8162953188</t>
  </si>
  <si>
    <t xml:space="preserve">Aakash Kanna A</t>
  </si>
  <si>
    <t xml:space="preserve">Biomedical</t>
  </si>
  <si>
    <t xml:space="preserve">24CY1126</t>
  </si>
  <si>
    <t xml:space="preserve">2002-07-29</t>
  </si>
  <si>
    <t xml:space="preserve">482 Main Road, Coimbatore</t>
  </si>
  <si>
    <t xml:space="preserve">9651009500</t>
  </si>
  <si>
    <t xml:space="preserve">8304746560</t>
  </si>
  <si>
    <t xml:space="preserve">AISHA AMNA A</t>
  </si>
  <si>
    <t xml:space="preserve">24CY1127</t>
  </si>
  <si>
    <t xml:space="preserve">2003-02-13</t>
  </si>
  <si>
    <t xml:space="preserve">843 Main Road, Coimbatore</t>
  </si>
  <si>
    <t xml:space="preserve">9431536557</t>
  </si>
  <si>
    <t xml:space="preserve">8978132878</t>
  </si>
  <si>
    <t xml:space="preserve">AJAY A</t>
  </si>
  <si>
    <t xml:space="preserve">CSE</t>
  </si>
  <si>
    <t xml:space="preserve">24CY1128</t>
  </si>
  <si>
    <t xml:space="preserve">2004-05-04</t>
  </si>
  <si>
    <t xml:space="preserve">170 Main Road, Coimbatore</t>
  </si>
  <si>
    <t xml:space="preserve">9667938028</t>
  </si>
  <si>
    <t xml:space="preserve">8836371889</t>
  </si>
  <si>
    <t xml:space="preserve">AKILESHWARAN A</t>
  </si>
  <si>
    <t xml:space="preserve">24CY1129</t>
  </si>
  <si>
    <t xml:space="preserve">2006-08-28</t>
  </si>
  <si>
    <t xml:space="preserve">315 Main Road, Coimbatore</t>
  </si>
  <si>
    <t xml:space="preserve">9259053750</t>
  </si>
  <si>
    <t xml:space="preserve">8167540475</t>
  </si>
  <si>
    <t xml:space="preserve">AKSHAYA A</t>
  </si>
  <si>
    <t xml:space="preserve">IT</t>
  </si>
  <si>
    <t xml:space="preserve">24CY1130</t>
  </si>
  <si>
    <t xml:space="preserve">2006-06-02</t>
  </si>
  <si>
    <t xml:space="preserve">44 Main Road, Coimbatore</t>
  </si>
  <si>
    <t xml:space="preserve">9722668699</t>
  </si>
  <si>
    <t xml:space="preserve">8813855213</t>
  </si>
  <si>
    <t xml:space="preserve">ANUSREE A</t>
  </si>
  <si>
    <t xml:space="preserve">24CY1131</t>
  </si>
  <si>
    <t xml:space="preserve">2002-04-19</t>
  </si>
  <si>
    <t xml:space="preserve">219 Main Road, Coimbatore</t>
  </si>
  <si>
    <t xml:space="preserve">9029938223</t>
  </si>
  <si>
    <t xml:space="preserve">8541681538</t>
  </si>
  <si>
    <t xml:space="preserve">APARNA A</t>
  </si>
  <si>
    <t xml:space="preserve">24CY1132</t>
  </si>
  <si>
    <t xml:space="preserve">2002-04-04</t>
  </si>
  <si>
    <t xml:space="preserve">153 Main Road, Coimbatore</t>
  </si>
  <si>
    <t xml:space="preserve">9443680623</t>
  </si>
  <si>
    <t xml:space="preserve">8225439678</t>
  </si>
  <si>
    <t xml:space="preserve">ARAVINDHAN A</t>
  </si>
  <si>
    <t xml:space="preserve">24CY1133</t>
  </si>
  <si>
    <t xml:space="preserve">2003-10-20</t>
  </si>
  <si>
    <t xml:space="preserve">559 Main Road, Coimbatore</t>
  </si>
  <si>
    <t xml:space="preserve">9638763388</t>
  </si>
  <si>
    <t xml:space="preserve">8656482381</t>
  </si>
  <si>
    <t xml:space="preserve">ARAVINTH KUMAR A</t>
  </si>
  <si>
    <t xml:space="preserve">Civil</t>
  </si>
  <si>
    <t xml:space="preserve">24CY1134</t>
  </si>
  <si>
    <t xml:space="preserve">2004-02-01</t>
  </si>
  <si>
    <t xml:space="preserve">962 Main Road, Coimbatore</t>
  </si>
  <si>
    <t xml:space="preserve">9661012359</t>
  </si>
  <si>
    <t xml:space="preserve">8023691927</t>
  </si>
  <si>
    <t xml:space="preserve">AROKKIYA ABI A</t>
  </si>
  <si>
    <t xml:space="preserve">24CY1135</t>
  </si>
  <si>
    <t xml:space="preserve">2004-03-03</t>
  </si>
  <si>
    <t xml:space="preserve">110 Main Road, Coimbatore</t>
  </si>
  <si>
    <t xml:space="preserve">9154525701</t>
  </si>
  <si>
    <t xml:space="preserve">8037696658</t>
  </si>
  <si>
    <t xml:space="preserve">ATCHAYA A</t>
  </si>
  <si>
    <t xml:space="preserve">24CY1136</t>
  </si>
  <si>
    <t xml:space="preserve">201 Main Road, Coimbatore</t>
  </si>
  <si>
    <t xml:space="preserve">9986141121</t>
  </si>
  <si>
    <t xml:space="preserve">8457634834</t>
  </si>
  <si>
    <t xml:space="preserve">CHARAN A</t>
  </si>
  <si>
    <t xml:space="preserve">ECE</t>
  </si>
  <si>
    <t xml:space="preserve">24CY1137</t>
  </si>
  <si>
    <t xml:space="preserve">526 Main Road, Coimbatore</t>
  </si>
  <si>
    <t xml:space="preserve">9321746181</t>
  </si>
  <si>
    <t xml:space="preserve">8945932176</t>
  </si>
  <si>
    <t xml:space="preserve">DHANUSHREE A</t>
  </si>
  <si>
    <t xml:space="preserve">24CY1138</t>
  </si>
  <si>
    <t xml:space="preserve">2002-02-21</t>
  </si>
  <si>
    <t xml:space="preserve">22 Main Road, Coimbatore</t>
  </si>
  <si>
    <t xml:space="preserve">9687243530</t>
  </si>
  <si>
    <t xml:space="preserve">8245799399</t>
  </si>
  <si>
    <t xml:space="preserve">DHARANEESH A</t>
  </si>
  <si>
    <t xml:space="preserve">24CY1139</t>
  </si>
  <si>
    <t xml:space="preserve">2005-01-21</t>
  </si>
  <si>
    <t xml:space="preserve">131 Main Road, Coimbatore</t>
  </si>
  <si>
    <t xml:space="preserve">9751475406</t>
  </si>
  <si>
    <t xml:space="preserve">8135978419</t>
  </si>
  <si>
    <t xml:space="preserve">DHARANISHWARAN A</t>
  </si>
  <si>
    <t xml:space="preserve">24CY1140</t>
  </si>
  <si>
    <t xml:space="preserve">2004-12-23</t>
  </si>
  <si>
    <t xml:space="preserve">409 Main Road, Coimbatore</t>
  </si>
  <si>
    <t xml:space="preserve">9624973350</t>
  </si>
  <si>
    <t xml:space="preserve">8533490206</t>
  </si>
  <si>
    <t xml:space="preserve">FRAN DELANY A</t>
  </si>
  <si>
    <t xml:space="preserve">24CY1141</t>
  </si>
  <si>
    <t xml:space="preserve">2003-03-28</t>
  </si>
  <si>
    <t xml:space="preserve">205 Main Road, Coimbatore</t>
  </si>
  <si>
    <t xml:space="preserve">9793401067</t>
  </si>
  <si>
    <t xml:space="preserve">8048008627</t>
  </si>
  <si>
    <t xml:space="preserve">FRANCIS LINUS A</t>
  </si>
  <si>
    <t xml:space="preserve">24CY1142</t>
  </si>
  <si>
    <t xml:space="preserve">2003-10-08</t>
  </si>
  <si>
    <t xml:space="preserve">142 Main Road, Coimbatore</t>
  </si>
  <si>
    <t xml:space="preserve">9938951454</t>
  </si>
  <si>
    <t xml:space="preserve">8220164636</t>
  </si>
  <si>
    <t xml:space="preserve">HARIPRASATH A</t>
  </si>
  <si>
    <t xml:space="preserve">24CY1143</t>
  </si>
  <si>
    <t xml:space="preserve">607 Main Road, Coimbatore</t>
  </si>
  <si>
    <t xml:space="preserve">9196125349</t>
  </si>
  <si>
    <t xml:space="preserve">8353754336</t>
  </si>
  <si>
    <t xml:space="preserve">IYYAPPAN A</t>
  </si>
  <si>
    <t xml:space="preserve">24CY1144</t>
  </si>
  <si>
    <t xml:space="preserve">2003-01-28</t>
  </si>
  <si>
    <t xml:space="preserve">714 Main Road, Coimbatore</t>
  </si>
  <si>
    <t xml:space="preserve">9329013157</t>
  </si>
  <si>
    <t xml:space="preserve">8949869443</t>
  </si>
  <si>
    <t xml:space="preserve">JAYAPRIYA A</t>
  </si>
  <si>
    <t xml:space="preserve">24CY1145</t>
  </si>
  <si>
    <t xml:space="preserve">2005-04-07</t>
  </si>
  <si>
    <t xml:space="preserve">706 Main Road, Coimbatore</t>
  </si>
  <si>
    <t xml:space="preserve">9255033786</t>
  </si>
  <si>
    <t xml:space="preserve">8458758512</t>
  </si>
  <si>
    <t xml:space="preserve">KARTHIK JAYAKRISHNA A</t>
  </si>
  <si>
    <t xml:space="preserve">VLSI</t>
  </si>
  <si>
    <t xml:space="preserve">24CY1146</t>
  </si>
  <si>
    <t xml:space="preserve">2005-05-20</t>
  </si>
  <si>
    <t xml:space="preserve">611 Main Road, Coimbatore</t>
  </si>
  <si>
    <t xml:space="preserve">9021856198</t>
  </si>
  <si>
    <t xml:space="preserve">8245689022</t>
  </si>
  <si>
    <t xml:space="preserve">KAVIBHAARATHI A</t>
  </si>
  <si>
    <t xml:space="preserve">24CY1147</t>
  </si>
  <si>
    <t xml:space="preserve">115 Main Road, Coimbatore</t>
  </si>
  <si>
    <t xml:space="preserve">9104370868</t>
  </si>
  <si>
    <t xml:space="preserve">8932614285</t>
  </si>
  <si>
    <t xml:space="preserve">KAVIYA A</t>
  </si>
  <si>
    <t xml:space="preserve">24CY1148</t>
  </si>
  <si>
    <t xml:space="preserve">2004-04-27</t>
  </si>
  <si>
    <t xml:space="preserve">436 Main Road, Coimbatore</t>
  </si>
  <si>
    <t xml:space="preserve">9958444137</t>
  </si>
  <si>
    <t xml:space="preserve">8972264227</t>
  </si>
  <si>
    <t xml:space="preserve">KAVYA SREE A</t>
  </si>
  <si>
    <t xml:space="preserve">24CY1149</t>
  </si>
  <si>
    <t xml:space="preserve">2004-11-03</t>
  </si>
  <si>
    <t xml:space="preserve">538 Main Road, Coimbatore</t>
  </si>
  <si>
    <t xml:space="preserve">9315164691</t>
  </si>
  <si>
    <t xml:space="preserve">8589008470</t>
  </si>
  <si>
    <t xml:space="preserve">KIRANKUMAR A</t>
  </si>
  <si>
    <t xml:space="preserve">24CY1150</t>
  </si>
  <si>
    <t xml:space="preserve">2004-11-25</t>
  </si>
  <si>
    <t xml:space="preserve">250 Main Road, Coimbatore</t>
  </si>
  <si>
    <t xml:space="preserve">9561999578</t>
  </si>
  <si>
    <t xml:space="preserve">8945638042</t>
  </si>
  <si>
    <t xml:space="preserve">MAHATHI A</t>
  </si>
  <si>
    <t xml:space="preserve">24CY1151</t>
  </si>
  <si>
    <t xml:space="preserve">2004-01-27</t>
  </si>
  <si>
    <t xml:space="preserve">564 Main Road, Coimbatore</t>
  </si>
  <si>
    <t xml:space="preserve">9601033582</t>
  </si>
  <si>
    <t xml:space="preserve">8105751120</t>
  </si>
  <si>
    <t xml:space="preserve">MITHUN A</t>
  </si>
  <si>
    <t xml:space="preserve">24CY1152</t>
  </si>
  <si>
    <t xml:space="preserve">2002-12-29</t>
  </si>
  <si>
    <t xml:space="preserve">9657179041</t>
  </si>
  <si>
    <t xml:space="preserve">8001620196</t>
  </si>
  <si>
    <t xml:space="preserve">MOHAMMED HARRIES A</t>
  </si>
  <si>
    <t xml:space="preserve">24CY1153</t>
  </si>
  <si>
    <t xml:space="preserve">2003-02-16</t>
  </si>
  <si>
    <t xml:space="preserve">189 Main Road, Coimbatore</t>
  </si>
  <si>
    <t xml:space="preserve">9462005430</t>
  </si>
  <si>
    <t xml:space="preserve">8850257679</t>
  </si>
  <si>
    <t xml:space="preserve">MOHAMMED RIYAS A</t>
  </si>
  <si>
    <t xml:space="preserve">24CY1154</t>
  </si>
  <si>
    <t xml:space="preserve">2003-11-26</t>
  </si>
  <si>
    <t xml:space="preserve">9450186005</t>
  </si>
  <si>
    <t xml:space="preserve">8061709486</t>
  </si>
  <si>
    <t xml:space="preserve">MUKESH KUMAR A</t>
  </si>
  <si>
    <t xml:space="preserve">24CY1155</t>
  </si>
  <si>
    <t xml:space="preserve">2004-07-21</t>
  </si>
  <si>
    <t xml:space="preserve">9793634547</t>
  </si>
  <si>
    <t xml:space="preserve">8229898715</t>
  </si>
  <si>
    <t xml:space="preserve">NAGULESHAN A</t>
  </si>
  <si>
    <t xml:space="preserve">24CY1156</t>
  </si>
  <si>
    <t xml:space="preserve">2002-05-20</t>
  </si>
  <si>
    <t xml:space="preserve">673 Main Road, Coimbatore</t>
  </si>
  <si>
    <t xml:space="preserve">9689343097</t>
  </si>
  <si>
    <t xml:space="preserve">8891858886</t>
  </si>
  <si>
    <t xml:space="preserve">NAJEEB RAZA A</t>
  </si>
  <si>
    <t xml:space="preserve">24CY1157</t>
  </si>
  <si>
    <t xml:space="preserve">500 Main Road, Coimbatore</t>
  </si>
  <si>
    <t xml:space="preserve">9297448858</t>
  </si>
  <si>
    <t xml:space="preserve">8851093263</t>
  </si>
  <si>
    <t xml:space="preserve">PranitH A</t>
  </si>
  <si>
    <t xml:space="preserve">24CY1158</t>
  </si>
  <si>
    <t xml:space="preserve">2002-04-27</t>
  </si>
  <si>
    <t xml:space="preserve">709 Main Road, Coimbatore</t>
  </si>
  <si>
    <t xml:space="preserve">9016784441</t>
  </si>
  <si>
    <t xml:space="preserve">8158791380</t>
  </si>
  <si>
    <t xml:space="preserve">PRAVEENKUMAR A</t>
  </si>
  <si>
    <t xml:space="preserve">24CY1159</t>
  </si>
  <si>
    <t xml:space="preserve">2004-08-17</t>
  </si>
  <si>
    <t xml:space="preserve">870 Main Road, Coimbatore</t>
  </si>
  <si>
    <t xml:space="preserve">9708218095</t>
  </si>
  <si>
    <t xml:space="preserve">8384628839</t>
  </si>
  <si>
    <t xml:space="preserve">SARAVANA KUMAR A</t>
  </si>
  <si>
    <t xml:space="preserve">24CY1160</t>
  </si>
  <si>
    <t xml:space="preserve">626 Main Road, Coimbatore</t>
  </si>
  <si>
    <t xml:space="preserve">9411819003</t>
  </si>
  <si>
    <t xml:space="preserve">8562427516</t>
  </si>
  <si>
    <t xml:space="preserve">SATHYA SRI A</t>
  </si>
  <si>
    <t xml:space="preserve">24CY1161</t>
  </si>
  <si>
    <t xml:space="preserve">2003-09-22</t>
  </si>
  <si>
    <t xml:space="preserve">9468514840</t>
  </si>
  <si>
    <t xml:space="preserve">8564490840</t>
  </si>
  <si>
    <t xml:space="preserve">SUMAN KARTHICK A</t>
  </si>
  <si>
    <t xml:space="preserve">24CY1162</t>
  </si>
  <si>
    <t xml:space="preserve">2002-07-12</t>
  </si>
  <si>
    <t xml:space="preserve">207 Main Road, Coimbatore</t>
  </si>
  <si>
    <t xml:space="preserve">9516087936</t>
  </si>
  <si>
    <t xml:space="preserve">8200448542</t>
  </si>
  <si>
    <t xml:space="preserve">SUTHANYA A</t>
  </si>
  <si>
    <t xml:space="preserve">24CY1163</t>
  </si>
  <si>
    <t xml:space="preserve">2004-05-30</t>
  </si>
  <si>
    <t xml:space="preserve">9474112921</t>
  </si>
  <si>
    <t xml:space="preserve">8652603049</t>
  </si>
  <si>
    <t xml:space="preserve">THAHASIN BEGAM A</t>
  </si>
  <si>
    <t xml:space="preserve">24CY1164</t>
  </si>
  <si>
    <t xml:space="preserve">2004-09-05</t>
  </si>
  <si>
    <t xml:space="preserve">697 Main Road, Coimbatore</t>
  </si>
  <si>
    <t xml:space="preserve">9809969541</t>
  </si>
  <si>
    <t xml:space="preserve">8057169048</t>
  </si>
  <si>
    <t xml:space="preserve">THARUN A</t>
  </si>
  <si>
    <t xml:space="preserve">24CY1165</t>
  </si>
  <si>
    <t xml:space="preserve">2004-04-13</t>
  </si>
  <si>
    <t xml:space="preserve">558 Main Road, Coimbatore</t>
  </si>
  <si>
    <t xml:space="preserve">9292979715</t>
  </si>
  <si>
    <t xml:space="preserve">8196978143</t>
  </si>
  <si>
    <t xml:space="preserve">THITHIKSHA A</t>
  </si>
  <si>
    <t xml:space="preserve">24CY1166</t>
  </si>
  <si>
    <t xml:space="preserve">2002-10-23</t>
  </si>
  <si>
    <t xml:space="preserve">364 Main Road, Coimbatore</t>
  </si>
  <si>
    <t xml:space="preserve">9094944281</t>
  </si>
  <si>
    <t xml:space="preserve">8205896088</t>
  </si>
  <si>
    <t xml:space="preserve">THOMAS A</t>
  </si>
  <si>
    <t xml:space="preserve">24CY1167</t>
  </si>
  <si>
    <t xml:space="preserve">2005-11-11</t>
  </si>
  <si>
    <t xml:space="preserve">294 Main Road, Coimbatore</t>
  </si>
  <si>
    <t xml:space="preserve">9004486837</t>
  </si>
  <si>
    <t xml:space="preserve">8705465421</t>
  </si>
  <si>
    <t xml:space="preserve">UDHAY SREE A</t>
  </si>
  <si>
    <t xml:space="preserve">24CY1168</t>
  </si>
  <si>
    <t xml:space="preserve">2002-09-27</t>
  </si>
  <si>
    <t xml:space="preserve">477 Main Road, Coimbatore</t>
  </si>
  <si>
    <t xml:space="preserve">9356386864</t>
  </si>
  <si>
    <t xml:space="preserve">8521961434</t>
  </si>
  <si>
    <t xml:space="preserve">VISHAK A</t>
  </si>
  <si>
    <t xml:space="preserve">24CY1169</t>
  </si>
  <si>
    <t xml:space="preserve">2003-01-10</t>
  </si>
  <si>
    <t xml:space="preserve">623 Main Road, Coimbatore</t>
  </si>
  <si>
    <t xml:space="preserve">9274297650</t>
  </si>
  <si>
    <t xml:space="preserve">8892114645</t>
  </si>
  <si>
    <t xml:space="preserve">VISHAL A</t>
  </si>
  <si>
    <t xml:space="preserve">24CY1170</t>
  </si>
  <si>
    <t xml:space="preserve">2005-08-07</t>
  </si>
  <si>
    <t xml:space="preserve">9920958718</t>
  </si>
  <si>
    <t xml:space="preserve">8831682191</t>
  </si>
  <si>
    <t xml:space="preserve">YOHESH A</t>
  </si>
  <si>
    <t xml:space="preserve">24CY1171</t>
  </si>
  <si>
    <t xml:space="preserve">2006-01-25</t>
  </si>
  <si>
    <t xml:space="preserve">9018803223</t>
  </si>
  <si>
    <t xml:space="preserve">8172678301</t>
  </si>
  <si>
    <t xml:space="preserve">DIVYAPRAKASH A J</t>
  </si>
  <si>
    <t xml:space="preserve">24CY1172</t>
  </si>
  <si>
    <t xml:space="preserve">2006-05-13</t>
  </si>
  <si>
    <t xml:space="preserve">687 Main Road, Coimbatore</t>
  </si>
  <si>
    <t xml:space="preserve">9054196423</t>
  </si>
  <si>
    <t xml:space="preserve">8318109341</t>
  </si>
  <si>
    <t xml:space="preserve">NIRMAL AKASH A M</t>
  </si>
  <si>
    <t xml:space="preserve">24CY1173</t>
  </si>
  <si>
    <t xml:space="preserve">2004-01-02</t>
  </si>
  <si>
    <t xml:space="preserve">227 Main Road, Coimbatore</t>
  </si>
  <si>
    <t xml:space="preserve">9162609533</t>
  </si>
  <si>
    <t xml:space="preserve">8726160870</t>
  </si>
  <si>
    <t xml:space="preserve">KOVARSHINI A N</t>
  </si>
  <si>
    <t xml:space="preserve">24CY1174</t>
  </si>
  <si>
    <t xml:space="preserve">2006-07-06</t>
  </si>
  <si>
    <t xml:space="preserve">420 Main Road, Coimbatore</t>
  </si>
  <si>
    <t xml:space="preserve">9921868349</t>
  </si>
  <si>
    <t xml:space="preserve">8139051017</t>
  </si>
  <si>
    <t xml:space="preserve">AKSHARA A P</t>
  </si>
  <si>
    <t xml:space="preserve">24CY1175</t>
  </si>
  <si>
    <t xml:space="preserve">2006-07-08</t>
  </si>
  <si>
    <t xml:space="preserve">740 Main Road, Coimbatore</t>
  </si>
  <si>
    <t xml:space="preserve">9000777038</t>
  </si>
  <si>
    <t xml:space="preserve">8347266974</t>
  </si>
  <si>
    <t xml:space="preserve">SURENDRAN A P</t>
  </si>
  <si>
    <t xml:space="preserve">24CY1176</t>
  </si>
  <si>
    <t xml:space="preserve">2005-03-08</t>
  </si>
  <si>
    <t xml:space="preserve">249 Main Road, Coimbatore</t>
  </si>
  <si>
    <t xml:space="preserve">9221334837</t>
  </si>
  <si>
    <t xml:space="preserve">8078464263</t>
  </si>
  <si>
    <t xml:space="preserve">ANBARASU A S</t>
  </si>
  <si>
    <t xml:space="preserve">24CY1177</t>
  </si>
  <si>
    <t xml:space="preserve">2006-05-16</t>
  </si>
  <si>
    <t xml:space="preserve">52 Main Road, Coimbatore</t>
  </si>
  <si>
    <t xml:space="preserve">9524665681</t>
  </si>
  <si>
    <t xml:space="preserve">8433460549</t>
  </si>
  <si>
    <t xml:space="preserve">VIRUKSHA A S</t>
  </si>
  <si>
    <t xml:space="preserve">24CY1178</t>
  </si>
  <si>
    <t xml:space="preserve">2006-03-05</t>
  </si>
  <si>
    <t xml:space="preserve">39 Main Road, Coimbatore</t>
  </si>
  <si>
    <t xml:space="preserve">9392316043</t>
  </si>
  <si>
    <t xml:space="preserve">8307800768</t>
  </si>
  <si>
    <t xml:space="preserve">VISHAAL A S</t>
  </si>
  <si>
    <t xml:space="preserve">24CY1179</t>
  </si>
  <si>
    <t xml:space="preserve">2006-02-26</t>
  </si>
  <si>
    <t xml:space="preserve">9930737892</t>
  </si>
  <si>
    <t xml:space="preserve">8756112288</t>
  </si>
  <si>
    <t xml:space="preserve">PRABHU SIDDARTH A V</t>
  </si>
  <si>
    <t xml:space="preserve">24CY1180</t>
  </si>
  <si>
    <t xml:space="preserve">779 Main Road, Coimbatore</t>
  </si>
  <si>
    <t xml:space="preserve">9215007903</t>
  </si>
  <si>
    <t xml:space="preserve">8925769725</t>
  </si>
  <si>
    <t xml:space="preserve">PRANESHWARAN AJ</t>
  </si>
  <si>
    <t xml:space="preserve">24CY1181</t>
  </si>
  <si>
    <t xml:space="preserve">2002-09-05</t>
  </si>
  <si>
    <t xml:space="preserve">312 Main Road, Coimbatore</t>
  </si>
  <si>
    <t xml:space="preserve">9977061460</t>
  </si>
  <si>
    <t xml:space="preserve">8146311699</t>
  </si>
  <si>
    <t xml:space="preserve">AKILAN B</t>
  </si>
  <si>
    <t xml:space="preserve">24CY1182</t>
  </si>
  <si>
    <t xml:space="preserve">2003-09-10</t>
  </si>
  <si>
    <t xml:space="preserve">925 Main Road, Coimbatore</t>
  </si>
  <si>
    <t xml:space="preserve">9859227652</t>
  </si>
  <si>
    <t xml:space="preserve">8400404483</t>
  </si>
  <si>
    <t xml:space="preserve">AKILNILA B</t>
  </si>
  <si>
    <t xml:space="preserve">24CY1183</t>
  </si>
  <si>
    <t xml:space="preserve">2003-04-16</t>
  </si>
  <si>
    <t xml:space="preserve">9629442497</t>
  </si>
  <si>
    <t xml:space="preserve">8974306843</t>
  </si>
  <si>
    <t xml:space="preserve">ARUNALEX B</t>
  </si>
  <si>
    <t xml:space="preserve">24CY1184</t>
  </si>
  <si>
    <t xml:space="preserve">2005-02-28</t>
  </si>
  <si>
    <t xml:space="preserve">667 Main Road, Coimbatore</t>
  </si>
  <si>
    <t xml:space="preserve">9820387689</t>
  </si>
  <si>
    <t xml:space="preserve">8947358271</t>
  </si>
  <si>
    <t xml:space="preserve">BALAJI B</t>
  </si>
  <si>
    <t xml:space="preserve">24CY1185</t>
  </si>
  <si>
    <t xml:space="preserve">2006-10-10</t>
  </si>
  <si>
    <t xml:space="preserve">394 Main Road, Coimbatore</t>
  </si>
  <si>
    <t xml:space="preserve">9661804102</t>
  </si>
  <si>
    <t xml:space="preserve">8316774092</t>
  </si>
  <si>
    <t xml:space="preserve">BANGAIYARSELVI B</t>
  </si>
  <si>
    <t xml:space="preserve">24CY1186</t>
  </si>
  <si>
    <t xml:space="preserve">2003-11-07</t>
  </si>
  <si>
    <t xml:space="preserve">404 Main Road, Coimbatore</t>
  </si>
  <si>
    <t xml:space="preserve">9278205101</t>
  </si>
  <si>
    <t xml:space="preserve">8270417783</t>
  </si>
  <si>
    <t xml:space="preserve">DWARAKESH B</t>
  </si>
  <si>
    <t xml:space="preserve">24CY1187</t>
  </si>
  <si>
    <t xml:space="preserve">9134146455</t>
  </si>
  <si>
    <t xml:space="preserve">8620942063</t>
  </si>
  <si>
    <t xml:space="preserve">HARINI B</t>
  </si>
  <si>
    <t xml:space="preserve">24CY1188</t>
  </si>
  <si>
    <t xml:space="preserve">2002-04-24</t>
  </si>
  <si>
    <t xml:space="preserve">470 Main Road, Coimbatore</t>
  </si>
  <si>
    <t xml:space="preserve">9548354170</t>
  </si>
  <si>
    <t xml:space="preserve">8451325808</t>
  </si>
  <si>
    <t xml:space="preserve">HARSHANTH RAAJ B</t>
  </si>
  <si>
    <t xml:space="preserve">24CY1189</t>
  </si>
  <si>
    <t xml:space="preserve">2006-02-16</t>
  </si>
  <si>
    <t xml:space="preserve">411 Main Road, Coimbatore</t>
  </si>
  <si>
    <t xml:space="preserve">9706247849</t>
  </si>
  <si>
    <t xml:space="preserve">8977664969</t>
  </si>
  <si>
    <t xml:space="preserve">Kamalesh B</t>
  </si>
  <si>
    <t xml:space="preserve">24CY1190</t>
  </si>
  <si>
    <t xml:space="preserve">2004-04-02</t>
  </si>
  <si>
    <t xml:space="preserve">257 Main Road, Coimbatore</t>
  </si>
  <si>
    <t xml:space="preserve">9927479862</t>
  </si>
  <si>
    <t xml:space="preserve">8650167761</t>
  </si>
  <si>
    <t xml:space="preserve">KANIMOZHI B</t>
  </si>
  <si>
    <t xml:space="preserve">24CY1191</t>
  </si>
  <si>
    <t xml:space="preserve">186 Main Road, Coimbatore</t>
  </si>
  <si>
    <t xml:space="preserve">9326283383</t>
  </si>
  <si>
    <t xml:space="preserve">8173986367</t>
  </si>
  <si>
    <t xml:space="preserve">KAVENILAA B</t>
  </si>
  <si>
    <t xml:space="preserve">24CY1192</t>
  </si>
  <si>
    <t xml:space="preserve">2006-01-21</t>
  </si>
  <si>
    <t xml:space="preserve">454 Main Road, Coimbatore</t>
  </si>
  <si>
    <t xml:space="preserve">9678379085</t>
  </si>
  <si>
    <t xml:space="preserve">8441418969</t>
  </si>
  <si>
    <t xml:space="preserve">KEERTHIVASAN B</t>
  </si>
  <si>
    <t xml:space="preserve">24CY1193</t>
  </si>
  <si>
    <t xml:space="preserve">248 Main Road, Coimbatore</t>
  </si>
  <si>
    <t xml:space="preserve">9492543727</t>
  </si>
  <si>
    <t xml:space="preserve">8420309980</t>
  </si>
  <si>
    <t xml:space="preserve">MITHUN B</t>
  </si>
  <si>
    <t xml:space="preserve">24CY1194</t>
  </si>
  <si>
    <t xml:space="preserve">2003-09-20</t>
  </si>
  <si>
    <t xml:space="preserve">182 Main Road, Coimbatore</t>
  </si>
  <si>
    <t xml:space="preserve">9394160714</t>
  </si>
  <si>
    <t xml:space="preserve">8140320904</t>
  </si>
  <si>
    <t xml:space="preserve">MOUNEESH B</t>
  </si>
  <si>
    <t xml:space="preserve">24CY1195</t>
  </si>
  <si>
    <t xml:space="preserve">2006-05-17</t>
  </si>
  <si>
    <t xml:space="preserve">970 Main Road, Coimbatore</t>
  </si>
  <si>
    <t xml:space="preserve">9460784956</t>
  </si>
  <si>
    <t xml:space="preserve">8890829817</t>
  </si>
  <si>
    <t xml:space="preserve">MURALIDHARAN B</t>
  </si>
  <si>
    <t xml:space="preserve">24CY1196</t>
  </si>
  <si>
    <t xml:space="preserve">2003-02-14</t>
  </si>
  <si>
    <t xml:space="preserve">9597464357</t>
  </si>
  <si>
    <t xml:space="preserve">8639383352</t>
  </si>
  <si>
    <t xml:space="preserve">NEKASRI B</t>
  </si>
  <si>
    <t xml:space="preserve">24CY1197</t>
  </si>
  <si>
    <t xml:space="preserve">2004-09-10</t>
  </si>
  <si>
    <t xml:space="preserve">724 Main Road, Coimbatore</t>
  </si>
  <si>
    <t xml:space="preserve">9820405798</t>
  </si>
  <si>
    <t xml:space="preserve">8929805911</t>
  </si>
  <si>
    <t xml:space="preserve">PARTHINI B</t>
  </si>
  <si>
    <t xml:space="preserve">24CY1198</t>
  </si>
  <si>
    <t xml:space="preserve">2005-11-05</t>
  </si>
  <si>
    <t xml:space="preserve">9583562379</t>
  </si>
  <si>
    <t xml:space="preserve">8398235978</t>
  </si>
  <si>
    <t xml:space="preserve">PRASANNA B</t>
  </si>
  <si>
    <t xml:space="preserve">24CY1199</t>
  </si>
  <si>
    <t xml:space="preserve">2002-10-14</t>
  </si>
  <si>
    <t xml:space="preserve">45 Main Road, Coimbatore</t>
  </si>
  <si>
    <t xml:space="preserve">9774990332</t>
  </si>
  <si>
    <t xml:space="preserve">8417864268</t>
  </si>
  <si>
    <t xml:space="preserve">PRAVEENA B</t>
  </si>
  <si>
    <t xml:space="preserve">24CY1200</t>
  </si>
  <si>
    <t xml:space="preserve">2002-05-08</t>
  </si>
  <si>
    <t xml:space="preserve">282 Main Road, Coimbatore</t>
  </si>
  <si>
    <t xml:space="preserve">9436715909</t>
  </si>
  <si>
    <t xml:space="preserve">8506818942</t>
  </si>
  <si>
    <t xml:space="preserve">PREETHI KRISHNA B</t>
  </si>
  <si>
    <t xml:space="preserve">24CY1201</t>
  </si>
  <si>
    <t xml:space="preserve">2004-10-19</t>
  </si>
  <si>
    <t xml:space="preserve">530 Main Road, Coimbatore</t>
  </si>
  <si>
    <t xml:space="preserve">9704277701</t>
  </si>
  <si>
    <t xml:space="preserve">8857056901</t>
  </si>
  <si>
    <t xml:space="preserve">SANDEEPBHARATHI B</t>
  </si>
  <si>
    <t xml:space="preserve">24CY1202</t>
  </si>
  <si>
    <t xml:space="preserve">2005-09-24</t>
  </si>
  <si>
    <t xml:space="preserve">600 Main Road, Coimbatore</t>
  </si>
  <si>
    <t xml:space="preserve">9148371126</t>
  </si>
  <si>
    <t xml:space="preserve">8502411213</t>
  </si>
  <si>
    <t xml:space="preserve">SANJAY B</t>
  </si>
  <si>
    <t xml:space="preserve">24CY1203</t>
  </si>
  <si>
    <t xml:space="preserve">2003-03-26</t>
  </si>
  <si>
    <t xml:space="preserve">9252879460</t>
  </si>
  <si>
    <t xml:space="preserve">8115915114</t>
  </si>
  <si>
    <t xml:space="preserve">SHAKKTHI B</t>
  </si>
  <si>
    <t xml:space="preserve">24CY1204</t>
  </si>
  <si>
    <t xml:space="preserve">2005-08-12</t>
  </si>
  <si>
    <t xml:space="preserve">180 Main Road, Coimbatore</t>
  </si>
  <si>
    <t xml:space="preserve">9178200191</t>
  </si>
  <si>
    <t xml:space="preserve">8510382954</t>
  </si>
  <si>
    <t xml:space="preserve">SIVAPRASANTH B</t>
  </si>
  <si>
    <t xml:space="preserve">24CY1205</t>
  </si>
  <si>
    <t xml:space="preserve">2003-04-03</t>
  </si>
  <si>
    <t xml:space="preserve">9021946143</t>
  </si>
  <si>
    <t xml:space="preserve">8204348955</t>
  </si>
  <si>
    <t xml:space="preserve">SUDHARSANA B</t>
  </si>
  <si>
    <t xml:space="preserve">24CY1206</t>
  </si>
  <si>
    <t xml:space="preserve">2004-03-07</t>
  </si>
  <si>
    <t xml:space="preserve">309 Main Road, Coimbatore</t>
  </si>
  <si>
    <t xml:space="preserve">9065329691</t>
  </si>
  <si>
    <t xml:space="preserve">8943894106</t>
  </si>
  <si>
    <t xml:space="preserve">SWETHA B</t>
  </si>
  <si>
    <t xml:space="preserve">24CY1207</t>
  </si>
  <si>
    <t xml:space="preserve">2006-07-14</t>
  </si>
  <si>
    <t xml:space="preserve">363 Main Road, Coimbatore</t>
  </si>
  <si>
    <t xml:space="preserve">9447025221</t>
  </si>
  <si>
    <t xml:space="preserve">8420646501</t>
  </si>
  <si>
    <t xml:space="preserve">VISHNU SREE B</t>
  </si>
  <si>
    <t xml:space="preserve">24CY1208</t>
  </si>
  <si>
    <t xml:space="preserve">2004-09-11</t>
  </si>
  <si>
    <t xml:space="preserve">202 Main Road, Coimbatore</t>
  </si>
  <si>
    <t xml:space="preserve">9968555483</t>
  </si>
  <si>
    <t xml:space="preserve">8137321684</t>
  </si>
  <si>
    <t xml:space="preserve">VISHWA B</t>
  </si>
  <si>
    <t xml:space="preserve">24CY1209</t>
  </si>
  <si>
    <t xml:space="preserve">2004-08-18</t>
  </si>
  <si>
    <t xml:space="preserve">772 Main Road, Coimbatore</t>
  </si>
  <si>
    <t xml:space="preserve">9512591773</t>
  </si>
  <si>
    <t xml:space="preserve">8577764341</t>
  </si>
  <si>
    <t xml:space="preserve">YESWANTH B</t>
  </si>
  <si>
    <t xml:space="preserve">24CY1210</t>
  </si>
  <si>
    <t xml:space="preserve">2002-01-09</t>
  </si>
  <si>
    <t xml:space="preserve">125 Main Road, Coimbatore</t>
  </si>
  <si>
    <t xml:space="preserve">9658058360</t>
  </si>
  <si>
    <t xml:space="preserve">8876117770</t>
  </si>
  <si>
    <t xml:space="preserve">SHINE ABILASH B R</t>
  </si>
  <si>
    <t xml:space="preserve">24CY1211</t>
  </si>
  <si>
    <t xml:space="preserve">2002-12-30</t>
  </si>
  <si>
    <t xml:space="preserve">586 Main Road, Coimbatore</t>
  </si>
  <si>
    <t xml:space="preserve">9155766376</t>
  </si>
  <si>
    <t xml:space="preserve">8497155873</t>
  </si>
  <si>
    <t xml:space="preserve">HARIHARAN B S</t>
  </si>
  <si>
    <t xml:space="preserve">24CY1212</t>
  </si>
  <si>
    <t xml:space="preserve">9645013442</t>
  </si>
  <si>
    <t xml:space="preserve">8898852857</t>
  </si>
  <si>
    <t xml:space="preserve">NITHESH B S</t>
  </si>
  <si>
    <t xml:space="preserve">24CY1213</t>
  </si>
  <si>
    <t xml:space="preserve">2004-05-14</t>
  </si>
  <si>
    <t xml:space="preserve">873 Main Road, Coimbatore</t>
  </si>
  <si>
    <t xml:space="preserve">9588320192</t>
  </si>
  <si>
    <t xml:space="preserve">8145779193</t>
  </si>
  <si>
    <t xml:space="preserve">AMALA INIYA C</t>
  </si>
  <si>
    <t xml:space="preserve">24CY1214</t>
  </si>
  <si>
    <t xml:space="preserve">2003-03-29</t>
  </si>
  <si>
    <t xml:space="preserve">374 Main Road, Coimbatore</t>
  </si>
  <si>
    <t xml:space="preserve">9823845309</t>
  </si>
  <si>
    <t xml:space="preserve">8357658128</t>
  </si>
  <si>
    <t xml:space="preserve">ANIRUDHAN C</t>
  </si>
  <si>
    <t xml:space="preserve">24CY1215</t>
  </si>
  <si>
    <t xml:space="preserve">2003-11-28</t>
  </si>
  <si>
    <t xml:space="preserve">301 Main Road, Coimbatore</t>
  </si>
  <si>
    <t xml:space="preserve">9894040816</t>
  </si>
  <si>
    <t xml:space="preserve">8970667096</t>
  </si>
  <si>
    <t xml:space="preserve">DEEPA CHANDHIYA C</t>
  </si>
  <si>
    <t xml:space="preserve">24CY1216</t>
  </si>
  <si>
    <t xml:space="preserve">2005-01-11</t>
  </si>
  <si>
    <t xml:space="preserve">536 Main Road, Coimbatore</t>
  </si>
  <si>
    <t xml:space="preserve">9629350243</t>
  </si>
  <si>
    <t xml:space="preserve">8962162797</t>
  </si>
  <si>
    <t xml:space="preserve">KOKILAN C</t>
  </si>
  <si>
    <t xml:space="preserve">24CY1217</t>
  </si>
  <si>
    <t xml:space="preserve">2006-02-19</t>
  </si>
  <si>
    <t xml:space="preserve">965 Main Road, Coimbatore</t>
  </si>
  <si>
    <t xml:space="preserve">9376352396</t>
  </si>
  <si>
    <t xml:space="preserve">8624324690</t>
  </si>
  <si>
    <t xml:space="preserve">LOGESHWAR C</t>
  </si>
  <si>
    <t xml:space="preserve">24CY1218</t>
  </si>
  <si>
    <t xml:space="preserve">2004-08-08</t>
  </si>
  <si>
    <t xml:space="preserve">302 Main Road, Coimbatore</t>
  </si>
  <si>
    <t xml:space="preserve">9077028096</t>
  </si>
  <si>
    <t xml:space="preserve">8342767848</t>
  </si>
  <si>
    <t xml:space="preserve">MANIKANDAN C</t>
  </si>
  <si>
    <t xml:space="preserve">24CY1219</t>
  </si>
  <si>
    <t xml:space="preserve">2003-07-05</t>
  </si>
  <si>
    <t xml:space="preserve">9808090770</t>
  </si>
  <si>
    <t xml:space="preserve">8593254453</t>
  </si>
  <si>
    <t xml:space="preserve">MOWNISH C</t>
  </si>
  <si>
    <t xml:space="preserve">24CY1220</t>
  </si>
  <si>
    <t xml:space="preserve">2002-06-15</t>
  </si>
  <si>
    <t xml:space="preserve">764 Main Road, Coimbatore</t>
  </si>
  <si>
    <t xml:space="preserve">9715795406</t>
  </si>
  <si>
    <t xml:space="preserve">8451480970</t>
  </si>
  <si>
    <t xml:space="preserve">NIVETHA C</t>
  </si>
  <si>
    <t xml:space="preserve">24CY1221</t>
  </si>
  <si>
    <t xml:space="preserve">2002-07-07</t>
  </si>
  <si>
    <t xml:space="preserve">373 Main Road, Coimbatore</t>
  </si>
  <si>
    <t xml:space="preserve">9601144239</t>
  </si>
  <si>
    <t xml:space="preserve">8546122360</t>
  </si>
  <si>
    <t xml:space="preserve">PRIYADHARSHAN C</t>
  </si>
  <si>
    <t xml:space="preserve">24CY1222</t>
  </si>
  <si>
    <t xml:space="preserve">2006-09-29</t>
  </si>
  <si>
    <t xml:space="preserve">67 Main Road, Coimbatore</t>
  </si>
  <si>
    <t xml:space="preserve">9922800127</t>
  </si>
  <si>
    <t xml:space="preserve">8274495480</t>
  </si>
  <si>
    <t xml:space="preserve">SANGAVI C</t>
  </si>
  <si>
    <t xml:space="preserve">24CY1223</t>
  </si>
  <si>
    <t xml:space="preserve">2006-10-24</t>
  </si>
  <si>
    <t xml:space="preserve">9501526437</t>
  </si>
  <si>
    <t xml:space="preserve">8954189646</t>
  </si>
  <si>
    <t xml:space="preserve">SANJAY C</t>
  </si>
  <si>
    <t xml:space="preserve">24CY1224</t>
  </si>
  <si>
    <t xml:space="preserve">2005-01-22</t>
  </si>
  <si>
    <t xml:space="preserve">933 Main Road, Coimbatore</t>
  </si>
  <si>
    <t xml:space="preserve">9719292266</t>
  </si>
  <si>
    <t xml:space="preserve">8130048622</t>
  </si>
  <si>
    <t xml:space="preserve">SelvakishorE C</t>
  </si>
  <si>
    <t xml:space="preserve">24CY1225</t>
  </si>
  <si>
    <t xml:space="preserve">2002-02-26</t>
  </si>
  <si>
    <t xml:space="preserve">760 Main Road, Coimbatore</t>
  </si>
  <si>
    <t xml:space="preserve">9597388774</t>
  </si>
  <si>
    <t xml:space="preserve">8968624525</t>
  </si>
  <si>
    <t xml:space="preserve">YOKESH C</t>
  </si>
  <si>
    <t xml:space="preserve">24CY1226</t>
  </si>
  <si>
    <t xml:space="preserve">2006-02-21</t>
  </si>
  <si>
    <t xml:space="preserve">491 Main Road, Coimbatore</t>
  </si>
  <si>
    <t xml:space="preserve">9544923317</t>
  </si>
  <si>
    <t xml:space="preserve">8570882632</t>
  </si>
  <si>
    <t xml:space="preserve">DIVYA DHARSHINI C G</t>
  </si>
  <si>
    <t xml:space="preserve">24CY1227</t>
  </si>
  <si>
    <t xml:space="preserve">2006-05-08</t>
  </si>
  <si>
    <t xml:space="preserve">826 Main Road, Coimbatore</t>
  </si>
  <si>
    <t xml:space="preserve">9290022295</t>
  </si>
  <si>
    <t xml:space="preserve">8686647226</t>
  </si>
  <si>
    <t xml:space="preserve">SADANASREE C M</t>
  </si>
  <si>
    <t xml:space="preserve">24CY1228</t>
  </si>
  <si>
    <t xml:space="preserve">2002-06-26</t>
  </si>
  <si>
    <t xml:space="preserve">862 Main Road, Coimbatore</t>
  </si>
  <si>
    <t xml:space="preserve">9117291192</t>
  </si>
  <si>
    <t xml:space="preserve">8370509753</t>
  </si>
  <si>
    <t xml:space="preserve">SRUTHI C P</t>
  </si>
  <si>
    <t xml:space="preserve">24CY1229</t>
  </si>
  <si>
    <t xml:space="preserve">782 Main Road, Coimbatore</t>
  </si>
  <si>
    <t xml:space="preserve">9571809591</t>
  </si>
  <si>
    <t xml:space="preserve">8163298148</t>
  </si>
  <si>
    <t xml:space="preserve">SABARI VASAN CS</t>
  </si>
  <si>
    <t xml:space="preserve">24CY1230</t>
  </si>
  <si>
    <t xml:space="preserve">2003-06-08</t>
  </si>
  <si>
    <t xml:space="preserve">517 Main Road, Coimbatore</t>
  </si>
  <si>
    <t xml:space="preserve">9918809810</t>
  </si>
  <si>
    <t xml:space="preserve">8285059520</t>
  </si>
  <si>
    <t xml:space="preserve">AJAIKUMAR D</t>
  </si>
  <si>
    <t xml:space="preserve">24CY1231</t>
  </si>
  <si>
    <t xml:space="preserve">2002-07-06</t>
  </si>
  <si>
    <t xml:space="preserve">443 Main Road, Coimbatore</t>
  </si>
  <si>
    <t xml:space="preserve">9009506612</t>
  </si>
  <si>
    <t xml:space="preserve">8867570155</t>
  </si>
  <si>
    <t xml:space="preserve">DEEPAK RAJ D</t>
  </si>
  <si>
    <t xml:space="preserve">24CY1232</t>
  </si>
  <si>
    <t xml:space="preserve">2006-10-31</t>
  </si>
  <si>
    <t xml:space="preserve">137 Main Road, Coimbatore</t>
  </si>
  <si>
    <t xml:space="preserve">9007280440</t>
  </si>
  <si>
    <t xml:space="preserve">8558251555</t>
  </si>
  <si>
    <t xml:space="preserve">DEVAKI D</t>
  </si>
  <si>
    <t xml:space="preserve">24CY1233</t>
  </si>
  <si>
    <t xml:space="preserve">2004-08-13</t>
  </si>
  <si>
    <t xml:space="preserve">886 Main Road, Coimbatore</t>
  </si>
  <si>
    <t xml:space="preserve">9493438508</t>
  </si>
  <si>
    <t xml:space="preserve">8913488005</t>
  </si>
  <si>
    <t xml:space="preserve">DHANIKA D</t>
  </si>
  <si>
    <t xml:space="preserve">24CY1234</t>
  </si>
  <si>
    <t xml:space="preserve">2006-12-03</t>
  </si>
  <si>
    <t xml:space="preserve">9446237663</t>
  </si>
  <si>
    <t xml:space="preserve">8218492230</t>
  </si>
  <si>
    <t xml:space="preserve">DHANYA D</t>
  </si>
  <si>
    <t xml:space="preserve">24CY1235</t>
  </si>
  <si>
    <t xml:space="preserve">2004-01-14</t>
  </si>
  <si>
    <t xml:space="preserve">722 Main Road, Coimbatore</t>
  </si>
  <si>
    <t xml:space="preserve">9521152988</t>
  </si>
  <si>
    <t xml:space="preserve">8550656566</t>
  </si>
  <si>
    <t xml:space="preserve">DHINESH D</t>
  </si>
  <si>
    <t xml:space="preserve">24CY1236</t>
  </si>
  <si>
    <t xml:space="preserve">2003-01-26</t>
  </si>
  <si>
    <t xml:space="preserve">9974692837</t>
  </si>
  <si>
    <t xml:space="preserve">8979935101</t>
  </si>
  <si>
    <t xml:space="preserve">DIVYA D</t>
  </si>
  <si>
    <t xml:space="preserve">24CY1237</t>
  </si>
  <si>
    <t xml:space="preserve">2003-02-03</t>
  </si>
  <si>
    <t xml:space="preserve">480 Main Road, Coimbatore</t>
  </si>
  <si>
    <t xml:space="preserve">9493340153</t>
  </si>
  <si>
    <t xml:space="preserve">8630357209</t>
  </si>
  <si>
    <t xml:space="preserve">HARINI D</t>
  </si>
  <si>
    <t xml:space="preserve">24CY1238</t>
  </si>
  <si>
    <t xml:space="preserve">2002-12-25</t>
  </si>
  <si>
    <t xml:space="preserve">9960218098</t>
  </si>
  <si>
    <t xml:space="preserve">8436229063</t>
  </si>
  <si>
    <t xml:space="preserve">HARISH D</t>
  </si>
  <si>
    <t xml:space="preserve">24CY1239</t>
  </si>
  <si>
    <t xml:space="preserve">2006-10-23</t>
  </si>
  <si>
    <t xml:space="preserve">858 Main Road, Coimbatore</t>
  </si>
  <si>
    <t xml:space="preserve">9867954657</t>
  </si>
  <si>
    <t xml:space="preserve">8016917145</t>
  </si>
  <si>
    <t xml:space="preserve">JAI AKASH D</t>
  </si>
  <si>
    <t xml:space="preserve">24CY1240</t>
  </si>
  <si>
    <t xml:space="preserve">2002-03-11</t>
  </si>
  <si>
    <t xml:space="preserve">9790135206</t>
  </si>
  <si>
    <t xml:space="preserve">8978231335</t>
  </si>
  <si>
    <t xml:space="preserve">JOHN PETER D</t>
  </si>
  <si>
    <t xml:space="preserve">24CY1241</t>
  </si>
  <si>
    <t xml:space="preserve">2003-09-27</t>
  </si>
  <si>
    <t xml:space="preserve">152 Main Road, Coimbatore</t>
  </si>
  <si>
    <t xml:space="preserve">9947429602</t>
  </si>
  <si>
    <t xml:space="preserve">8373488824</t>
  </si>
  <si>
    <t xml:space="preserve">KANAGADURGA D</t>
  </si>
  <si>
    <t xml:space="preserve">24CY1242</t>
  </si>
  <si>
    <t xml:space="preserve">2003-11-19</t>
  </si>
  <si>
    <t xml:space="preserve">1 Main Road, Coimbatore</t>
  </si>
  <si>
    <t xml:space="preserve">9149440230</t>
  </si>
  <si>
    <t xml:space="preserve">8920318301</t>
  </si>
  <si>
    <t xml:space="preserve">KANAGAPRIYA D</t>
  </si>
  <si>
    <t xml:space="preserve">24CY1243</t>
  </si>
  <si>
    <t xml:space="preserve">2002-07-31</t>
  </si>
  <si>
    <t xml:space="preserve">976 Main Road, Coimbatore</t>
  </si>
  <si>
    <t xml:space="preserve">9618016066</t>
  </si>
  <si>
    <t xml:space="preserve">8973064366</t>
  </si>
  <si>
    <t xml:space="preserve">LINGANATHAN D</t>
  </si>
  <si>
    <t xml:space="preserve">24CY1244</t>
  </si>
  <si>
    <t xml:space="preserve">2006-01-15</t>
  </si>
  <si>
    <t xml:space="preserve">658 Main Road, Coimbatore</t>
  </si>
  <si>
    <t xml:space="preserve">9222146996</t>
  </si>
  <si>
    <t xml:space="preserve">8827512251</t>
  </si>
  <si>
    <t xml:space="preserve">NIRANJAN D</t>
  </si>
  <si>
    <t xml:space="preserve">24CY1245</t>
  </si>
  <si>
    <t xml:space="preserve">2005-02-18</t>
  </si>
  <si>
    <t xml:space="preserve">493 Main Road, Coimbatore</t>
  </si>
  <si>
    <t xml:space="preserve">9620614071</t>
  </si>
  <si>
    <t xml:space="preserve">8870112128</t>
  </si>
  <si>
    <t xml:space="preserve">PRAVEEN D</t>
  </si>
  <si>
    <t xml:space="preserve">24CY1246</t>
  </si>
  <si>
    <t xml:space="preserve">2005-06-16</t>
  </si>
  <si>
    <t xml:space="preserve">9628911179</t>
  </si>
  <si>
    <t xml:space="preserve">8293696796</t>
  </si>
  <si>
    <t xml:space="preserve">RAGUL D</t>
  </si>
  <si>
    <t xml:space="preserve">24CY1247</t>
  </si>
  <si>
    <t xml:space="preserve">2006-04-27</t>
  </si>
  <si>
    <t xml:space="preserve">736 Main Road, Coimbatore</t>
  </si>
  <si>
    <t xml:space="preserve">9945036948</t>
  </si>
  <si>
    <t xml:space="preserve">8007204100</t>
  </si>
  <si>
    <t xml:space="preserve">RUPESH D</t>
  </si>
  <si>
    <t xml:space="preserve">24CY1248</t>
  </si>
  <si>
    <t xml:space="preserve">2002-03-03</t>
  </si>
  <si>
    <t xml:space="preserve">341 Main Road, Coimbatore</t>
  </si>
  <si>
    <t xml:space="preserve">9927374027</t>
  </si>
  <si>
    <t xml:space="preserve">8161443062</t>
  </si>
  <si>
    <t xml:space="preserve">SHALINI D</t>
  </si>
  <si>
    <t xml:space="preserve">24CY1249</t>
  </si>
  <si>
    <t xml:space="preserve">2005-02-20</t>
  </si>
  <si>
    <t xml:space="preserve">503 Main Road, Coimbatore</t>
  </si>
  <si>
    <t xml:space="preserve">9893268559</t>
  </si>
  <si>
    <t xml:space="preserve">8185673784</t>
  </si>
  <si>
    <t xml:space="preserve">SUBARAM D</t>
  </si>
  <si>
    <t xml:space="preserve">24CY1250</t>
  </si>
  <si>
    <t xml:space="preserve">179 Main Road, Coimbatore</t>
  </si>
  <si>
    <t xml:space="preserve">9958134129</t>
  </si>
  <si>
    <t xml:space="preserve">8820442305</t>
  </si>
  <si>
    <t xml:space="preserve">SUHANTH D</t>
  </si>
  <si>
    <t xml:space="preserve">24CY1251</t>
  </si>
  <si>
    <t xml:space="preserve">34 Main Road, Coimbatore</t>
  </si>
  <si>
    <t xml:space="preserve">9540153486</t>
  </si>
  <si>
    <t xml:space="preserve">8289092174</t>
  </si>
  <si>
    <t xml:space="preserve">SURESH D</t>
  </si>
  <si>
    <t xml:space="preserve">24CY1252</t>
  </si>
  <si>
    <t xml:space="preserve">2005-06-26</t>
  </si>
  <si>
    <t xml:space="preserve">9100838922</t>
  </si>
  <si>
    <t xml:space="preserve">8739399063</t>
  </si>
  <si>
    <t xml:space="preserve">SURYA D</t>
  </si>
  <si>
    <t xml:space="preserve">24CY1253</t>
  </si>
  <si>
    <t xml:space="preserve">117 Main Road, Coimbatore</t>
  </si>
  <si>
    <t xml:space="preserve">9587880261</t>
  </si>
  <si>
    <t xml:space="preserve">8122154807</t>
  </si>
  <si>
    <t xml:space="preserve">THAVASI PERUMAL D</t>
  </si>
  <si>
    <t xml:space="preserve">24CY1254</t>
  </si>
  <si>
    <t xml:space="preserve">2005-10-21</t>
  </si>
  <si>
    <t xml:space="preserve">813 Main Road, Coimbatore</t>
  </si>
  <si>
    <t xml:space="preserve">9931648847</t>
  </si>
  <si>
    <t xml:space="preserve">8212807369</t>
  </si>
  <si>
    <t xml:space="preserve">VARUN D</t>
  </si>
  <si>
    <t xml:space="preserve">24CY1255</t>
  </si>
  <si>
    <t xml:space="preserve">2002-02-09</t>
  </si>
  <si>
    <t xml:space="preserve">190 Main Road, Coimbatore</t>
  </si>
  <si>
    <t xml:space="preserve">9492590955</t>
  </si>
  <si>
    <t xml:space="preserve">8525532353</t>
  </si>
  <si>
    <t xml:space="preserve">YOGESHWARAN D</t>
  </si>
  <si>
    <t xml:space="preserve">24CY1256</t>
  </si>
  <si>
    <t xml:space="preserve">2005-02-04</t>
  </si>
  <si>
    <t xml:space="preserve">108 Main Road, Coimbatore</t>
  </si>
  <si>
    <t xml:space="preserve">9258272168</t>
  </si>
  <si>
    <t xml:space="preserve">8926517366</t>
  </si>
  <si>
    <t xml:space="preserve">SUNDARA BALAN D.T</t>
  </si>
  <si>
    <t xml:space="preserve">24CY1257</t>
  </si>
  <si>
    <t xml:space="preserve">2003-08-19</t>
  </si>
  <si>
    <t xml:space="preserve">9090657586</t>
  </si>
  <si>
    <t xml:space="preserve">8954093447</t>
  </si>
  <si>
    <t xml:space="preserve">ABDUL KAREEM E</t>
  </si>
  <si>
    <t xml:space="preserve">24CY1258</t>
  </si>
  <si>
    <t xml:space="preserve">2005-11-15</t>
  </si>
  <si>
    <t xml:space="preserve">316 Main Road, Coimbatore</t>
  </si>
  <si>
    <t xml:space="preserve">9602647296</t>
  </si>
  <si>
    <t xml:space="preserve">8722476165</t>
  </si>
  <si>
    <t xml:space="preserve">AVANTHIGA E</t>
  </si>
  <si>
    <t xml:space="preserve">24CY1259</t>
  </si>
  <si>
    <t xml:space="preserve">9136290497</t>
  </si>
  <si>
    <t xml:space="preserve">8918266636</t>
  </si>
  <si>
    <t xml:space="preserve">GOKULNATH E</t>
  </si>
  <si>
    <t xml:space="preserve">24CY1260</t>
  </si>
  <si>
    <t xml:space="preserve">2005-05-23</t>
  </si>
  <si>
    <t xml:space="preserve">226 Main Road, Coimbatore</t>
  </si>
  <si>
    <t xml:space="preserve">9785655778</t>
  </si>
  <si>
    <t xml:space="preserve">8416917903</t>
  </si>
  <si>
    <t xml:space="preserve">HARIPRIYAN E</t>
  </si>
  <si>
    <t xml:space="preserve">24CY1261</t>
  </si>
  <si>
    <t xml:space="preserve">2004-09-24</t>
  </si>
  <si>
    <t xml:space="preserve">256 Main Road, Coimbatore</t>
  </si>
  <si>
    <t xml:space="preserve">9996082171</t>
  </si>
  <si>
    <t xml:space="preserve">8039411823</t>
  </si>
  <si>
    <t xml:space="preserve">JOY SAMUVEL E</t>
  </si>
  <si>
    <t xml:space="preserve">24CY1262</t>
  </si>
  <si>
    <t xml:space="preserve">2004-09-06</t>
  </si>
  <si>
    <t xml:space="preserve">42 Main Road, Coimbatore</t>
  </si>
  <si>
    <t xml:space="preserve">9115588465</t>
  </si>
  <si>
    <t xml:space="preserve">8398269970</t>
  </si>
  <si>
    <t xml:space="preserve">NISHANTH E</t>
  </si>
  <si>
    <t xml:space="preserve">24CY1263</t>
  </si>
  <si>
    <t xml:space="preserve">467 Main Road, Coimbatore</t>
  </si>
  <si>
    <t xml:space="preserve">9763539815</t>
  </si>
  <si>
    <t xml:space="preserve">8540298318</t>
  </si>
  <si>
    <t xml:space="preserve">NITHISH EDWARD E</t>
  </si>
  <si>
    <t xml:space="preserve">24CY1264</t>
  </si>
  <si>
    <t xml:space="preserve">2006-12-02</t>
  </si>
  <si>
    <t xml:space="preserve">486 Main Road, Coimbatore</t>
  </si>
  <si>
    <t xml:space="preserve">9865064201</t>
  </si>
  <si>
    <t xml:space="preserve">8933853877</t>
  </si>
  <si>
    <t xml:space="preserve">SABAREESH E</t>
  </si>
  <si>
    <t xml:space="preserve">24CY1265</t>
  </si>
  <si>
    <t xml:space="preserve">2005-03-12</t>
  </si>
  <si>
    <t xml:space="preserve">939 Main Road, Coimbatore</t>
  </si>
  <si>
    <t xml:space="preserve">9910948213</t>
  </si>
  <si>
    <t xml:space="preserve">8574418773</t>
  </si>
  <si>
    <t xml:space="preserve">SAKTHI E</t>
  </si>
  <si>
    <t xml:space="preserve">24CY1266</t>
  </si>
  <si>
    <t xml:space="preserve">2005-12-25</t>
  </si>
  <si>
    <t xml:space="preserve">154 Main Road, Coimbatore</t>
  </si>
  <si>
    <t xml:space="preserve">9214129117</t>
  </si>
  <si>
    <t xml:space="preserve">8993800786</t>
  </si>
  <si>
    <t xml:space="preserve">THARANISH E</t>
  </si>
  <si>
    <t xml:space="preserve">24CY1267</t>
  </si>
  <si>
    <t xml:space="preserve">2003-12-21</t>
  </si>
  <si>
    <t xml:space="preserve">285 Main Road, Coimbatore</t>
  </si>
  <si>
    <t xml:space="preserve">9011394921</t>
  </si>
  <si>
    <t xml:space="preserve">8400175603</t>
  </si>
  <si>
    <t xml:space="preserve">DEEPAN KUMAR E S</t>
  </si>
  <si>
    <t xml:space="preserve">24CY1268</t>
  </si>
  <si>
    <t xml:space="preserve">2004-06-27</t>
  </si>
  <si>
    <t xml:space="preserve">9069598070</t>
  </si>
  <si>
    <t xml:space="preserve">8945032387</t>
  </si>
  <si>
    <t xml:space="preserve">ABINAYA G</t>
  </si>
  <si>
    <t xml:space="preserve">24CY1269</t>
  </si>
  <si>
    <t xml:space="preserve">2002-10-02</t>
  </si>
  <si>
    <t xml:space="preserve">10 Main Road, Coimbatore</t>
  </si>
  <si>
    <t xml:space="preserve">9270270836</t>
  </si>
  <si>
    <t xml:space="preserve">8878967447</t>
  </si>
  <si>
    <t xml:space="preserve">ABISHEK G</t>
  </si>
  <si>
    <t xml:space="preserve">24CY1270</t>
  </si>
  <si>
    <t xml:space="preserve">262 Main Road, Coimbatore</t>
  </si>
  <si>
    <t xml:space="preserve">9000205006</t>
  </si>
  <si>
    <t xml:space="preserve">8951256819</t>
  </si>
  <si>
    <t xml:space="preserve">ANUSHREE G</t>
  </si>
  <si>
    <t xml:space="preserve">24CY1271</t>
  </si>
  <si>
    <t xml:space="preserve">2006-10-17</t>
  </si>
  <si>
    <t xml:space="preserve">498 Main Road, Coimbatore</t>
  </si>
  <si>
    <t xml:space="preserve">9666553107</t>
  </si>
  <si>
    <t xml:space="preserve">8858504307</t>
  </si>
  <si>
    <t xml:space="preserve">DARANYA G</t>
  </si>
  <si>
    <t xml:space="preserve">24CY1272</t>
  </si>
  <si>
    <t xml:space="preserve">2002-07-24</t>
  </si>
  <si>
    <t xml:space="preserve">93 Main Road, Coimbatore</t>
  </si>
  <si>
    <t xml:space="preserve">9430344699</t>
  </si>
  <si>
    <t xml:space="preserve">8642018300</t>
  </si>
  <si>
    <t xml:space="preserve">DHANUSH G</t>
  </si>
  <si>
    <t xml:space="preserve">24CY1273</t>
  </si>
  <si>
    <t xml:space="preserve">2005-07-19</t>
  </si>
  <si>
    <t xml:space="preserve">9640972133</t>
  </si>
  <si>
    <t xml:space="preserve">8809964980</t>
  </si>
  <si>
    <t xml:space="preserve">GOPIKA G</t>
  </si>
  <si>
    <t xml:space="preserve">24CY1274</t>
  </si>
  <si>
    <t xml:space="preserve">2003-03-16</t>
  </si>
  <si>
    <t xml:space="preserve">183 Main Road, Coimbatore</t>
  </si>
  <si>
    <t xml:space="preserve">9525924136</t>
  </si>
  <si>
    <t xml:space="preserve">8358446448</t>
  </si>
  <si>
    <t xml:space="preserve">GOWTHAM G</t>
  </si>
  <si>
    <t xml:space="preserve">24CY1275</t>
  </si>
  <si>
    <t xml:space="preserve">9290818910</t>
  </si>
  <si>
    <t xml:space="preserve">8866771017</t>
  </si>
  <si>
    <t xml:space="preserve">KAVYA G</t>
  </si>
  <si>
    <t xml:space="preserve">24CY1276</t>
  </si>
  <si>
    <t xml:space="preserve">2005-07-05</t>
  </si>
  <si>
    <t xml:space="preserve">458 Main Road, Coimbatore</t>
  </si>
  <si>
    <t xml:space="preserve">9229755945</t>
  </si>
  <si>
    <t xml:space="preserve">8685627784</t>
  </si>
  <si>
    <t xml:space="preserve">LATHIKA G</t>
  </si>
  <si>
    <t xml:space="preserve">24CY1277</t>
  </si>
  <si>
    <t xml:space="preserve">2005-01-29</t>
  </si>
  <si>
    <t xml:space="preserve">448 Main Road, Coimbatore</t>
  </si>
  <si>
    <t xml:space="preserve">9649610906</t>
  </si>
  <si>
    <t xml:space="preserve">8016037890</t>
  </si>
  <si>
    <t xml:space="preserve">MANIKANDAN G</t>
  </si>
  <si>
    <t xml:space="preserve">24CY1278</t>
  </si>
  <si>
    <t xml:space="preserve">424 Main Road, Coimbatore</t>
  </si>
  <si>
    <t xml:space="preserve">9685003477</t>
  </si>
  <si>
    <t xml:space="preserve">8242346678</t>
  </si>
  <si>
    <t xml:space="preserve">MOUSIKA G</t>
  </si>
  <si>
    <t xml:space="preserve">24CY1279</t>
  </si>
  <si>
    <t xml:space="preserve">2003-07-15</t>
  </si>
  <si>
    <t xml:space="preserve">683 Main Road, Coimbatore</t>
  </si>
  <si>
    <t xml:space="preserve">9493344376</t>
  </si>
  <si>
    <t xml:space="preserve">8003066770</t>
  </si>
  <si>
    <t xml:space="preserve">MUTHULAKSHMI G</t>
  </si>
  <si>
    <t xml:space="preserve">24CY1280</t>
  </si>
  <si>
    <t xml:space="preserve">2002-12-20</t>
  </si>
  <si>
    <t xml:space="preserve">794 Main Road, Coimbatore</t>
  </si>
  <si>
    <t xml:space="preserve">9283538496</t>
  </si>
  <si>
    <t xml:space="preserve">8567818627</t>
  </si>
  <si>
    <t xml:space="preserve">SATHIYASEELAN G</t>
  </si>
  <si>
    <t xml:space="preserve">24CY1281</t>
  </si>
  <si>
    <t xml:space="preserve">2002-01-22</t>
  </si>
  <si>
    <t xml:space="preserve">781 Main Road, Coimbatore</t>
  </si>
  <si>
    <t xml:space="preserve">9462984218</t>
  </si>
  <si>
    <t xml:space="preserve">8272517382</t>
  </si>
  <si>
    <t xml:space="preserve">SRINATH G</t>
  </si>
  <si>
    <t xml:space="preserve">24CY1282</t>
  </si>
  <si>
    <t xml:space="preserve">2004-01-03</t>
  </si>
  <si>
    <t xml:space="preserve">9898010455</t>
  </si>
  <si>
    <t xml:space="preserve">8765738753</t>
  </si>
  <si>
    <t xml:space="preserve">TANYA G</t>
  </si>
  <si>
    <t xml:space="preserve">24CY1283</t>
  </si>
  <si>
    <t xml:space="preserve">2005-03-26</t>
  </si>
  <si>
    <t xml:space="preserve">9827913356</t>
  </si>
  <si>
    <t xml:space="preserve">8108001196</t>
  </si>
  <si>
    <t xml:space="preserve">THANIRIKA G</t>
  </si>
  <si>
    <t xml:space="preserve">24CY1284</t>
  </si>
  <si>
    <t xml:space="preserve">2006-09-18</t>
  </si>
  <si>
    <t xml:space="preserve">9668355294</t>
  </si>
  <si>
    <t xml:space="preserve">8831172242</t>
  </si>
  <si>
    <t xml:space="preserve">VISHAAL G</t>
  </si>
  <si>
    <t xml:space="preserve">24CY1285</t>
  </si>
  <si>
    <t xml:space="preserve">2006-02-22</t>
  </si>
  <si>
    <t xml:space="preserve">932 Main Road, Coimbatore</t>
  </si>
  <si>
    <t xml:space="preserve">9531117933</t>
  </si>
  <si>
    <t xml:space="preserve">8963601477</t>
  </si>
  <si>
    <t xml:space="preserve">VISHWA G</t>
  </si>
  <si>
    <t xml:space="preserve">24CY1286</t>
  </si>
  <si>
    <t xml:space="preserve">2005-03-13</t>
  </si>
  <si>
    <t xml:space="preserve">9148157689</t>
  </si>
  <si>
    <t xml:space="preserve">8815933478</t>
  </si>
  <si>
    <t xml:space="preserve">DINESHGOBI G P</t>
  </si>
  <si>
    <t xml:space="preserve">24CY1287</t>
  </si>
  <si>
    <t xml:space="preserve">2005-03-01</t>
  </si>
  <si>
    <t xml:space="preserve">9492032836</t>
  </si>
  <si>
    <t xml:space="preserve">8069430813</t>
  </si>
  <si>
    <t xml:space="preserve">NIRMALKUMAR G R</t>
  </si>
  <si>
    <t xml:space="preserve">24CY1288</t>
  </si>
  <si>
    <t xml:space="preserve">2004-09-08</t>
  </si>
  <si>
    <t xml:space="preserve">594 Main Road, Coimbatore</t>
  </si>
  <si>
    <t xml:space="preserve">9270464318</t>
  </si>
  <si>
    <t xml:space="preserve">8250781200</t>
  </si>
  <si>
    <t xml:space="preserve">JAYA SURYA G S</t>
  </si>
  <si>
    <t xml:space="preserve">24CY1289</t>
  </si>
  <si>
    <t xml:space="preserve">2002-04-16</t>
  </si>
  <si>
    <t xml:space="preserve">601 Main Road, Coimbatore</t>
  </si>
  <si>
    <t xml:space="preserve">9297569788</t>
  </si>
  <si>
    <t xml:space="preserve">8771500463</t>
  </si>
  <si>
    <t xml:space="preserve">LOGHASREE G S</t>
  </si>
  <si>
    <t xml:space="preserve">24CY1290</t>
  </si>
  <si>
    <t xml:space="preserve">2002-03-04</t>
  </si>
  <si>
    <t xml:space="preserve">162 Main Road, Coimbatore</t>
  </si>
  <si>
    <t xml:space="preserve">9790080327</t>
  </si>
  <si>
    <t xml:space="preserve">8207379998</t>
  </si>
  <si>
    <t xml:space="preserve">PAVITRA G V</t>
  </si>
  <si>
    <t xml:space="preserve">24CY1291</t>
  </si>
  <si>
    <t xml:space="preserve">2004-01-07</t>
  </si>
  <si>
    <t xml:space="preserve">9007811754</t>
  </si>
  <si>
    <t xml:space="preserve">8599159512</t>
  </si>
  <si>
    <t xml:space="preserve">SHYAM G V</t>
  </si>
  <si>
    <t xml:space="preserve">24CY1292</t>
  </si>
  <si>
    <t xml:space="preserve">793 Main Road, Coimbatore</t>
  </si>
  <si>
    <t xml:space="preserve">9618311358</t>
  </si>
  <si>
    <t xml:space="preserve">8130286446</t>
  </si>
  <si>
    <t xml:space="preserve">Mahibala H</t>
  </si>
  <si>
    <t xml:space="preserve">24CY1293</t>
  </si>
  <si>
    <t xml:space="preserve">2003-04-29</t>
  </si>
  <si>
    <t xml:space="preserve">9132409944</t>
  </si>
  <si>
    <t xml:space="preserve">8323073287</t>
  </si>
  <si>
    <t xml:space="preserve">PRAGELAN H</t>
  </si>
  <si>
    <t xml:space="preserve">24CY1294</t>
  </si>
  <si>
    <t xml:space="preserve">2006-02-14</t>
  </si>
  <si>
    <t xml:space="preserve">352 Main Road, Coimbatore</t>
  </si>
  <si>
    <t xml:space="preserve">9741459816</t>
  </si>
  <si>
    <t xml:space="preserve">8457938255</t>
  </si>
  <si>
    <t xml:space="preserve">PRANESH H</t>
  </si>
  <si>
    <t xml:space="preserve">24CY1295</t>
  </si>
  <si>
    <t xml:space="preserve">2005-01-16</t>
  </si>
  <si>
    <t xml:space="preserve">459 Main Road, Coimbatore</t>
  </si>
  <si>
    <t xml:space="preserve">9441632781</t>
  </si>
  <si>
    <t xml:space="preserve">8719774210</t>
  </si>
  <si>
    <t xml:space="preserve">AKSHARA I</t>
  </si>
  <si>
    <t xml:space="preserve">24CY1296</t>
  </si>
  <si>
    <t xml:space="preserve">2004-12-13</t>
  </si>
  <si>
    <t xml:space="preserve">501 Main Road, Coimbatore</t>
  </si>
  <si>
    <t xml:space="preserve">9139898531</t>
  </si>
  <si>
    <t xml:space="preserve">8229028907</t>
  </si>
  <si>
    <t xml:space="preserve">ANITHAN I</t>
  </si>
  <si>
    <t xml:space="preserve">24CY1297</t>
  </si>
  <si>
    <t xml:space="preserve">2004-11-18</t>
  </si>
  <si>
    <t xml:space="preserve">73 Main Road, Coimbatore</t>
  </si>
  <si>
    <t xml:space="preserve">9712284590</t>
  </si>
  <si>
    <t xml:space="preserve">8827848155</t>
  </si>
  <si>
    <t xml:space="preserve">JOSHUA MATRIX I</t>
  </si>
  <si>
    <t xml:space="preserve">24CY1298</t>
  </si>
  <si>
    <t xml:space="preserve">2005-06-25</t>
  </si>
  <si>
    <t xml:space="preserve">785 Main Road, Coimbatore</t>
  </si>
  <si>
    <t xml:space="preserve">9412148230</t>
  </si>
  <si>
    <t xml:space="preserve">8582653233</t>
  </si>
  <si>
    <t xml:space="preserve">PRANESH I</t>
  </si>
  <si>
    <t xml:space="preserve">24CY1299</t>
  </si>
  <si>
    <t xml:space="preserve">2006-06-24</t>
  </si>
  <si>
    <t xml:space="preserve">799 Main Road, Coimbatore</t>
  </si>
  <si>
    <t xml:space="preserve">9063437087</t>
  </si>
  <si>
    <t xml:space="preserve">8164606750</t>
  </si>
  <si>
    <t xml:space="preserve">SAKESWARAN I</t>
  </si>
  <si>
    <t xml:space="preserve">24CY1300</t>
  </si>
  <si>
    <t xml:space="preserve">2003-10-26</t>
  </si>
  <si>
    <t xml:space="preserve">9321688413</t>
  </si>
  <si>
    <t xml:space="preserve">8439533808</t>
  </si>
  <si>
    <t xml:space="preserve">ANU SHRI J</t>
  </si>
  <si>
    <t xml:space="preserve">24CY1301</t>
  </si>
  <si>
    <t xml:space="preserve">2003-09-14</t>
  </si>
  <si>
    <t xml:space="preserve">9920233861</t>
  </si>
  <si>
    <t xml:space="preserve">8100623055</t>
  </si>
  <si>
    <t xml:space="preserve">ASHRAF KHAN J</t>
  </si>
  <si>
    <t xml:space="preserve">24CY1302</t>
  </si>
  <si>
    <t xml:space="preserve">2006-11-08</t>
  </si>
  <si>
    <t xml:space="preserve">625 Main Road, Coimbatore</t>
  </si>
  <si>
    <t xml:space="preserve">9704608136</t>
  </si>
  <si>
    <t xml:space="preserve">8042111550</t>
  </si>
  <si>
    <t xml:space="preserve">DHARANIDHARAN J</t>
  </si>
  <si>
    <t xml:space="preserve">24CY1303</t>
  </si>
  <si>
    <t xml:space="preserve">2005-03-19</t>
  </si>
  <si>
    <t xml:space="preserve">551 Main Road, Coimbatore</t>
  </si>
  <si>
    <t xml:space="preserve">9499969009</t>
  </si>
  <si>
    <t xml:space="preserve">8346261298</t>
  </si>
  <si>
    <t xml:space="preserve">DINESH J</t>
  </si>
  <si>
    <t xml:space="preserve">24CY1304</t>
  </si>
  <si>
    <t xml:space="preserve">2005-07-10</t>
  </si>
  <si>
    <t xml:space="preserve">365 Main Road, Coimbatore</t>
  </si>
  <si>
    <t xml:space="preserve">9134461296</t>
  </si>
  <si>
    <t xml:space="preserve">8787009436</t>
  </si>
  <si>
    <t xml:space="preserve">ELAKIYA J</t>
  </si>
  <si>
    <t xml:space="preserve">24CY1305</t>
  </si>
  <si>
    <t xml:space="preserve">2006-09-30</t>
  </si>
  <si>
    <t xml:space="preserve">9009404090</t>
  </si>
  <si>
    <t xml:space="preserve">8412595203</t>
  </si>
  <si>
    <t xml:space="preserve">FAKRUTHEEN J</t>
  </si>
  <si>
    <t xml:space="preserve">24CY1306</t>
  </si>
  <si>
    <t xml:space="preserve">2002-12-17</t>
  </si>
  <si>
    <t xml:space="preserve">9403952406</t>
  </si>
  <si>
    <t xml:space="preserve">8296295772</t>
  </si>
  <si>
    <t xml:space="preserve">HARIRAMAKRISHNAN J</t>
  </si>
  <si>
    <t xml:space="preserve">24CY1307</t>
  </si>
  <si>
    <t xml:space="preserve">2003-11-09</t>
  </si>
  <si>
    <t xml:space="preserve">866 Main Road, Coimbatore</t>
  </si>
  <si>
    <t xml:space="preserve">9835588739</t>
  </si>
  <si>
    <t xml:space="preserve">8161918119</t>
  </si>
  <si>
    <t xml:space="preserve">HEERA J</t>
  </si>
  <si>
    <t xml:space="preserve">24CY1308</t>
  </si>
  <si>
    <t xml:space="preserve">2006-11-28</t>
  </si>
  <si>
    <t xml:space="preserve">720 Main Road, Coimbatore</t>
  </si>
  <si>
    <t xml:space="preserve">9833619658</t>
  </si>
  <si>
    <t xml:space="preserve">8248129927</t>
  </si>
  <si>
    <t xml:space="preserve">ILIYAS J</t>
  </si>
  <si>
    <t xml:space="preserve">24CY1309</t>
  </si>
  <si>
    <t xml:space="preserve">2005-08-21</t>
  </si>
  <si>
    <t xml:space="preserve">520 Main Road, Coimbatore</t>
  </si>
  <si>
    <t xml:space="preserve">9744577680</t>
  </si>
  <si>
    <t xml:space="preserve">8190039983</t>
  </si>
  <si>
    <t xml:space="preserve">JENOVA J</t>
  </si>
  <si>
    <t xml:space="preserve">24CY1310</t>
  </si>
  <si>
    <t xml:space="preserve">2005-07-12</t>
  </si>
  <si>
    <t xml:space="preserve">357 Main Road, Coimbatore</t>
  </si>
  <si>
    <t xml:space="preserve">9748938069</t>
  </si>
  <si>
    <t xml:space="preserve">8143983619</t>
  </si>
  <si>
    <t xml:space="preserve">JEYASRI J</t>
  </si>
  <si>
    <t xml:space="preserve">24CY1311</t>
  </si>
  <si>
    <t xml:space="preserve">2006-07-19</t>
  </si>
  <si>
    <t xml:space="preserve">9612880344</t>
  </si>
  <si>
    <t xml:space="preserve">8647145912</t>
  </si>
  <si>
    <t xml:space="preserve">JINISHA J</t>
  </si>
  <si>
    <t xml:space="preserve">24CY1312</t>
  </si>
  <si>
    <t xml:space="preserve">2004-03-18</t>
  </si>
  <si>
    <t xml:space="preserve">9276684905</t>
  </si>
  <si>
    <t xml:space="preserve">8349086797</t>
  </si>
  <si>
    <t xml:space="preserve">KAMALESH J</t>
  </si>
  <si>
    <t xml:space="preserve">24CY1313</t>
  </si>
  <si>
    <t xml:space="preserve">9720385389</t>
  </si>
  <si>
    <t xml:space="preserve">8366569268</t>
  </si>
  <si>
    <t xml:space="preserve">KATHRIN J</t>
  </si>
  <si>
    <t xml:space="preserve">24CY1314</t>
  </si>
  <si>
    <t xml:space="preserve">680 Main Road, Coimbatore</t>
  </si>
  <si>
    <t xml:space="preserve">9456610554</t>
  </si>
  <si>
    <t xml:space="preserve">8324982098</t>
  </si>
  <si>
    <t xml:space="preserve">MOHAMED FASITH J</t>
  </si>
  <si>
    <t xml:space="preserve">24CY1315</t>
  </si>
  <si>
    <t xml:space="preserve">2002-10-01</t>
  </si>
  <si>
    <t xml:space="preserve">912 Main Road, Coimbatore</t>
  </si>
  <si>
    <t xml:space="preserve">9382090646</t>
  </si>
  <si>
    <t xml:space="preserve">8558676082</t>
  </si>
  <si>
    <t xml:space="preserve">NANDHA KUMAR J</t>
  </si>
  <si>
    <t xml:space="preserve">24CY1316</t>
  </si>
  <si>
    <t xml:space="preserve">2003-08-16</t>
  </si>
  <si>
    <t xml:space="preserve">273 Main Road, Coimbatore</t>
  </si>
  <si>
    <t xml:space="preserve">9519507165</t>
  </si>
  <si>
    <t xml:space="preserve">8265385266</t>
  </si>
  <si>
    <t xml:space="preserve">NIHA J</t>
  </si>
  <si>
    <t xml:space="preserve">24CY1317</t>
  </si>
  <si>
    <t xml:space="preserve">2004-12-22</t>
  </si>
  <si>
    <t xml:space="preserve">942 Main Road, Coimbatore</t>
  </si>
  <si>
    <t xml:space="preserve">9837274233</t>
  </si>
  <si>
    <t xml:space="preserve">8596183551</t>
  </si>
  <si>
    <t xml:space="preserve">NISHASHREE J</t>
  </si>
  <si>
    <t xml:space="preserve">24CY1318</t>
  </si>
  <si>
    <t xml:space="preserve">2003-04-06</t>
  </si>
  <si>
    <t xml:space="preserve">525 Main Road, Coimbatore</t>
  </si>
  <si>
    <t xml:space="preserve">9851866156</t>
  </si>
  <si>
    <t xml:space="preserve">8747368649</t>
  </si>
  <si>
    <t xml:space="preserve">SAM DANI J</t>
  </si>
  <si>
    <t xml:space="preserve">24CY1319</t>
  </si>
  <si>
    <t xml:space="preserve">2003-09-08</t>
  </si>
  <si>
    <t xml:space="preserve">353 Main Road, Coimbatore</t>
  </si>
  <si>
    <t xml:space="preserve">9048463820</t>
  </si>
  <si>
    <t xml:space="preserve">8561722042</t>
  </si>
  <si>
    <t xml:space="preserve">SHIVA SURYA J</t>
  </si>
  <si>
    <t xml:space="preserve">24CY1320</t>
  </si>
  <si>
    <t xml:space="preserve">2006-12-01</t>
  </si>
  <si>
    <t xml:space="preserve">842 Main Road, Coimbatore</t>
  </si>
  <si>
    <t xml:space="preserve">9945184577</t>
  </si>
  <si>
    <t xml:space="preserve">8139861130</t>
  </si>
  <si>
    <t xml:space="preserve">SIDDARTH J</t>
  </si>
  <si>
    <t xml:space="preserve">24CY1321</t>
  </si>
  <si>
    <t xml:space="preserve">639 Main Road, Coimbatore</t>
  </si>
  <si>
    <t xml:space="preserve">9796755912</t>
  </si>
  <si>
    <t xml:space="preserve">8719389347</t>
  </si>
  <si>
    <t xml:space="preserve">SOUNDARAJAN J</t>
  </si>
  <si>
    <t xml:space="preserve">24CY1322</t>
  </si>
  <si>
    <t xml:space="preserve">427 Main Road, Coimbatore</t>
  </si>
  <si>
    <t xml:space="preserve">9286526657</t>
  </si>
  <si>
    <t xml:space="preserve">8124032303</t>
  </si>
  <si>
    <t xml:space="preserve">SUJITH KIRAN J</t>
  </si>
  <si>
    <t xml:space="preserve">24CY1323</t>
  </si>
  <si>
    <t xml:space="preserve">2004-11-27</t>
  </si>
  <si>
    <t xml:space="preserve">9284220976</t>
  </si>
  <si>
    <t xml:space="preserve">8419402126</t>
  </si>
  <si>
    <t xml:space="preserve">WINCY VERONIKA J</t>
  </si>
  <si>
    <t xml:space="preserve">24CY1324</t>
  </si>
  <si>
    <t xml:space="preserve">72 Main Road, Coimbatore</t>
  </si>
  <si>
    <t xml:space="preserve">9718002756</t>
  </si>
  <si>
    <t xml:space="preserve">8559834810</t>
  </si>
  <si>
    <t xml:space="preserve">GIRIDHARAN J A</t>
  </si>
  <si>
    <t xml:space="preserve">24CY1325</t>
  </si>
  <si>
    <t xml:space="preserve">776 Main Road, Coimbatore</t>
  </si>
  <si>
    <t xml:space="preserve">9670966818</t>
  </si>
  <si>
    <t xml:space="preserve">8863492558</t>
  </si>
  <si>
    <t xml:space="preserve">KISHORE VEDHUPILLAI J A</t>
  </si>
  <si>
    <t xml:space="preserve">24CY1326</t>
  </si>
  <si>
    <t xml:space="preserve">2006-11-17</t>
  </si>
  <si>
    <t xml:space="preserve">449 Main Road, Coimbatore</t>
  </si>
  <si>
    <t xml:space="preserve">9812634983</t>
  </si>
  <si>
    <t xml:space="preserve">8574835592</t>
  </si>
  <si>
    <t xml:space="preserve">SAI PRASANTH J M</t>
  </si>
  <si>
    <t xml:space="preserve">24CY1327</t>
  </si>
  <si>
    <t xml:space="preserve">2004-03-26</t>
  </si>
  <si>
    <t xml:space="preserve">935 Main Road, Coimbatore</t>
  </si>
  <si>
    <t xml:space="preserve">9236073778</t>
  </si>
  <si>
    <t xml:space="preserve">8992013809</t>
  </si>
  <si>
    <t xml:space="preserve">KAVIYA VIKASHINI J S</t>
  </si>
  <si>
    <t xml:space="preserve">24CY1328</t>
  </si>
  <si>
    <t xml:space="preserve">9958767472</t>
  </si>
  <si>
    <t xml:space="preserve">8210596223</t>
  </si>
  <si>
    <t xml:space="preserve">NIDHISH KUMAR JJ</t>
  </si>
  <si>
    <t xml:space="preserve">24CY1329</t>
  </si>
  <si>
    <t xml:space="preserve">2004-07-17</t>
  </si>
  <si>
    <t xml:space="preserve">447 Main Road, Coimbatore</t>
  </si>
  <si>
    <t xml:space="preserve">9397211750</t>
  </si>
  <si>
    <t xml:space="preserve">8833745911</t>
  </si>
  <si>
    <t xml:space="preserve">AADHIDHYA K</t>
  </si>
  <si>
    <t xml:space="preserve">24CY1330</t>
  </si>
  <si>
    <t xml:space="preserve">2002-03-31</t>
  </si>
  <si>
    <t xml:space="preserve">9392292257</t>
  </si>
  <si>
    <t xml:space="preserve">8022386914</t>
  </si>
  <si>
    <t xml:space="preserve">ABISHEK K</t>
  </si>
  <si>
    <t xml:space="preserve">24CY1331</t>
  </si>
  <si>
    <t xml:space="preserve">2003-11-21</t>
  </si>
  <si>
    <t xml:space="preserve">32 Main Road, Coimbatore</t>
  </si>
  <si>
    <t xml:space="preserve">9068169890</t>
  </si>
  <si>
    <t xml:space="preserve">8733853279</t>
  </si>
  <si>
    <t xml:space="preserve">AJITA K</t>
  </si>
  <si>
    <t xml:space="preserve">24CY1332</t>
  </si>
  <si>
    <t xml:space="preserve">2003-04-21</t>
  </si>
  <si>
    <t xml:space="preserve">461 Main Road, Coimbatore</t>
  </si>
  <si>
    <t xml:space="preserve">9346959866</t>
  </si>
  <si>
    <t xml:space="preserve">8384586926</t>
  </si>
  <si>
    <t xml:space="preserve">AJITH K</t>
  </si>
  <si>
    <t xml:space="preserve">24CY1333</t>
  </si>
  <si>
    <t xml:space="preserve">610 Main Road, Coimbatore</t>
  </si>
  <si>
    <t xml:space="preserve">9813072038</t>
  </si>
  <si>
    <t xml:space="preserve">8689762802</t>
  </si>
  <si>
    <t xml:space="preserve">AKASH K</t>
  </si>
  <si>
    <t xml:space="preserve">24CY1334</t>
  </si>
  <si>
    <t xml:space="preserve">2005-12-22</t>
  </si>
  <si>
    <t xml:space="preserve">336 Main Road, Coimbatore</t>
  </si>
  <si>
    <t xml:space="preserve">9858579674</t>
  </si>
  <si>
    <t xml:space="preserve">8983533834</t>
  </si>
  <si>
    <t xml:space="preserve">AMEGHA K</t>
  </si>
  <si>
    <t xml:space="preserve">24CY1335</t>
  </si>
  <si>
    <t xml:space="preserve">2002-08-21</t>
  </si>
  <si>
    <t xml:space="preserve">238 Main Road, Coimbatore</t>
  </si>
  <si>
    <t xml:space="preserve">9990362111</t>
  </si>
  <si>
    <t xml:space="preserve">8318768096</t>
  </si>
  <si>
    <t xml:space="preserve">ARIKARAN K</t>
  </si>
  <si>
    <t xml:space="preserve">24CY1336</t>
  </si>
  <si>
    <t xml:space="preserve">2004-03-09</t>
  </si>
  <si>
    <t xml:space="preserve">107 Main Road, Coimbatore</t>
  </si>
  <si>
    <t xml:space="preserve">9307300467</t>
  </si>
  <si>
    <t xml:space="preserve">8294111577</t>
  </si>
  <si>
    <t xml:space="preserve">ASHOK KUMAR K</t>
  </si>
  <si>
    <t xml:space="preserve">24CY1337</t>
  </si>
  <si>
    <t xml:space="preserve">2005-04-13</t>
  </si>
  <si>
    <t xml:space="preserve">163 Main Road, Coimbatore</t>
  </si>
  <si>
    <t xml:space="preserve">9452605195</t>
  </si>
  <si>
    <t xml:space="preserve">8685198587</t>
  </si>
  <si>
    <t xml:space="preserve">BARATHKUMAR K</t>
  </si>
  <si>
    <t xml:space="preserve">24CY1338</t>
  </si>
  <si>
    <t xml:space="preserve">2004-03-25</t>
  </si>
  <si>
    <t xml:space="preserve">975 Main Road, Coimbatore</t>
  </si>
  <si>
    <t xml:space="preserve">9609249002</t>
  </si>
  <si>
    <t xml:space="preserve">8924333524</t>
  </si>
  <si>
    <t xml:space="preserve">BHAVANA K</t>
  </si>
  <si>
    <t xml:space="preserve">24CY1339</t>
  </si>
  <si>
    <t xml:space="preserve">9362147274</t>
  </si>
  <si>
    <t xml:space="preserve">8857130830</t>
  </si>
  <si>
    <t xml:space="preserve">BOOPATHY VELAN K</t>
  </si>
  <si>
    <t xml:space="preserve">24CY1340</t>
  </si>
  <si>
    <t xml:space="preserve">2006-05-29</t>
  </si>
  <si>
    <t xml:space="preserve">432 Main Road, Coimbatore</t>
  </si>
  <si>
    <t xml:space="preserve">9725261396</t>
  </si>
  <si>
    <t xml:space="preserve">8204000215</t>
  </si>
  <si>
    <t xml:space="preserve">BRINDHA DEVI K</t>
  </si>
  <si>
    <t xml:space="preserve">24CY1341</t>
  </si>
  <si>
    <t xml:space="preserve">2005-04-02</t>
  </si>
  <si>
    <t xml:space="preserve">608 Main Road, Coimbatore</t>
  </si>
  <si>
    <t xml:space="preserve">9299762442</t>
  </si>
  <si>
    <t xml:space="preserve">8564468388</t>
  </si>
  <si>
    <t xml:space="preserve">DINESHKUMAR K</t>
  </si>
  <si>
    <t xml:space="preserve">24CY1342</t>
  </si>
  <si>
    <t xml:space="preserve">2005-10-26</t>
  </si>
  <si>
    <t xml:space="preserve">618 Main Road, Coimbatore</t>
  </si>
  <si>
    <t xml:space="preserve">9956950076</t>
  </si>
  <si>
    <t xml:space="preserve">8659576987</t>
  </si>
  <si>
    <t xml:space="preserve">DIVYASHASHA K</t>
  </si>
  <si>
    <t xml:space="preserve">24CY1343</t>
  </si>
  <si>
    <t xml:space="preserve">693 Main Road, Coimbatore</t>
  </si>
  <si>
    <t xml:space="preserve">9128745153</t>
  </si>
  <si>
    <t xml:space="preserve">8841674881</t>
  </si>
  <si>
    <t xml:space="preserve">GOKULNATH K</t>
  </si>
  <si>
    <t xml:space="preserve">24CY1344</t>
  </si>
  <si>
    <t xml:space="preserve">2006-04-28</t>
  </si>
  <si>
    <t xml:space="preserve">731 Main Road, Coimbatore</t>
  </si>
  <si>
    <t xml:space="preserve">9296299394</t>
  </si>
  <si>
    <t xml:space="preserve">8227576100</t>
  </si>
  <si>
    <t xml:space="preserve">GOWTHAM K</t>
  </si>
  <si>
    <t xml:space="preserve">24CY1345</t>
  </si>
  <si>
    <t xml:space="preserve">2004-07-19</t>
  </si>
  <si>
    <t xml:space="preserve">361 Main Road, Coimbatore</t>
  </si>
  <si>
    <t xml:space="preserve">9607205228</t>
  </si>
  <si>
    <t xml:space="preserve">8096211158</t>
  </si>
  <si>
    <t xml:space="preserve">HARI PRASAD K</t>
  </si>
  <si>
    <t xml:space="preserve">24CY1346</t>
  </si>
  <si>
    <t xml:space="preserve">2003-02-04</t>
  </si>
  <si>
    <t xml:space="preserve">58 Main Road, Coimbatore</t>
  </si>
  <si>
    <t xml:space="preserve">9649024145</t>
  </si>
  <si>
    <t xml:space="preserve">8020476645</t>
  </si>
  <si>
    <t xml:space="preserve">HARISH K</t>
  </si>
  <si>
    <t xml:space="preserve">24CY1347</t>
  </si>
  <si>
    <t xml:space="preserve">2003-04-26</t>
  </si>
  <si>
    <t xml:space="preserve">9313960803</t>
  </si>
  <si>
    <t xml:space="preserve">8865571448</t>
  </si>
  <si>
    <t xml:space="preserve">HARSHINI K</t>
  </si>
  <si>
    <t xml:space="preserve">24CY1348</t>
  </si>
  <si>
    <t xml:space="preserve">2004-03-20</t>
  </si>
  <si>
    <t xml:space="preserve">9870422877</t>
  </si>
  <si>
    <t xml:space="preserve">8045031894</t>
  </si>
  <si>
    <t xml:space="preserve">HIMALINI K</t>
  </si>
  <si>
    <t xml:space="preserve">24CY1349</t>
  </si>
  <si>
    <t xml:space="preserve">2004-04-28</t>
  </si>
  <si>
    <t xml:space="preserve">9714638345</t>
  </si>
  <si>
    <t xml:space="preserve">8197079925</t>
  </si>
  <si>
    <t xml:space="preserve">JAYABHARATHI K</t>
  </si>
  <si>
    <t xml:space="preserve">24CY1350</t>
  </si>
  <si>
    <t xml:space="preserve">635 Main Road, Coimbatore</t>
  </si>
  <si>
    <t xml:space="preserve">9333927249</t>
  </si>
  <si>
    <t xml:space="preserve">8401926983</t>
  </si>
  <si>
    <t xml:space="preserve">JEYAPANDI K</t>
  </si>
  <si>
    <t xml:space="preserve">24CY1351</t>
  </si>
  <si>
    <t xml:space="preserve">2004-06-13</t>
  </si>
  <si>
    <t xml:space="preserve">229 Main Road, Coimbatore</t>
  </si>
  <si>
    <t xml:space="preserve">9801088030</t>
  </si>
  <si>
    <t xml:space="preserve">8191379497</t>
  </si>
  <si>
    <t xml:space="preserve">KAMALINI K</t>
  </si>
  <si>
    <t xml:space="preserve">24CY1352</t>
  </si>
  <si>
    <t xml:space="preserve">2006-01-17</t>
  </si>
  <si>
    <t xml:space="preserve">948 Main Road, Coimbatore</t>
  </si>
  <si>
    <t xml:space="preserve">9183294725</t>
  </si>
  <si>
    <t xml:space="preserve">8809887973</t>
  </si>
  <si>
    <t xml:space="preserve">KANITHA K</t>
  </si>
  <si>
    <t xml:space="preserve">24CY1353</t>
  </si>
  <si>
    <t xml:space="preserve">2006-06-11</t>
  </si>
  <si>
    <t xml:space="preserve">177 Main Road, Coimbatore</t>
  </si>
  <si>
    <t xml:space="preserve">9681151368</t>
  </si>
  <si>
    <t xml:space="preserve">8050495695</t>
  </si>
  <si>
    <t xml:space="preserve">KAVIN GOKUL K</t>
  </si>
  <si>
    <t xml:space="preserve">24CY1354</t>
  </si>
  <si>
    <t xml:space="preserve">2006-06-30</t>
  </si>
  <si>
    <t xml:space="preserve">9968277548</t>
  </si>
  <si>
    <t xml:space="preserve">8167230031</t>
  </si>
  <si>
    <t xml:space="preserve">LALITHKISHOR K</t>
  </si>
  <si>
    <t xml:space="preserve">24CY1355</t>
  </si>
  <si>
    <t xml:space="preserve">379 Main Road, Coimbatore</t>
  </si>
  <si>
    <t xml:space="preserve">9012201407</t>
  </si>
  <si>
    <t xml:space="preserve">8322655924</t>
  </si>
  <si>
    <t xml:space="preserve">MAGUDEESHWARAN K</t>
  </si>
  <si>
    <t xml:space="preserve">24CY1356</t>
  </si>
  <si>
    <t xml:space="preserve">2005-01-06</t>
  </si>
  <si>
    <t xml:space="preserve">261 Main Road, Coimbatore</t>
  </si>
  <si>
    <t xml:space="preserve">9107264062</t>
  </si>
  <si>
    <t xml:space="preserve">8765929589</t>
  </si>
  <si>
    <t xml:space="preserve">MANENDHIRAN K</t>
  </si>
  <si>
    <t xml:space="preserve">24CY1357</t>
  </si>
  <si>
    <t xml:space="preserve">489 Main Road, Coimbatore</t>
  </si>
  <si>
    <t xml:space="preserve">9058564556</t>
  </si>
  <si>
    <t xml:space="preserve">8950268929</t>
  </si>
  <si>
    <t xml:space="preserve">MANIKANDAN K</t>
  </si>
  <si>
    <t xml:space="preserve">24CY1358</t>
  </si>
  <si>
    <t xml:space="preserve">2004-06-03</t>
  </si>
  <si>
    <t xml:space="preserve">505 Main Road, Coimbatore</t>
  </si>
  <si>
    <t xml:space="preserve">9295474649</t>
  </si>
  <si>
    <t xml:space="preserve">8306689006</t>
  </si>
  <si>
    <t xml:space="preserve">MANO K</t>
  </si>
  <si>
    <t xml:space="preserve">24CY1359</t>
  </si>
  <si>
    <t xml:space="preserve">2003-02-23</t>
  </si>
  <si>
    <t xml:space="preserve">466 Main Road, Coimbatore</t>
  </si>
  <si>
    <t xml:space="preserve">9245635668</t>
  </si>
  <si>
    <t xml:space="preserve">8732862920</t>
  </si>
  <si>
    <t xml:space="preserve">MOUNISH K</t>
  </si>
  <si>
    <t xml:space="preserve">24CY1360</t>
  </si>
  <si>
    <t xml:space="preserve">2004-07-15</t>
  </si>
  <si>
    <t xml:space="preserve">512 Main Road, Coimbatore</t>
  </si>
  <si>
    <t xml:space="preserve">9345447734</t>
  </si>
  <si>
    <t xml:space="preserve">8350660893</t>
  </si>
  <si>
    <t xml:space="preserve">NETHRA K</t>
  </si>
  <si>
    <t xml:space="preserve">24CY1361</t>
  </si>
  <si>
    <t xml:space="preserve">2003-12-01</t>
  </si>
  <si>
    <t xml:space="preserve">57 Main Road, Coimbatore</t>
  </si>
  <si>
    <t xml:space="preserve">9144259269</t>
  </si>
  <si>
    <t xml:space="preserve">8773910105</t>
  </si>
  <si>
    <t xml:space="preserve">NIRMALRAJ K</t>
  </si>
  <si>
    <t xml:space="preserve">24CY1362</t>
  </si>
  <si>
    <t xml:space="preserve">2003-01-29</t>
  </si>
  <si>
    <t xml:space="preserve">654 Main Road, Coimbatore</t>
  </si>
  <si>
    <t xml:space="preserve">9985507304</t>
  </si>
  <si>
    <t xml:space="preserve">8380627834</t>
  </si>
  <si>
    <t xml:space="preserve">POOJA K</t>
  </si>
  <si>
    <t xml:space="preserve">24CY1363</t>
  </si>
  <si>
    <t xml:space="preserve">985 Main Road, Coimbatore</t>
  </si>
  <si>
    <t xml:space="preserve">9600257509</t>
  </si>
  <si>
    <t xml:space="preserve">8950387249</t>
  </si>
  <si>
    <t xml:space="preserve">POOVARASAN K</t>
  </si>
  <si>
    <t xml:space="preserve">24CY1364</t>
  </si>
  <si>
    <t xml:space="preserve">2003-08-18</t>
  </si>
  <si>
    <t xml:space="preserve">9170337217</t>
  </si>
  <si>
    <t xml:space="preserve">8101879232</t>
  </si>
  <si>
    <t xml:space="preserve">PRADEEP KUMAR K</t>
  </si>
  <si>
    <t xml:space="preserve">24CY1365</t>
  </si>
  <si>
    <t xml:space="preserve">2004-08-05</t>
  </si>
  <si>
    <t xml:space="preserve">86 Main Road, Coimbatore</t>
  </si>
  <si>
    <t xml:space="preserve">9405761712</t>
  </si>
  <si>
    <t xml:space="preserve">8864129356</t>
  </si>
  <si>
    <t xml:space="preserve">PREETHI K</t>
  </si>
  <si>
    <t xml:space="preserve">24CY1366</t>
  </si>
  <si>
    <t xml:space="preserve">2003-07-08</t>
  </si>
  <si>
    <t xml:space="preserve">9671675739</t>
  </si>
  <si>
    <t xml:space="preserve">8610503343</t>
  </si>
  <si>
    <t xml:space="preserve">RAGAVI K</t>
  </si>
  <si>
    <t xml:space="preserve">24CY1367</t>
  </si>
  <si>
    <t xml:space="preserve">9822001453</t>
  </si>
  <si>
    <t xml:space="preserve">8577949003</t>
  </si>
  <si>
    <t xml:space="preserve">RAM PRABHU K</t>
  </si>
  <si>
    <t xml:space="preserve">24CY1368</t>
  </si>
  <si>
    <t xml:space="preserve">2002-03-09</t>
  </si>
  <si>
    <t xml:space="preserve">87 Main Road, Coimbatore</t>
  </si>
  <si>
    <t xml:space="preserve">9315578876</t>
  </si>
  <si>
    <t xml:space="preserve">8181624132</t>
  </si>
  <si>
    <t xml:space="preserve">RAMYA KRISHNA K</t>
  </si>
  <si>
    <t xml:space="preserve">24CY1369</t>
  </si>
  <si>
    <t xml:space="preserve">2003-05-14</t>
  </si>
  <si>
    <t xml:space="preserve">754 Main Road, Coimbatore</t>
  </si>
  <si>
    <t xml:space="preserve">9500478262</t>
  </si>
  <si>
    <t xml:space="preserve">8842750910</t>
  </si>
  <si>
    <t xml:space="preserve">RESHMA K</t>
  </si>
  <si>
    <t xml:space="preserve">24CY1370</t>
  </si>
  <si>
    <t xml:space="preserve">2003-02-08</t>
  </si>
  <si>
    <t xml:space="preserve">719 Main Road, Coimbatore</t>
  </si>
  <si>
    <t xml:space="preserve">9196664735</t>
  </si>
  <si>
    <t xml:space="preserve">8130592807</t>
  </si>
  <si>
    <t xml:space="preserve">ROOBA K</t>
  </si>
  <si>
    <t xml:space="preserve">24CY1371</t>
  </si>
  <si>
    <t xml:space="preserve">2005-10-31</t>
  </si>
  <si>
    <t xml:space="preserve">510 Main Road, Coimbatore</t>
  </si>
  <si>
    <t xml:space="preserve">9365520126</t>
  </si>
  <si>
    <t xml:space="preserve">8088727305</t>
  </si>
  <si>
    <t xml:space="preserve">RUTHRAN K</t>
  </si>
  <si>
    <t xml:space="preserve">24CY1372</t>
  </si>
  <si>
    <t xml:space="preserve">2005-04-09</t>
  </si>
  <si>
    <t xml:space="preserve">141 Main Road, Coimbatore</t>
  </si>
  <si>
    <t xml:space="preserve">9907359182</t>
  </si>
  <si>
    <t xml:space="preserve">8487459447</t>
  </si>
  <si>
    <t xml:space="preserve">SHREERAGAVI K</t>
  </si>
  <si>
    <t xml:space="preserve">24CY1373</t>
  </si>
  <si>
    <t xml:space="preserve">2002-02-11</t>
  </si>
  <si>
    <t xml:space="preserve">964 Main Road, Coimbatore</t>
  </si>
  <si>
    <t xml:space="preserve">9182816202</t>
  </si>
  <si>
    <t xml:space="preserve">8971603287</t>
  </si>
  <si>
    <t xml:space="preserve">SHUDARYAAZHINI K</t>
  </si>
  <si>
    <t xml:space="preserve">24CY1374</t>
  </si>
  <si>
    <t xml:space="preserve">2004-05-03</t>
  </si>
  <si>
    <t xml:space="preserve">450 Main Road, Coimbatore</t>
  </si>
  <si>
    <t xml:space="preserve">9702314440</t>
  </si>
  <si>
    <t xml:space="preserve">8488858102</t>
  </si>
  <si>
    <t xml:space="preserve">SIVAMANIKANDAN K</t>
  </si>
  <si>
    <t xml:space="preserve">24CY1375</t>
  </si>
  <si>
    <t xml:space="preserve">2002-02-16</t>
  </si>
  <si>
    <t xml:space="preserve">959 Main Road, Coimbatore</t>
  </si>
  <si>
    <t xml:space="preserve">9542781373</t>
  </si>
  <si>
    <t xml:space="preserve">8531660616</t>
  </si>
  <si>
    <t xml:space="preserve">SIVASHREE K</t>
  </si>
  <si>
    <t xml:space="preserve">24CY1376</t>
  </si>
  <si>
    <t xml:space="preserve">2005-10-05</t>
  </si>
  <si>
    <t xml:space="preserve">969 Main Road, Coimbatore</t>
  </si>
  <si>
    <t xml:space="preserve">9767226308</t>
  </si>
  <si>
    <t xml:space="preserve">8805555696</t>
  </si>
  <si>
    <t xml:space="preserve">SREESARAN K</t>
  </si>
  <si>
    <t xml:space="preserve">24CY1377</t>
  </si>
  <si>
    <t xml:space="preserve">237 Main Road, Coimbatore</t>
  </si>
  <si>
    <t xml:space="preserve">9368839875</t>
  </si>
  <si>
    <t xml:space="preserve">8885642092</t>
  </si>
  <si>
    <t xml:space="preserve">SRI HARI K</t>
  </si>
  <si>
    <t xml:space="preserve">24CY1378</t>
  </si>
  <si>
    <t xml:space="preserve">537 Main Road, Coimbatore</t>
  </si>
  <si>
    <t xml:space="preserve">9340453917</t>
  </si>
  <si>
    <t xml:space="preserve">8651762969</t>
  </si>
  <si>
    <t xml:space="preserve">SRINITHI K</t>
  </si>
  <si>
    <t xml:space="preserve">24CY1379</t>
  </si>
  <si>
    <t xml:space="preserve">2004-06-29</t>
  </si>
  <si>
    <t xml:space="preserve">569 Main Road, Coimbatore</t>
  </si>
  <si>
    <t xml:space="preserve">9008836385</t>
  </si>
  <si>
    <t xml:space="preserve">8892180116</t>
  </si>
  <si>
    <t xml:space="preserve">SUVETHA SRE K</t>
  </si>
  <si>
    <t xml:space="preserve">24CY1380</t>
  </si>
  <si>
    <t xml:space="preserve">2003-05-31</t>
  </si>
  <si>
    <t xml:space="preserve">14 Main Road, Coimbatore</t>
  </si>
  <si>
    <t xml:space="preserve">9948815977</t>
  </si>
  <si>
    <t xml:space="preserve">8120296137</t>
  </si>
  <si>
    <t xml:space="preserve">TAMILSELVAN K</t>
  </si>
  <si>
    <t xml:space="preserve">24CY1381</t>
  </si>
  <si>
    <t xml:space="preserve">2002-04-14</t>
  </si>
  <si>
    <t xml:space="preserve">9080980363</t>
  </si>
  <si>
    <t xml:space="preserve">8834011082</t>
  </si>
  <si>
    <t xml:space="preserve">UDAYA BHAARATHI K</t>
  </si>
  <si>
    <t xml:space="preserve">24CY1382</t>
  </si>
  <si>
    <t xml:space="preserve">2004-02-07</t>
  </si>
  <si>
    <t xml:space="preserve">9571212521</t>
  </si>
  <si>
    <t xml:space="preserve">8122546433</t>
  </si>
  <si>
    <t xml:space="preserve">VADIVAZHAKAN K</t>
  </si>
  <si>
    <t xml:space="preserve">24CY1383</t>
  </si>
  <si>
    <t xml:space="preserve">9563866261</t>
  </si>
  <si>
    <t xml:space="preserve">8662211915</t>
  </si>
  <si>
    <t xml:space="preserve">VARSHA K</t>
  </si>
  <si>
    <t xml:space="preserve">24CY1384</t>
  </si>
  <si>
    <t xml:space="preserve">2004-08-22</t>
  </si>
  <si>
    <t xml:space="preserve">9844528806</t>
  </si>
  <si>
    <t xml:space="preserve">8157332278</t>
  </si>
  <si>
    <t xml:space="preserve">VENKATESH K</t>
  </si>
  <si>
    <t xml:space="preserve">24CY1385</t>
  </si>
  <si>
    <t xml:space="preserve">606 Main Road, Coimbatore</t>
  </si>
  <si>
    <t xml:space="preserve">9807652699</t>
  </si>
  <si>
    <t xml:space="preserve">8761008692</t>
  </si>
  <si>
    <t xml:space="preserve">VIJAY K</t>
  </si>
  <si>
    <t xml:space="preserve">24CY1386</t>
  </si>
  <si>
    <t xml:space="preserve">2002-01-10</t>
  </si>
  <si>
    <t xml:space="preserve">9854810412</t>
  </si>
  <si>
    <t xml:space="preserve">8438573027</t>
  </si>
  <si>
    <t xml:space="preserve">VIJAYA BASHKARAN K</t>
  </si>
  <si>
    <t xml:space="preserve">24CY1387</t>
  </si>
  <si>
    <t xml:space="preserve">2006-05-21</t>
  </si>
  <si>
    <t xml:space="preserve">433 Main Road, Coimbatore</t>
  </si>
  <si>
    <t xml:space="preserve">9296527330</t>
  </si>
  <si>
    <t xml:space="preserve">8919925531</t>
  </si>
  <si>
    <t xml:space="preserve">VIKASH K</t>
  </si>
  <si>
    <t xml:space="preserve">24CY1388</t>
  </si>
  <si>
    <t xml:space="preserve">2004-12-03</t>
  </si>
  <si>
    <t xml:space="preserve">787 Main Road, Coimbatore</t>
  </si>
  <si>
    <t xml:space="preserve">9125190016</t>
  </si>
  <si>
    <t xml:space="preserve">8302229381</t>
  </si>
  <si>
    <t xml:space="preserve">VISHNU VARSHAT K</t>
  </si>
  <si>
    <t xml:space="preserve">24CY1389</t>
  </si>
  <si>
    <t xml:space="preserve">2006-11-10</t>
  </si>
  <si>
    <t xml:space="preserve">619 Main Road, Coimbatore</t>
  </si>
  <si>
    <t xml:space="preserve">9853137413</t>
  </si>
  <si>
    <t xml:space="preserve">8032764979</t>
  </si>
  <si>
    <t xml:space="preserve">VISHWA K</t>
  </si>
  <si>
    <t xml:space="preserve">24CY1390</t>
  </si>
  <si>
    <t xml:space="preserve">2005-03-31</t>
  </si>
  <si>
    <t xml:space="preserve">9098473964</t>
  </si>
  <si>
    <t xml:space="preserve">8731545688</t>
  </si>
  <si>
    <t xml:space="preserve">YASHVANTH K</t>
  </si>
  <si>
    <t xml:space="preserve">24CY1391</t>
  </si>
  <si>
    <t xml:space="preserve">2006-02-03</t>
  </si>
  <si>
    <t xml:space="preserve">455 Main Road, Coimbatore</t>
  </si>
  <si>
    <t xml:space="preserve">9613870884</t>
  </si>
  <si>
    <t xml:space="preserve">8798658376</t>
  </si>
  <si>
    <t xml:space="preserve">YAZHINI K</t>
  </si>
  <si>
    <t xml:space="preserve">24CY1392</t>
  </si>
  <si>
    <t xml:space="preserve">2004-05-12</t>
  </si>
  <si>
    <t xml:space="preserve">9503733105</t>
  </si>
  <si>
    <t xml:space="preserve">8151129123</t>
  </si>
  <si>
    <t xml:space="preserve">YOGESHWAR K</t>
  </si>
  <si>
    <t xml:space="preserve">24CY1393</t>
  </si>
  <si>
    <t xml:space="preserve">2006-01-29</t>
  </si>
  <si>
    <t xml:space="preserve">628 Main Road, Coimbatore</t>
  </si>
  <si>
    <t xml:space="preserve">9254408980</t>
  </si>
  <si>
    <t xml:space="preserve">8511340729</t>
  </si>
  <si>
    <t xml:space="preserve">NISHANTH K A</t>
  </si>
  <si>
    <t xml:space="preserve">24CY1394</t>
  </si>
  <si>
    <t xml:space="preserve">240 Main Road, Coimbatore</t>
  </si>
  <si>
    <t xml:space="preserve">9260032973</t>
  </si>
  <si>
    <t xml:space="preserve">8459790222</t>
  </si>
  <si>
    <t xml:space="preserve">MANOJ K C</t>
  </si>
  <si>
    <t xml:space="preserve">24CY1395</t>
  </si>
  <si>
    <t xml:space="preserve">2005-07-31</t>
  </si>
  <si>
    <t xml:space="preserve">616 Main Road, Coimbatore</t>
  </si>
  <si>
    <t xml:space="preserve">9896813789</t>
  </si>
  <si>
    <t xml:space="preserve">8175965175</t>
  </si>
  <si>
    <t xml:space="preserve">ROHIT K C</t>
  </si>
  <si>
    <t xml:space="preserve">24CY1396</t>
  </si>
  <si>
    <t xml:space="preserve">2002-03-30</t>
  </si>
  <si>
    <t xml:space="preserve">412 Main Road, Coimbatore</t>
  </si>
  <si>
    <t xml:space="preserve">9801137215</t>
  </si>
  <si>
    <t xml:space="preserve">8526387459</t>
  </si>
  <si>
    <t xml:space="preserve">DHANUSHREE K L</t>
  </si>
  <si>
    <t xml:space="preserve">24CY1397</t>
  </si>
  <si>
    <t xml:space="preserve">2003-06-09</t>
  </si>
  <si>
    <t xml:space="preserve">347 Main Road, Coimbatore</t>
  </si>
  <si>
    <t xml:space="preserve">9482533773</t>
  </si>
  <si>
    <t xml:space="preserve">8658042511</t>
  </si>
  <si>
    <t xml:space="preserve">RUPESH KUMARAN K R</t>
  </si>
  <si>
    <t xml:space="preserve">24CY1398</t>
  </si>
  <si>
    <t xml:space="preserve">2002-09-12</t>
  </si>
  <si>
    <t xml:space="preserve">9115080925</t>
  </si>
  <si>
    <t xml:space="preserve">8775934443</t>
  </si>
  <si>
    <t xml:space="preserve">DINESH PRANAV K S</t>
  </si>
  <si>
    <t xml:space="preserve">24CY1399</t>
  </si>
  <si>
    <t xml:space="preserve">2002-01-26</t>
  </si>
  <si>
    <t xml:space="preserve">9874072480</t>
  </si>
  <si>
    <t xml:space="preserve">8855490449</t>
  </si>
  <si>
    <t xml:space="preserve">SAI PRADHAP K V</t>
  </si>
  <si>
    <t xml:space="preserve">24CY1400</t>
  </si>
  <si>
    <t xml:space="preserve">2004-10-08</t>
  </si>
  <si>
    <t xml:space="preserve">9634544551</t>
  </si>
  <si>
    <t xml:space="preserve">8799521627</t>
  </si>
  <si>
    <t xml:space="preserve">SUBIKSHA KRISHNASAMY LAKSHMANAN</t>
  </si>
  <si>
    <t xml:space="preserve">24CY1401</t>
  </si>
  <si>
    <t xml:space="preserve">2003-01-31</t>
  </si>
  <si>
    <t xml:space="preserve">9006370315</t>
  </si>
  <si>
    <t xml:space="preserve">8799269506</t>
  </si>
  <si>
    <t xml:space="preserve">SNEGHADHARA KUMAR</t>
  </si>
  <si>
    <t xml:space="preserve">24CY1402</t>
  </si>
  <si>
    <t xml:space="preserve">473 Main Road, Coimbatore</t>
  </si>
  <si>
    <t xml:space="preserve">9095069332</t>
  </si>
  <si>
    <t xml:space="preserve">8971380506</t>
  </si>
  <si>
    <t xml:space="preserve">MANIKANDAPRABU L</t>
  </si>
  <si>
    <t xml:space="preserve">24CY1403</t>
  </si>
  <si>
    <t xml:space="preserve">472 Main Road, Coimbatore</t>
  </si>
  <si>
    <t xml:space="preserve">9094971127</t>
  </si>
  <si>
    <t xml:space="preserve">8713711784</t>
  </si>
  <si>
    <t xml:space="preserve">RAJA L</t>
  </si>
  <si>
    <t xml:space="preserve">24CY1404</t>
  </si>
  <si>
    <t xml:space="preserve">2003-01-07</t>
  </si>
  <si>
    <t xml:space="preserve">413 Main Road, Coimbatore</t>
  </si>
  <si>
    <t xml:space="preserve">9286163982</t>
  </si>
  <si>
    <t xml:space="preserve">8820378941</t>
  </si>
  <si>
    <t xml:space="preserve">VISHAL L</t>
  </si>
  <si>
    <t xml:space="preserve">24CY1405</t>
  </si>
  <si>
    <t xml:space="preserve">2002-12-26</t>
  </si>
  <si>
    <t xml:space="preserve">9691585844</t>
  </si>
  <si>
    <t xml:space="preserve">8952110940</t>
  </si>
  <si>
    <t xml:space="preserve">PRAJEETH L S</t>
  </si>
  <si>
    <t xml:space="preserve">24CY1406</t>
  </si>
  <si>
    <t xml:space="preserve">2004-01-05</t>
  </si>
  <si>
    <t xml:space="preserve">9497465788</t>
  </si>
  <si>
    <t xml:space="preserve">8326310456</t>
  </si>
  <si>
    <t xml:space="preserve">ABINAYA M</t>
  </si>
  <si>
    <t xml:space="preserve">24CY1407</t>
  </si>
  <si>
    <t xml:space="preserve">2002-09-11</t>
  </si>
  <si>
    <t xml:space="preserve">561 Main Road, Coimbatore</t>
  </si>
  <si>
    <t xml:space="preserve">9070320698</t>
  </si>
  <si>
    <t xml:space="preserve">8787007038</t>
  </si>
  <si>
    <t xml:space="preserve">ADITHYA M</t>
  </si>
  <si>
    <t xml:space="preserve">24CY1408</t>
  </si>
  <si>
    <t xml:space="preserve">2004-10-04</t>
  </si>
  <si>
    <t xml:space="preserve">88 Main Road, Coimbatore</t>
  </si>
  <si>
    <t xml:space="preserve">9842218901</t>
  </si>
  <si>
    <t xml:space="preserve">8205049692</t>
  </si>
  <si>
    <t xml:space="preserve">AMIRTHA VARSHINI M</t>
  </si>
  <si>
    <t xml:space="preserve">24CY1409</t>
  </si>
  <si>
    <t xml:space="preserve">2002-07-21</t>
  </si>
  <si>
    <t xml:space="preserve">752 Main Road, Coimbatore</t>
  </si>
  <si>
    <t xml:space="preserve">9856786566</t>
  </si>
  <si>
    <t xml:space="preserve">8390589773</t>
  </si>
  <si>
    <t xml:space="preserve">ANAND M</t>
  </si>
  <si>
    <t xml:space="preserve">24CY1410</t>
  </si>
  <si>
    <t xml:space="preserve">2003-08-31</t>
  </si>
  <si>
    <t xml:space="preserve">981 Main Road, Coimbatore</t>
  </si>
  <si>
    <t xml:space="preserve">9407474314</t>
  </si>
  <si>
    <t xml:space="preserve">8006668829</t>
  </si>
  <si>
    <t xml:space="preserve">ANANTHAKRISHNAN M</t>
  </si>
  <si>
    <t xml:space="preserve">24CY1411</t>
  </si>
  <si>
    <t xml:space="preserve">2002-04-15</t>
  </si>
  <si>
    <t xml:space="preserve">820 Main Road, Coimbatore</t>
  </si>
  <si>
    <t xml:space="preserve">9773287950</t>
  </si>
  <si>
    <t xml:space="preserve">8362025860</t>
  </si>
  <si>
    <t xml:space="preserve">ANTONY JOHANS M</t>
  </si>
  <si>
    <t xml:space="preserve">24CY1412</t>
  </si>
  <si>
    <t xml:space="preserve">2002-03-28</t>
  </si>
  <si>
    <t xml:space="preserve">9167867276</t>
  </si>
  <si>
    <t xml:space="preserve">8653882813</t>
  </si>
  <si>
    <t xml:space="preserve">ARAVINDH M</t>
  </si>
  <si>
    <t xml:space="preserve">24CY1413</t>
  </si>
  <si>
    <t xml:space="preserve">2002-10-06</t>
  </si>
  <si>
    <t xml:space="preserve">280 Main Road, Coimbatore</t>
  </si>
  <si>
    <t xml:space="preserve">9006048601</t>
  </si>
  <si>
    <t xml:space="preserve">8483132110</t>
  </si>
  <si>
    <t xml:space="preserve">ARJUN M</t>
  </si>
  <si>
    <t xml:space="preserve">24CY1414</t>
  </si>
  <si>
    <t xml:space="preserve">2005-12-14</t>
  </si>
  <si>
    <t xml:space="preserve">721 Main Road, Coimbatore</t>
  </si>
  <si>
    <t xml:space="preserve">9181699335</t>
  </si>
  <si>
    <t xml:space="preserve">8243187062</t>
  </si>
  <si>
    <t xml:space="preserve">ASIFA THASNIM M</t>
  </si>
  <si>
    <t xml:space="preserve">24CY1415</t>
  </si>
  <si>
    <t xml:space="preserve">579 Main Road, Coimbatore</t>
  </si>
  <si>
    <t xml:space="preserve">9482478801</t>
  </si>
  <si>
    <t xml:space="preserve">8656918236</t>
  </si>
  <si>
    <t xml:space="preserve">BALASUBRAMANI M</t>
  </si>
  <si>
    <t xml:space="preserve">24CY1416</t>
  </si>
  <si>
    <t xml:space="preserve">13 Main Road, Coimbatore</t>
  </si>
  <si>
    <t xml:space="preserve">9926628428</t>
  </si>
  <si>
    <t xml:space="preserve">8118687849</t>
  </si>
  <si>
    <t xml:space="preserve">BHUVANESHWARAN M</t>
  </si>
  <si>
    <t xml:space="preserve">24CY1417</t>
  </si>
  <si>
    <t xml:space="preserve">9398685705</t>
  </si>
  <si>
    <t xml:space="preserve">8281931335</t>
  </si>
  <si>
    <t xml:space="preserve">BIBIN KIRAN M</t>
  </si>
  <si>
    <t xml:space="preserve">24CY1418</t>
  </si>
  <si>
    <t xml:space="preserve">2003-09-16</t>
  </si>
  <si>
    <t xml:space="preserve">9618277187</t>
  </si>
  <si>
    <t xml:space="preserve">8242162151</t>
  </si>
  <si>
    <t xml:space="preserve">DHAKSHITHA M</t>
  </si>
  <si>
    <t xml:space="preserve">24CY1419</t>
  </si>
  <si>
    <t xml:space="preserve">2005-12-30</t>
  </si>
  <si>
    <t xml:space="preserve">9659344156</t>
  </si>
  <si>
    <t xml:space="preserve">8678810607</t>
  </si>
  <si>
    <t xml:space="preserve">DHANUSHIKA M</t>
  </si>
  <si>
    <t xml:space="preserve">24CY1420</t>
  </si>
  <si>
    <t xml:space="preserve">2004-01-11</t>
  </si>
  <si>
    <t xml:space="preserve">9199611687</t>
  </si>
  <si>
    <t xml:space="preserve">8197900884</t>
  </si>
  <si>
    <t xml:space="preserve">DHARSHINI M</t>
  </si>
  <si>
    <t xml:space="preserve">24CY1421</t>
  </si>
  <si>
    <t xml:space="preserve">2006-08-22</t>
  </si>
  <si>
    <t xml:space="preserve">9962271823</t>
  </si>
  <si>
    <t xml:space="preserve">8612578953</t>
  </si>
  <si>
    <t xml:space="preserve">DHAYANITHI M</t>
  </si>
  <si>
    <t xml:space="preserve">24CY1422</t>
  </si>
  <si>
    <t xml:space="preserve">2004-04-20</t>
  </si>
  <si>
    <t xml:space="preserve">812 Main Road, Coimbatore</t>
  </si>
  <si>
    <t xml:space="preserve">9098992719</t>
  </si>
  <si>
    <t xml:space="preserve">8634039274</t>
  </si>
  <si>
    <t xml:space="preserve">DHYANESH M</t>
  </si>
  <si>
    <t xml:space="preserve">24CY1423</t>
  </si>
  <si>
    <t xml:space="preserve">2006-05-01</t>
  </si>
  <si>
    <t xml:space="preserve">9579678460</t>
  </si>
  <si>
    <t xml:space="preserve">8062661020</t>
  </si>
  <si>
    <t xml:space="preserve">DINESH M</t>
  </si>
  <si>
    <t xml:space="preserve">24CY1424</t>
  </si>
  <si>
    <t xml:space="preserve">176 Main Road, Coimbatore</t>
  </si>
  <si>
    <t xml:space="preserve">9617162027</t>
  </si>
  <si>
    <t xml:space="preserve">8853290626</t>
  </si>
  <si>
    <t xml:space="preserve">GOBIKA M</t>
  </si>
  <si>
    <t xml:space="preserve">24CY1425</t>
  </si>
  <si>
    <t xml:space="preserve">2003-06-30</t>
  </si>
  <si>
    <t xml:space="preserve">848 Main Road, Coimbatore</t>
  </si>
  <si>
    <t xml:space="preserve">9265389418</t>
  </si>
  <si>
    <t xml:space="preserve">8906931613</t>
  </si>
  <si>
    <t xml:space="preserve">GOKUL SRI M</t>
  </si>
  <si>
    <t xml:space="preserve">24CY1426</t>
  </si>
  <si>
    <t xml:space="preserve">306 Main Road, Coimbatore</t>
  </si>
  <si>
    <t xml:space="preserve">9903968911</t>
  </si>
  <si>
    <t xml:space="preserve">8003175903</t>
  </si>
  <si>
    <t xml:space="preserve">HARIHARAN M</t>
  </si>
  <si>
    <t xml:space="preserve">24CY1427</t>
  </si>
  <si>
    <t xml:space="preserve">2006-11-15</t>
  </si>
  <si>
    <t xml:space="preserve">49 Main Road, Coimbatore</t>
  </si>
  <si>
    <t xml:space="preserve">9360314066</t>
  </si>
  <si>
    <t xml:space="preserve">8878844099</t>
  </si>
  <si>
    <t xml:space="preserve">HARIPRIYA M</t>
  </si>
  <si>
    <t xml:space="preserve">24CY1428</t>
  </si>
  <si>
    <t xml:space="preserve">2003-12-29</t>
  </si>
  <si>
    <t xml:space="preserve">9024728529</t>
  </si>
  <si>
    <t xml:space="preserve">8140211264</t>
  </si>
  <si>
    <t xml:space="preserve">HEMANTH M</t>
  </si>
  <si>
    <t xml:space="preserve">24CY1429</t>
  </si>
  <si>
    <t xml:space="preserve">726 Main Road, Coimbatore</t>
  </si>
  <si>
    <t xml:space="preserve">9366644922</t>
  </si>
  <si>
    <t xml:space="preserve">8055009815</t>
  </si>
  <si>
    <t xml:space="preserve">INDHU PRIYAN M</t>
  </si>
  <si>
    <t xml:space="preserve">24CY1430</t>
  </si>
  <si>
    <t xml:space="preserve">2006-01-03</t>
  </si>
  <si>
    <t xml:space="preserve">9806485774</t>
  </si>
  <si>
    <t xml:space="preserve">8645206836</t>
  </si>
  <si>
    <t xml:space="preserve">INIYAA M</t>
  </si>
  <si>
    <t xml:space="preserve">24CY1431</t>
  </si>
  <si>
    <t xml:space="preserve">9391855691</t>
  </si>
  <si>
    <t xml:space="preserve">8931857817</t>
  </si>
  <si>
    <t xml:space="preserve">JEYA BHARATHI M</t>
  </si>
  <si>
    <t xml:space="preserve">24CY1432</t>
  </si>
  <si>
    <t xml:space="preserve">2002-04-22</t>
  </si>
  <si>
    <t xml:space="preserve">171 Main Road, Coimbatore</t>
  </si>
  <si>
    <t xml:space="preserve">9635258669</t>
  </si>
  <si>
    <t xml:space="preserve">8183470858</t>
  </si>
  <si>
    <t xml:space="preserve">JEYARAMAN M</t>
  </si>
  <si>
    <t xml:space="preserve">24CY1433</t>
  </si>
  <si>
    <t xml:space="preserve">702 Main Road, Coimbatore</t>
  </si>
  <si>
    <t xml:space="preserve">9881787854</t>
  </si>
  <si>
    <t xml:space="preserve">8655304369</t>
  </si>
  <si>
    <t xml:space="preserve">KARTHIK M</t>
  </si>
  <si>
    <t xml:space="preserve">24CY1434</t>
  </si>
  <si>
    <t xml:space="preserve">2005-03-09</t>
  </si>
  <si>
    <t xml:space="preserve">958 Main Road, Coimbatore</t>
  </si>
  <si>
    <t xml:space="preserve">9572935398</t>
  </si>
  <si>
    <t xml:space="preserve">8860598098</t>
  </si>
  <si>
    <t xml:space="preserve">KAVIN RAJAN M</t>
  </si>
  <si>
    <t xml:space="preserve">24CY1435</t>
  </si>
  <si>
    <t xml:space="preserve">2006-08-23</t>
  </si>
  <si>
    <t xml:space="preserve">9869300502</t>
  </si>
  <si>
    <t xml:space="preserve">8609620657</t>
  </si>
  <si>
    <t xml:space="preserve">KISHORE M</t>
  </si>
  <si>
    <t xml:space="preserve">24CY1436</t>
  </si>
  <si>
    <t xml:space="preserve">2006-03-07</t>
  </si>
  <si>
    <t xml:space="preserve">620 Main Road, Coimbatore</t>
  </si>
  <si>
    <t xml:space="preserve">9106088108</t>
  </si>
  <si>
    <t xml:space="preserve">8673891885</t>
  </si>
  <si>
    <t xml:space="preserve">LALITHKUMAR M</t>
  </si>
  <si>
    <t xml:space="preserve">24CY1437</t>
  </si>
  <si>
    <t xml:space="preserve">9470946286</t>
  </si>
  <si>
    <t xml:space="preserve">8498304218</t>
  </si>
  <si>
    <t xml:space="preserve">MALINI M M</t>
  </si>
  <si>
    <t xml:space="preserve">24CY1438</t>
  </si>
  <si>
    <t xml:space="preserve">2006-09-06</t>
  </si>
  <si>
    <t xml:space="preserve">9096970762</t>
  </si>
  <si>
    <t xml:space="preserve">8427499057</t>
  </si>
  <si>
    <t xml:space="preserve">MANOJKUMAR M</t>
  </si>
  <si>
    <t xml:space="preserve">24CY1439</t>
  </si>
  <si>
    <t xml:space="preserve">934 Main Road, Coimbatore</t>
  </si>
  <si>
    <t xml:space="preserve">9705544166</t>
  </si>
  <si>
    <t xml:space="preserve">8137992619</t>
  </si>
  <si>
    <t xml:space="preserve">MITHUN M</t>
  </si>
  <si>
    <t xml:space="preserve">24CY1440</t>
  </si>
  <si>
    <t xml:space="preserve">2004-08-24</t>
  </si>
  <si>
    <t xml:space="preserve">9680706098</t>
  </si>
  <si>
    <t xml:space="preserve">8653200066</t>
  </si>
  <si>
    <t xml:space="preserve">MOHAMED ATHIL M</t>
  </si>
  <si>
    <t xml:space="preserve">24CY1441</t>
  </si>
  <si>
    <t xml:space="preserve">2005-05-31</t>
  </si>
  <si>
    <t xml:space="preserve">960 Main Road, Coimbatore</t>
  </si>
  <si>
    <t xml:space="preserve">9010968232</t>
  </si>
  <si>
    <t xml:space="preserve">8323771009</t>
  </si>
  <si>
    <t xml:space="preserve">MOHAMED SHAFEEK M</t>
  </si>
  <si>
    <t xml:space="preserve">24CY1442</t>
  </si>
  <si>
    <t xml:space="preserve">2004-04-05</t>
  </si>
  <si>
    <t xml:space="preserve">97 Main Road, Coimbatore</t>
  </si>
  <si>
    <t xml:space="preserve">9483930393</t>
  </si>
  <si>
    <t xml:space="preserve">8035078426</t>
  </si>
  <si>
    <t xml:space="preserve">MOHAN KUMAR M</t>
  </si>
  <si>
    <t xml:space="preserve">24CY1443</t>
  </si>
  <si>
    <t xml:space="preserve">2003-06-04</t>
  </si>
  <si>
    <t xml:space="preserve">705 Main Road, Coimbatore</t>
  </si>
  <si>
    <t xml:space="preserve">9247646005</t>
  </si>
  <si>
    <t xml:space="preserve">8143373180</t>
  </si>
  <si>
    <t xml:space="preserve">MONISHWARAN M</t>
  </si>
  <si>
    <t xml:space="preserve">24CY1444</t>
  </si>
  <si>
    <t xml:space="preserve">68 Main Road, Coimbatore</t>
  </si>
  <si>
    <t xml:space="preserve">9081008910</t>
  </si>
  <si>
    <t xml:space="preserve">8737917431</t>
  </si>
  <si>
    <t xml:space="preserve">MukilaN M</t>
  </si>
  <si>
    <t xml:space="preserve">24CY1445</t>
  </si>
  <si>
    <t xml:space="preserve">2003-01-15</t>
  </si>
  <si>
    <t xml:space="preserve">9272850696</t>
  </si>
  <si>
    <t xml:space="preserve">8846885676</t>
  </si>
  <si>
    <t xml:space="preserve">NEELIMA M</t>
  </si>
  <si>
    <t xml:space="preserve">24CY1446</t>
  </si>
  <si>
    <t xml:space="preserve">2005-02-26</t>
  </si>
  <si>
    <t xml:space="preserve">382 Main Road, Coimbatore</t>
  </si>
  <si>
    <t xml:space="preserve">9721810413</t>
  </si>
  <si>
    <t xml:space="preserve">8874116181</t>
  </si>
  <si>
    <t xml:space="preserve">NISHANTH M</t>
  </si>
  <si>
    <t xml:space="preserve">24CY1447</t>
  </si>
  <si>
    <t xml:space="preserve">2003-01-25</t>
  </si>
  <si>
    <t xml:space="preserve">666 Main Road, Coimbatore</t>
  </si>
  <si>
    <t xml:space="preserve">9606716102</t>
  </si>
  <si>
    <t xml:space="preserve">8954683576</t>
  </si>
  <si>
    <t xml:space="preserve">PADMANABAN M</t>
  </si>
  <si>
    <t xml:space="preserve">24CY1448</t>
  </si>
  <si>
    <t xml:space="preserve">2003-02-01</t>
  </si>
  <si>
    <t xml:space="preserve">622 Main Road, Coimbatore</t>
  </si>
  <si>
    <t xml:space="preserve">9547788064</t>
  </si>
  <si>
    <t xml:space="preserve">8987776515</t>
  </si>
  <si>
    <t xml:space="preserve">POOJA M</t>
  </si>
  <si>
    <t xml:space="preserve">24CY1449</t>
  </si>
  <si>
    <t xml:space="preserve">2005-05-30</t>
  </si>
  <si>
    <t xml:space="preserve">218 Main Road, Coimbatore</t>
  </si>
  <si>
    <t xml:space="preserve">9591424361</t>
  </si>
  <si>
    <t xml:space="preserve">8762489924</t>
  </si>
  <si>
    <t xml:space="preserve">POORNIMA M</t>
  </si>
  <si>
    <t xml:space="preserve">24CY1450</t>
  </si>
  <si>
    <t xml:space="preserve">2004-08-12</t>
  </si>
  <si>
    <t xml:space="preserve">435 Main Road, Coimbatore</t>
  </si>
  <si>
    <t xml:space="preserve">9746895061</t>
  </si>
  <si>
    <t xml:space="preserve">8570968884</t>
  </si>
  <si>
    <t xml:space="preserve">PRATHEKAA M</t>
  </si>
  <si>
    <t xml:space="preserve">24CY1451</t>
  </si>
  <si>
    <t xml:space="preserve">997 Main Road, Coimbatore</t>
  </si>
  <si>
    <t xml:space="preserve">9708577018</t>
  </si>
  <si>
    <t xml:space="preserve">8974585101</t>
  </si>
  <si>
    <t xml:space="preserve">RAJKUMAR M</t>
  </si>
  <si>
    <t xml:space="preserve">24CY1452</t>
  </si>
  <si>
    <t xml:space="preserve">9640995191</t>
  </si>
  <si>
    <t xml:space="preserve">8656247421</t>
  </si>
  <si>
    <t xml:space="preserve">RAMYA M</t>
  </si>
  <si>
    <t xml:space="preserve">24CY1453</t>
  </si>
  <si>
    <t xml:space="preserve">2005-05-08</t>
  </si>
  <si>
    <t xml:space="preserve">9873759304</t>
  </si>
  <si>
    <t xml:space="preserve">8260620269</t>
  </si>
  <si>
    <t xml:space="preserve">RANJITH M</t>
  </si>
  <si>
    <t xml:space="preserve">24CY1454</t>
  </si>
  <si>
    <t xml:space="preserve">2005-10-06</t>
  </si>
  <si>
    <t xml:space="preserve">506 Main Road, Coimbatore</t>
  </si>
  <si>
    <t xml:space="preserve">9366910651</t>
  </si>
  <si>
    <t xml:space="preserve">8561476330</t>
  </si>
  <si>
    <t xml:space="preserve">RITIK M</t>
  </si>
  <si>
    <t xml:space="preserve">24CY1455</t>
  </si>
  <si>
    <t xml:space="preserve">2003-07-14</t>
  </si>
  <si>
    <t xml:space="preserve">474 Main Road, Coimbatore</t>
  </si>
  <si>
    <t xml:space="preserve">9982762735</t>
  </si>
  <si>
    <t xml:space="preserve">8074275793</t>
  </si>
  <si>
    <t xml:space="preserve">ROHITH M</t>
  </si>
  <si>
    <t xml:space="preserve">24CY1456</t>
  </si>
  <si>
    <t xml:space="preserve">2002-09-24</t>
  </si>
  <si>
    <t xml:space="preserve">9699875938</t>
  </si>
  <si>
    <t xml:space="preserve">8101260600</t>
  </si>
  <si>
    <t xml:space="preserve">SANDHIYA M</t>
  </si>
  <si>
    <t xml:space="preserve">24CY1457</t>
  </si>
  <si>
    <t xml:space="preserve">2002-12-14</t>
  </si>
  <si>
    <t xml:space="preserve">396 Main Road, Coimbatore</t>
  </si>
  <si>
    <t xml:space="preserve">9287988019</t>
  </si>
  <si>
    <t xml:space="preserve">8963885987</t>
  </si>
  <si>
    <t xml:space="preserve">SANGAVI M</t>
  </si>
  <si>
    <t xml:space="preserve">24CY1458</t>
  </si>
  <si>
    <t xml:space="preserve">2003-08-22</t>
  </si>
  <si>
    <t xml:space="preserve">47 Main Road, Coimbatore</t>
  </si>
  <si>
    <t xml:space="preserve">9433830305</t>
  </si>
  <si>
    <t xml:space="preserve">8612491788</t>
  </si>
  <si>
    <t xml:space="preserve">SANJEEVI KUMAR M</t>
  </si>
  <si>
    <t xml:space="preserve">24CY1459</t>
  </si>
  <si>
    <t xml:space="preserve">2005-10-02</t>
  </si>
  <si>
    <t xml:space="preserve">234 Main Road, Coimbatore</t>
  </si>
  <si>
    <t xml:space="preserve">9452434832</t>
  </si>
  <si>
    <t xml:space="preserve">8952576071</t>
  </si>
  <si>
    <t xml:space="preserve">SARAVANA KRISHNAN M</t>
  </si>
  <si>
    <t xml:space="preserve">24CY1460</t>
  </si>
  <si>
    <t xml:space="preserve">2003-01-14</t>
  </si>
  <si>
    <t xml:space="preserve">765 Main Road, Coimbatore</t>
  </si>
  <si>
    <t xml:space="preserve">9079817793</t>
  </si>
  <si>
    <t xml:space="preserve">8231674629</t>
  </si>
  <si>
    <t xml:space="preserve">SARUMATHI M</t>
  </si>
  <si>
    <t xml:space="preserve">24CY1461</t>
  </si>
  <si>
    <t xml:space="preserve">2006-06-13</t>
  </si>
  <si>
    <t xml:space="preserve">293 Main Road, Coimbatore</t>
  </si>
  <si>
    <t xml:space="preserve">9644469381</t>
  </si>
  <si>
    <t xml:space="preserve">8039459316</t>
  </si>
  <si>
    <t xml:space="preserve">SASIGANTH M</t>
  </si>
  <si>
    <t xml:space="preserve">24CY1462</t>
  </si>
  <si>
    <t xml:space="preserve">2002-08-08</t>
  </si>
  <si>
    <t xml:space="preserve">671 Main Road, Coimbatore</t>
  </si>
  <si>
    <t xml:space="preserve">9272311778</t>
  </si>
  <si>
    <t xml:space="preserve">8303972236</t>
  </si>
  <si>
    <t xml:space="preserve">SASIKUMAR M</t>
  </si>
  <si>
    <t xml:space="preserve">24CY1463</t>
  </si>
  <si>
    <t xml:space="preserve">9932058374</t>
  </si>
  <si>
    <t xml:space="preserve">8467350459</t>
  </si>
  <si>
    <t xml:space="preserve">SIVARAJ M</t>
  </si>
  <si>
    <t xml:space="preserve">24CY1464</t>
  </si>
  <si>
    <t xml:space="preserve">2003-03-06</t>
  </si>
  <si>
    <t xml:space="preserve">377 Main Road, Coimbatore</t>
  </si>
  <si>
    <t xml:space="preserve">9240345605</t>
  </si>
  <si>
    <t xml:space="preserve">8536670793</t>
  </si>
  <si>
    <t xml:space="preserve">SRI AATHIPRIYAN M</t>
  </si>
  <si>
    <t xml:space="preserve">24CY1465</t>
  </si>
  <si>
    <t xml:space="preserve">160 Main Road, Coimbatore</t>
  </si>
  <si>
    <t xml:space="preserve">9903854679</t>
  </si>
  <si>
    <t xml:space="preserve">8646742739</t>
  </si>
  <si>
    <t xml:space="preserve">SRI THAMIZHKUMARAN M</t>
  </si>
  <si>
    <t xml:space="preserve">24CY1466</t>
  </si>
  <si>
    <t xml:space="preserve">2006-11-27</t>
  </si>
  <si>
    <t xml:space="preserve">650 Main Road, Coimbatore</t>
  </si>
  <si>
    <t xml:space="preserve">9922630296</t>
  </si>
  <si>
    <t xml:space="preserve">8307291338</t>
  </si>
  <si>
    <t xml:space="preserve">SURENDAR M</t>
  </si>
  <si>
    <t xml:space="preserve">24CY1467</t>
  </si>
  <si>
    <t xml:space="preserve">9220405879</t>
  </si>
  <si>
    <t xml:space="preserve">8016760309</t>
  </si>
  <si>
    <t xml:space="preserve">SWETHA M</t>
  </si>
  <si>
    <t xml:space="preserve">24CY1468</t>
  </si>
  <si>
    <t xml:space="preserve">803 Main Road, Coimbatore</t>
  </si>
  <si>
    <t xml:space="preserve">9724771558</t>
  </si>
  <si>
    <t xml:space="preserve">8071387729</t>
  </si>
  <si>
    <t xml:space="preserve">VARUN M</t>
  </si>
  <si>
    <t xml:space="preserve">24CY1469</t>
  </si>
  <si>
    <t xml:space="preserve">2003-06-25</t>
  </si>
  <si>
    <t xml:space="preserve">615 Main Road, Coimbatore</t>
  </si>
  <si>
    <t xml:space="preserve">9149714118</t>
  </si>
  <si>
    <t xml:space="preserve">8051824008</t>
  </si>
  <si>
    <t xml:space="preserve">YASWANTH M</t>
  </si>
  <si>
    <t xml:space="preserve">24CY1470</t>
  </si>
  <si>
    <t xml:space="preserve">869 Main Road, Coimbatore</t>
  </si>
  <si>
    <t xml:space="preserve">9847154237</t>
  </si>
  <si>
    <t xml:space="preserve">8745288132</t>
  </si>
  <si>
    <t xml:space="preserve">RAKSHIKA M A</t>
  </si>
  <si>
    <t xml:space="preserve">24CY1471</t>
  </si>
  <si>
    <t xml:space="preserve">2005-08-25</t>
  </si>
  <si>
    <t xml:space="preserve">532 Main Road, Coimbatore</t>
  </si>
  <si>
    <t xml:space="preserve">9312804516</t>
  </si>
  <si>
    <t xml:space="preserve">8875261970</t>
  </si>
  <si>
    <t xml:space="preserve">MOHAMMED ASIF M H</t>
  </si>
  <si>
    <t xml:space="preserve">24CY1472</t>
  </si>
  <si>
    <t xml:space="preserve">708 Main Road, Coimbatore</t>
  </si>
  <si>
    <t xml:space="preserve">9304035262</t>
  </si>
  <si>
    <t xml:space="preserve">8627848097</t>
  </si>
  <si>
    <t xml:space="preserve">MOHAMMED AAQIL M I</t>
  </si>
  <si>
    <t xml:space="preserve">24CY1473</t>
  </si>
  <si>
    <t xml:space="preserve">2004-01-19</t>
  </si>
  <si>
    <t xml:space="preserve">568 Main Road, Coimbatore</t>
  </si>
  <si>
    <t xml:space="preserve">9836685386</t>
  </si>
  <si>
    <t xml:space="preserve">8776153084</t>
  </si>
  <si>
    <t xml:space="preserve">RITHANISH M J</t>
  </si>
  <si>
    <t xml:space="preserve">24CY1474</t>
  </si>
  <si>
    <t xml:space="preserve">213 Main Road, Coimbatore</t>
  </si>
  <si>
    <t xml:space="preserve">9431129354</t>
  </si>
  <si>
    <t xml:space="preserve">8813684281</t>
  </si>
  <si>
    <t xml:space="preserve">KEERTHANA JEYASHREE M K</t>
  </si>
  <si>
    <t xml:space="preserve">24CY1475</t>
  </si>
  <si>
    <t xml:space="preserve">2005-06-28</t>
  </si>
  <si>
    <t xml:space="preserve">893 Main Road, Coimbatore</t>
  </si>
  <si>
    <t xml:space="preserve">9336132853</t>
  </si>
  <si>
    <t xml:space="preserve">8780686019</t>
  </si>
  <si>
    <t xml:space="preserve">VARSHINI M N</t>
  </si>
  <si>
    <t xml:space="preserve">24CY1476</t>
  </si>
  <si>
    <t xml:space="preserve">2004-02-12</t>
  </si>
  <si>
    <t xml:space="preserve">214 Main Road, Coimbatore</t>
  </si>
  <si>
    <t xml:space="preserve">9463537025</t>
  </si>
  <si>
    <t xml:space="preserve">8716696307</t>
  </si>
  <si>
    <t xml:space="preserve">VISWESWARAN M N</t>
  </si>
  <si>
    <t xml:space="preserve">24CY1477</t>
  </si>
  <si>
    <t xml:space="preserve">2006-04-05</t>
  </si>
  <si>
    <t xml:space="preserve">334 Main Road, Coimbatore</t>
  </si>
  <si>
    <t xml:space="preserve">9424090311</t>
  </si>
  <si>
    <t xml:space="preserve">8263864522</t>
  </si>
  <si>
    <t xml:space="preserve">KEERTHANA M R</t>
  </si>
  <si>
    <t xml:space="preserve">24CY1478</t>
  </si>
  <si>
    <t xml:space="preserve">2004-01-09</t>
  </si>
  <si>
    <t xml:space="preserve">748 Main Road, Coimbatore</t>
  </si>
  <si>
    <t xml:space="preserve">9368631347</t>
  </si>
  <si>
    <t xml:space="preserve">8098384003</t>
  </si>
  <si>
    <t xml:space="preserve">DEEPAVARSHAN M S</t>
  </si>
  <si>
    <t xml:space="preserve">24CY1479</t>
  </si>
  <si>
    <t xml:space="preserve">2006-08-06</t>
  </si>
  <si>
    <t xml:space="preserve">9047529912</t>
  </si>
  <si>
    <t xml:space="preserve">8390399273</t>
  </si>
  <si>
    <t xml:space="preserve">VASANTHANARAYANAN M S</t>
  </si>
  <si>
    <t xml:space="preserve">24CY1480</t>
  </si>
  <si>
    <t xml:space="preserve">2002-05-13</t>
  </si>
  <si>
    <t xml:space="preserve">612 Main Road, Coimbatore</t>
  </si>
  <si>
    <t xml:space="preserve">9243066793</t>
  </si>
  <si>
    <t xml:space="preserve">8784954203</t>
  </si>
  <si>
    <t xml:space="preserve">LAKSHANIKA M S B</t>
  </si>
  <si>
    <t xml:space="preserve">24CY1481</t>
  </si>
  <si>
    <t xml:space="preserve">2006-08-26</t>
  </si>
  <si>
    <t xml:space="preserve">733 Main Road, Coimbatore</t>
  </si>
  <si>
    <t xml:space="preserve">9024002235</t>
  </si>
  <si>
    <t xml:space="preserve">8850565464</t>
  </si>
  <si>
    <t xml:space="preserve">DARUNIGA M V</t>
  </si>
  <si>
    <t xml:space="preserve">24CY1482</t>
  </si>
  <si>
    <t xml:space="preserve">2002-05-15</t>
  </si>
  <si>
    <t xml:space="preserve">940 Main Road, Coimbatore</t>
  </si>
  <si>
    <t xml:space="preserve">9352392475</t>
  </si>
  <si>
    <t xml:space="preserve">8076536388</t>
  </si>
  <si>
    <t xml:space="preserve">JEYSURIYA M.P</t>
  </si>
  <si>
    <t xml:space="preserve">24CY1483</t>
  </si>
  <si>
    <t xml:space="preserve">2002-01-15</t>
  </si>
  <si>
    <t xml:space="preserve">358 Main Road, Coimbatore</t>
  </si>
  <si>
    <t xml:space="preserve">9828511333</t>
  </si>
  <si>
    <t xml:space="preserve">8247621613</t>
  </si>
  <si>
    <t xml:space="preserve">Kabhilesh MK</t>
  </si>
  <si>
    <t xml:space="preserve">24CY1484</t>
  </si>
  <si>
    <t xml:space="preserve">2005-04-15</t>
  </si>
  <si>
    <t xml:space="preserve">9945693514</t>
  </si>
  <si>
    <t xml:space="preserve">8767234211</t>
  </si>
  <si>
    <t xml:space="preserve">AKILESHWARAN N</t>
  </si>
  <si>
    <t xml:space="preserve">24CY1485</t>
  </si>
  <si>
    <t xml:space="preserve">9067692061</t>
  </si>
  <si>
    <t xml:space="preserve">8988741537</t>
  </si>
  <si>
    <t xml:space="preserve">BALA NAGA JOTHI N</t>
  </si>
  <si>
    <t xml:space="preserve">24CY1486</t>
  </si>
  <si>
    <t xml:space="preserve">2003-05-09</t>
  </si>
  <si>
    <t xml:space="preserve">9536893966</t>
  </si>
  <si>
    <t xml:space="preserve">8362057561</t>
  </si>
  <si>
    <t xml:space="preserve">DEEPAN CHAKRAVARTHY N</t>
  </si>
  <si>
    <t xml:space="preserve">24CY1487</t>
  </si>
  <si>
    <t xml:space="preserve">2005-11-22</t>
  </si>
  <si>
    <t xml:space="preserve">31 Main Road, Coimbatore</t>
  </si>
  <si>
    <t xml:space="preserve">9807037718</t>
  </si>
  <si>
    <t xml:space="preserve">8447694039</t>
  </si>
  <si>
    <t xml:space="preserve">DEVA DHARSHINI N</t>
  </si>
  <si>
    <t xml:space="preserve">24CY1488</t>
  </si>
  <si>
    <t xml:space="preserve">2003-12-19</t>
  </si>
  <si>
    <t xml:space="preserve">90 Main Road, Coimbatore</t>
  </si>
  <si>
    <t xml:space="preserve">9516881594</t>
  </si>
  <si>
    <t xml:space="preserve">8966704676</t>
  </si>
  <si>
    <t xml:space="preserve">DHANUSHREE N</t>
  </si>
  <si>
    <t xml:space="preserve">24CY1489</t>
  </si>
  <si>
    <t xml:space="preserve">2004-05-10</t>
  </si>
  <si>
    <t xml:space="preserve">62 Main Road, Coimbatore</t>
  </si>
  <si>
    <t xml:space="preserve">9198834536</t>
  </si>
  <si>
    <t xml:space="preserve">8840186811</t>
  </si>
  <si>
    <t xml:space="preserve">HARISH N</t>
  </si>
  <si>
    <t xml:space="preserve">24CY1490</t>
  </si>
  <si>
    <t xml:space="preserve">2003-10-31</t>
  </si>
  <si>
    <t xml:space="preserve">695 Main Road, Coimbatore</t>
  </si>
  <si>
    <t xml:space="preserve">9488092458</t>
  </si>
  <si>
    <t xml:space="preserve">8758280774</t>
  </si>
  <si>
    <t xml:space="preserve">HEMAMALINI N</t>
  </si>
  <si>
    <t xml:space="preserve">24CY1491</t>
  </si>
  <si>
    <t xml:space="preserve">462 Main Road, Coimbatore</t>
  </si>
  <si>
    <t xml:space="preserve">9161894369</t>
  </si>
  <si>
    <t xml:space="preserve">8065862796</t>
  </si>
  <si>
    <t xml:space="preserve">MOHAMED YASEEN N</t>
  </si>
  <si>
    <t xml:space="preserve">24CY1492</t>
  </si>
  <si>
    <t xml:space="preserve">9841575105</t>
  </si>
  <si>
    <t xml:space="preserve">8542825563</t>
  </si>
  <si>
    <t xml:space="preserve">NITHISH N</t>
  </si>
  <si>
    <t xml:space="preserve">24CY1493</t>
  </si>
  <si>
    <t xml:space="preserve">2005-08-23</t>
  </si>
  <si>
    <t xml:space="preserve">96 Main Road, Coimbatore</t>
  </si>
  <si>
    <t xml:space="preserve">9825358074</t>
  </si>
  <si>
    <t xml:space="preserve">8972396001</t>
  </si>
  <si>
    <t xml:space="preserve">RAVEENTHAR N</t>
  </si>
  <si>
    <t xml:space="preserve">24CY1494</t>
  </si>
  <si>
    <t xml:space="preserve">2004-01-04</t>
  </si>
  <si>
    <t xml:space="preserve">9392772831</t>
  </si>
  <si>
    <t xml:space="preserve">8920158212</t>
  </si>
  <si>
    <t xml:space="preserve">SRI HARI N</t>
  </si>
  <si>
    <t xml:space="preserve">24CY1495</t>
  </si>
  <si>
    <t xml:space="preserve">2005-11-18</t>
  </si>
  <si>
    <t xml:space="preserve">106 Main Road, Coimbatore</t>
  </si>
  <si>
    <t xml:space="preserve">9746507918</t>
  </si>
  <si>
    <t xml:space="preserve">8702781522</t>
  </si>
  <si>
    <t xml:space="preserve">SUBHIKSHA SRI N</t>
  </si>
  <si>
    <t xml:space="preserve">24CY1496</t>
  </si>
  <si>
    <t xml:space="preserve">2005-04-22</t>
  </si>
  <si>
    <t xml:space="preserve">9981553436</t>
  </si>
  <si>
    <t xml:space="preserve">8707698375</t>
  </si>
  <si>
    <t xml:space="preserve">SURYA PRAKASH N</t>
  </si>
  <si>
    <t xml:space="preserve">24CY1497</t>
  </si>
  <si>
    <t xml:space="preserve">2006-05-06</t>
  </si>
  <si>
    <t xml:space="preserve">9623160113</t>
  </si>
  <si>
    <t xml:space="preserve">8413706915</t>
  </si>
  <si>
    <t xml:space="preserve">VIGNESH N</t>
  </si>
  <si>
    <t xml:space="preserve">24CY1498</t>
  </si>
  <si>
    <t xml:space="preserve">2005-09-23</t>
  </si>
  <si>
    <t xml:space="preserve">9720722028</t>
  </si>
  <si>
    <t xml:space="preserve">8359141803</t>
  </si>
  <si>
    <t xml:space="preserve">VIKNESH N</t>
  </si>
  <si>
    <t xml:space="preserve">24CY1499</t>
  </si>
  <si>
    <t xml:space="preserve">2005-06-09</t>
  </si>
  <si>
    <t xml:space="preserve">9267904869</t>
  </si>
  <si>
    <t xml:space="preserve">8164678591</t>
  </si>
  <si>
    <t xml:space="preserve">KAPEESH N B</t>
  </si>
  <si>
    <t xml:space="preserve">24CY1500</t>
  </si>
  <si>
    <t xml:space="preserve">945 Main Road, Coimbatore</t>
  </si>
  <si>
    <t xml:space="preserve">9405070865</t>
  </si>
  <si>
    <t xml:space="preserve">8597454690</t>
  </si>
  <si>
    <t xml:space="preserve">VISHAL RAJ N D</t>
  </si>
  <si>
    <t xml:space="preserve">24CY1501</t>
  </si>
  <si>
    <t xml:space="preserve">2005-01-03</t>
  </si>
  <si>
    <t xml:space="preserve">386 Main Road, Coimbatore</t>
  </si>
  <si>
    <t xml:space="preserve">9606652256</t>
  </si>
  <si>
    <t xml:space="preserve">8177307673</t>
  </si>
  <si>
    <t xml:space="preserve">NITHARSHANA N M</t>
  </si>
  <si>
    <t xml:space="preserve">24CY1502</t>
  </si>
  <si>
    <t xml:space="preserve">2005-08-17</t>
  </si>
  <si>
    <t xml:space="preserve">95 Main Road, Coimbatore</t>
  </si>
  <si>
    <t xml:space="preserve">9658181063</t>
  </si>
  <si>
    <t xml:space="preserve">8527618091</t>
  </si>
  <si>
    <t xml:space="preserve">PRAVEEN N M</t>
  </si>
  <si>
    <t xml:space="preserve">24CY1503</t>
  </si>
  <si>
    <t xml:space="preserve">9286479109</t>
  </si>
  <si>
    <t xml:space="preserve">8521684332</t>
  </si>
  <si>
    <t xml:space="preserve">AJAY N S</t>
  </si>
  <si>
    <t xml:space="preserve">24CY1504</t>
  </si>
  <si>
    <t xml:space="preserve">497 Main Road, Coimbatore</t>
  </si>
  <si>
    <t xml:space="preserve">9846213858</t>
  </si>
  <si>
    <t xml:space="preserve">8546623923</t>
  </si>
  <si>
    <t xml:space="preserve">AATHIPUREESUWARANATHN P</t>
  </si>
  <si>
    <t xml:space="preserve">24CY1505</t>
  </si>
  <si>
    <t xml:space="preserve">2005-03-14</t>
  </si>
  <si>
    <t xml:space="preserve">158 Main Road, Coimbatore</t>
  </si>
  <si>
    <t xml:space="preserve">9879183897</t>
  </si>
  <si>
    <t xml:space="preserve">8612843728</t>
  </si>
  <si>
    <t xml:space="preserve">ABHIRAJ KUMAR P</t>
  </si>
  <si>
    <t xml:space="preserve">24CY1506</t>
  </si>
  <si>
    <t xml:space="preserve">841 Main Road, Coimbatore</t>
  </si>
  <si>
    <t xml:space="preserve">9405064091</t>
  </si>
  <si>
    <t xml:space="preserve">8280216762</t>
  </si>
  <si>
    <t xml:space="preserve">AKHIL P</t>
  </si>
  <si>
    <t xml:space="preserve">24CY1507</t>
  </si>
  <si>
    <t xml:space="preserve">2004-06-28</t>
  </si>
  <si>
    <t xml:space="preserve">949 Main Road, Coimbatore</t>
  </si>
  <si>
    <t xml:space="preserve">9010239980</t>
  </si>
  <si>
    <t xml:space="preserve">8065327437</t>
  </si>
  <si>
    <t xml:space="preserve">ANJALI P</t>
  </si>
  <si>
    <t xml:space="preserve">24CY1508</t>
  </si>
  <si>
    <t xml:space="preserve">2005-03-21</t>
  </si>
  <si>
    <t xml:space="preserve">254 Main Road, Coimbatore</t>
  </si>
  <si>
    <t xml:space="preserve">9821403781</t>
  </si>
  <si>
    <t xml:space="preserve">8703949312</t>
  </si>
  <si>
    <t xml:space="preserve">ARIYA PRAKASH P</t>
  </si>
  <si>
    <t xml:space="preserve">24CY1509</t>
  </si>
  <si>
    <t xml:space="preserve">9645808695</t>
  </si>
  <si>
    <t xml:space="preserve">8970518397</t>
  </si>
  <si>
    <t xml:space="preserve">ARUN PRASATH P</t>
  </si>
  <si>
    <t xml:space="preserve">24CY1510</t>
  </si>
  <si>
    <t xml:space="preserve">2006-05-05</t>
  </si>
  <si>
    <t xml:space="preserve">451 Main Road, Coimbatore</t>
  </si>
  <si>
    <t xml:space="preserve">9897990474</t>
  </si>
  <si>
    <t xml:space="preserve">8485848833</t>
  </si>
  <si>
    <t xml:space="preserve">ASTA SHIRLYN P</t>
  </si>
  <si>
    <t xml:space="preserve">24CY1511</t>
  </si>
  <si>
    <t xml:space="preserve">2004-08-15</t>
  </si>
  <si>
    <t xml:space="preserve">471 Main Road, Coimbatore</t>
  </si>
  <si>
    <t xml:space="preserve">9608565067</t>
  </si>
  <si>
    <t xml:space="preserve">8926008032</t>
  </si>
  <si>
    <t xml:space="preserve">BALASUBRAMANI P</t>
  </si>
  <si>
    <t xml:space="preserve">24CY1512</t>
  </si>
  <si>
    <t xml:space="preserve">2004-06-19</t>
  </si>
  <si>
    <t xml:space="preserve">878 Main Road, Coimbatore</t>
  </si>
  <si>
    <t xml:space="preserve">9306163102</t>
  </si>
  <si>
    <t xml:space="preserve">8485327903</t>
  </si>
  <si>
    <t xml:space="preserve">BARATH P</t>
  </si>
  <si>
    <t xml:space="preserve">24CY1513</t>
  </si>
  <si>
    <t xml:space="preserve">2005-12-01</t>
  </si>
  <si>
    <t xml:space="preserve">251 Main Road, Coimbatore</t>
  </si>
  <si>
    <t xml:space="preserve">9725752188</t>
  </si>
  <si>
    <t xml:space="preserve">8322795146</t>
  </si>
  <si>
    <t xml:space="preserve">BOOMIKA P</t>
  </si>
  <si>
    <t xml:space="preserve">24CY1514</t>
  </si>
  <si>
    <t xml:space="preserve">2005-12-16</t>
  </si>
  <si>
    <t xml:space="preserve">9436124786</t>
  </si>
  <si>
    <t xml:space="preserve">8177106125</t>
  </si>
  <si>
    <t xml:space="preserve">BOWSICKDHARAN P</t>
  </si>
  <si>
    <t xml:space="preserve">24CY1515</t>
  </si>
  <si>
    <t xml:space="preserve">2003-03-08</t>
  </si>
  <si>
    <t xml:space="preserve">9679716743</t>
  </si>
  <si>
    <t xml:space="preserve">8569688100</t>
  </si>
  <si>
    <t xml:space="preserve">BRINDA P</t>
  </si>
  <si>
    <t xml:space="preserve">24CY1516</t>
  </si>
  <si>
    <t xml:space="preserve">2004-03-15</t>
  </si>
  <si>
    <t xml:space="preserve">9147198637</t>
  </si>
  <si>
    <t xml:space="preserve">8031690064</t>
  </si>
  <si>
    <t xml:space="preserve">Deepak P</t>
  </si>
  <si>
    <t xml:space="preserve">24CY1517</t>
  </si>
  <si>
    <t xml:space="preserve">2006-07-10</t>
  </si>
  <si>
    <t xml:space="preserve">677 Main Road, Coimbatore</t>
  </si>
  <si>
    <t xml:space="preserve">9148593620</t>
  </si>
  <si>
    <t xml:space="preserve">8766519046</t>
  </si>
  <si>
    <t xml:space="preserve">JEEVITHA P</t>
  </si>
  <si>
    <t xml:space="preserve">24CY1518</t>
  </si>
  <si>
    <t xml:space="preserve">2005-04-03</t>
  </si>
  <si>
    <t xml:space="preserve">134 Main Road, Coimbatore</t>
  </si>
  <si>
    <t xml:space="preserve">9226434288</t>
  </si>
  <si>
    <t xml:space="preserve">8053950903</t>
  </si>
  <si>
    <t xml:space="preserve">JIVITH PRAVIN P</t>
  </si>
  <si>
    <t xml:space="preserve">24CY1519</t>
  </si>
  <si>
    <t xml:space="preserve">2002-09-04</t>
  </si>
  <si>
    <t xml:space="preserve">9820546600</t>
  </si>
  <si>
    <t xml:space="preserve">8064975070</t>
  </si>
  <si>
    <t xml:space="preserve">KABILESH P</t>
  </si>
  <si>
    <t xml:space="preserve">24CY1520</t>
  </si>
  <si>
    <t xml:space="preserve">2006-04-07</t>
  </si>
  <si>
    <t xml:space="preserve">389 Main Road, Coimbatore</t>
  </si>
  <si>
    <t xml:space="preserve">9125100744</t>
  </si>
  <si>
    <t xml:space="preserve">8224948271</t>
  </si>
  <si>
    <t xml:space="preserve">KANNIKA DEVI P</t>
  </si>
  <si>
    <t xml:space="preserve">24CY1521</t>
  </si>
  <si>
    <t xml:space="preserve">2002-11-09</t>
  </si>
  <si>
    <t xml:space="preserve">9684169440</t>
  </si>
  <si>
    <t xml:space="preserve">8027464209</t>
  </si>
  <si>
    <t xml:space="preserve">KAVIN P</t>
  </si>
  <si>
    <t xml:space="preserve">24CY1522</t>
  </si>
  <si>
    <t xml:space="preserve">2006-11-05</t>
  </si>
  <si>
    <t xml:space="preserve">9080269761</t>
  </si>
  <si>
    <t xml:space="preserve">8789496898</t>
  </si>
  <si>
    <t xml:space="preserve">KEERTHIESWARI P</t>
  </si>
  <si>
    <t xml:space="preserve">24CY1523</t>
  </si>
  <si>
    <t xml:space="preserve">2004-09-18</t>
  </si>
  <si>
    <t xml:space="preserve">567 Main Road, Coimbatore</t>
  </si>
  <si>
    <t xml:space="preserve">9859572223</t>
  </si>
  <si>
    <t xml:space="preserve">8159478410</t>
  </si>
  <si>
    <t xml:space="preserve">KELVIN JOE P</t>
  </si>
  <si>
    <t xml:space="preserve">24CY1524</t>
  </si>
  <si>
    <t xml:space="preserve">2006-08-25</t>
  </si>
  <si>
    <t xml:space="preserve">9449815556</t>
  </si>
  <si>
    <t xml:space="preserve">8689121964</t>
  </si>
  <si>
    <t xml:space="preserve">KISORE P</t>
  </si>
  <si>
    <t xml:space="preserve">24CY1525</t>
  </si>
  <si>
    <t xml:space="preserve">2003-05-06</t>
  </si>
  <si>
    <t xml:space="preserve">9208227245</t>
  </si>
  <si>
    <t xml:space="preserve">8341259303</t>
  </si>
  <si>
    <t xml:space="preserve">LATHIKA P</t>
  </si>
  <si>
    <t xml:space="preserve">24CY1526</t>
  </si>
  <si>
    <t xml:space="preserve">9670972033</t>
  </si>
  <si>
    <t xml:space="preserve">8577165677</t>
  </si>
  <si>
    <t xml:space="preserve">MADHU MITHRA P</t>
  </si>
  <si>
    <t xml:space="preserve">24CY1527</t>
  </si>
  <si>
    <t xml:space="preserve">25 Main Road, Coimbatore</t>
  </si>
  <si>
    <t xml:space="preserve">9080549146</t>
  </si>
  <si>
    <t xml:space="preserve">8163708365</t>
  </si>
  <si>
    <t xml:space="preserve">MADHUSUTHANAN P</t>
  </si>
  <si>
    <t xml:space="preserve">24CY1528</t>
  </si>
  <si>
    <t xml:space="preserve">2002-06-25</t>
  </si>
  <si>
    <t xml:space="preserve">401 Main Road, Coimbatore</t>
  </si>
  <si>
    <t xml:space="preserve">9194214695</t>
  </si>
  <si>
    <t xml:space="preserve">8422388769</t>
  </si>
  <si>
    <t xml:space="preserve">MANASA P</t>
  </si>
  <si>
    <t xml:space="preserve">24CY1529</t>
  </si>
  <si>
    <t xml:space="preserve">2002-01-24</t>
  </si>
  <si>
    <t xml:space="preserve">876 Main Road, Coimbatore</t>
  </si>
  <si>
    <t xml:space="preserve">9605741585</t>
  </si>
  <si>
    <t xml:space="preserve">8209841573</t>
  </si>
  <si>
    <t xml:space="preserve">MOHAMED YASIN P</t>
  </si>
  <si>
    <t xml:space="preserve">24CY1530</t>
  </si>
  <si>
    <t xml:space="preserve">9194223352</t>
  </si>
  <si>
    <t xml:space="preserve">8388831884</t>
  </si>
  <si>
    <t xml:space="preserve">MONISH P</t>
  </si>
  <si>
    <t xml:space="preserve">24CY1531</t>
  </si>
  <si>
    <t xml:space="preserve">584 Main Road, Coimbatore</t>
  </si>
  <si>
    <t xml:space="preserve">9365434068</t>
  </si>
  <si>
    <t xml:space="preserve">8687800628</t>
  </si>
  <si>
    <t xml:space="preserve">MUGILAN P</t>
  </si>
  <si>
    <t xml:space="preserve">24CY1532</t>
  </si>
  <si>
    <t xml:space="preserve">410 Main Road, Coimbatore</t>
  </si>
  <si>
    <t xml:space="preserve">9811161725</t>
  </si>
  <si>
    <t xml:space="preserve">8689605272</t>
  </si>
  <si>
    <t xml:space="preserve">NAVANEETH P</t>
  </si>
  <si>
    <t xml:space="preserve">24CY1533</t>
  </si>
  <si>
    <t xml:space="preserve">2002-02-20</t>
  </si>
  <si>
    <t xml:space="preserve">9459351195</t>
  </si>
  <si>
    <t xml:space="preserve">8603238191</t>
  </si>
  <si>
    <t xml:space="preserve">PARAMESH P</t>
  </si>
  <si>
    <t xml:space="preserve">24CY1534</t>
  </si>
  <si>
    <t xml:space="preserve">2003-06-17</t>
  </si>
  <si>
    <t xml:space="preserve">291 Main Road, Coimbatore</t>
  </si>
  <si>
    <t xml:space="preserve">9538186374</t>
  </si>
  <si>
    <t xml:space="preserve">8445429524</t>
  </si>
  <si>
    <t xml:space="preserve">PARMILA SRI P</t>
  </si>
  <si>
    <t xml:space="preserve">24CY1535</t>
  </si>
  <si>
    <t xml:space="preserve">2006-08-12</t>
  </si>
  <si>
    <t xml:space="preserve">444 Main Road, Coimbatore</t>
  </si>
  <si>
    <t xml:space="preserve">9007614299</t>
  </si>
  <si>
    <t xml:space="preserve">8826885414</t>
  </si>
  <si>
    <t xml:space="preserve">PAVISHA P</t>
  </si>
  <si>
    <t xml:space="preserve">24CY1536</t>
  </si>
  <si>
    <t xml:space="preserve">2006-10-02</t>
  </si>
  <si>
    <t xml:space="preserve">453 Main Road, Coimbatore</t>
  </si>
  <si>
    <t xml:space="preserve">9275405798</t>
  </si>
  <si>
    <t xml:space="preserve">8926332001</t>
  </si>
  <si>
    <t xml:space="preserve">POOJA P</t>
  </si>
  <si>
    <t xml:space="preserve">24CY1537</t>
  </si>
  <si>
    <t xml:space="preserve">2005-01-19</t>
  </si>
  <si>
    <t xml:space="preserve">9571671693</t>
  </si>
  <si>
    <t xml:space="preserve">8986912254</t>
  </si>
  <si>
    <t xml:space="preserve">PRAGADEESHWARAN P</t>
  </si>
  <si>
    <t xml:space="preserve">24CY1538</t>
  </si>
  <si>
    <t xml:space="preserve">2005-10-17</t>
  </si>
  <si>
    <t xml:space="preserve">656 Main Road, Coimbatore</t>
  </si>
  <si>
    <t xml:space="preserve">9291054609</t>
  </si>
  <si>
    <t xml:space="preserve">8189415982</t>
  </si>
  <si>
    <t xml:space="preserve">PRAKASH P</t>
  </si>
  <si>
    <t xml:space="preserve">24CY1539</t>
  </si>
  <si>
    <t xml:space="preserve">2002-11-06</t>
  </si>
  <si>
    <t xml:space="preserve">804 Main Road, Coimbatore</t>
  </si>
  <si>
    <t xml:space="preserve">9824115104</t>
  </si>
  <si>
    <t xml:space="preserve">8595447954</t>
  </si>
  <si>
    <t xml:space="preserve">PRAKASH RAJAN P</t>
  </si>
  <si>
    <t xml:space="preserve">24CY1540</t>
  </si>
  <si>
    <t xml:space="preserve">927 Main Road, Coimbatore</t>
  </si>
  <si>
    <t xml:space="preserve">9261983823</t>
  </si>
  <si>
    <t xml:space="preserve">8645356481</t>
  </si>
  <si>
    <t xml:space="preserve">PRAVEENA P</t>
  </si>
  <si>
    <t xml:space="preserve">24CY1541</t>
  </si>
  <si>
    <t xml:space="preserve">380 Main Road, Coimbatore</t>
  </si>
  <si>
    <t xml:space="preserve">9520747890</t>
  </si>
  <si>
    <t xml:space="preserve">8240522074</t>
  </si>
  <si>
    <t xml:space="preserve">RITHIKA P</t>
  </si>
  <si>
    <t xml:space="preserve">24CY1542</t>
  </si>
  <si>
    <t xml:space="preserve">2003-07-16</t>
  </si>
  <si>
    <t xml:space="preserve">645 Main Road, Coimbatore</t>
  </si>
  <si>
    <t xml:space="preserve">9961968461</t>
  </si>
  <si>
    <t xml:space="preserve">8300749057</t>
  </si>
  <si>
    <t xml:space="preserve">SAI MRITHUL P</t>
  </si>
  <si>
    <t xml:space="preserve">24CY1543</t>
  </si>
  <si>
    <t xml:space="preserve">632 Main Road, Coimbatore</t>
  </si>
  <si>
    <t xml:space="preserve">9637601460</t>
  </si>
  <si>
    <t xml:space="preserve">8815695966</t>
  </si>
  <si>
    <t xml:space="preserve">Sakthimariyappan P</t>
  </si>
  <si>
    <t xml:space="preserve">24CY1544</t>
  </si>
  <si>
    <t xml:space="preserve">9256601264</t>
  </si>
  <si>
    <t xml:space="preserve">8538072007</t>
  </si>
  <si>
    <t xml:space="preserve">SAMYUKTHA P</t>
  </si>
  <si>
    <t xml:space="preserve">24CY1545</t>
  </si>
  <si>
    <t xml:space="preserve">2002-10-13</t>
  </si>
  <si>
    <t xml:space="preserve">296 Main Road, Coimbatore</t>
  </si>
  <si>
    <t xml:space="preserve">9509120877</t>
  </si>
  <si>
    <t xml:space="preserve">8423864894</t>
  </si>
  <si>
    <t xml:space="preserve">SANTHOSH P</t>
  </si>
  <si>
    <t xml:space="preserve">24CY1546</t>
  </si>
  <si>
    <t xml:space="preserve">9394552337</t>
  </si>
  <si>
    <t xml:space="preserve">8551581363</t>
  </si>
  <si>
    <t xml:space="preserve">SHYLAJA P</t>
  </si>
  <si>
    <t xml:space="preserve">24CY1547</t>
  </si>
  <si>
    <t xml:space="preserve">2002-03-26</t>
  </si>
  <si>
    <t xml:space="preserve">519 Main Road, Coimbatore</t>
  </si>
  <si>
    <t xml:space="preserve">9231000721</t>
  </si>
  <si>
    <t xml:space="preserve">8642428089</t>
  </si>
  <si>
    <t xml:space="preserve">SIJU WILSON P</t>
  </si>
  <si>
    <t xml:space="preserve">24CY1548</t>
  </si>
  <si>
    <t xml:space="preserve">2004-03-10</t>
  </si>
  <si>
    <t xml:space="preserve">9754072348</t>
  </si>
  <si>
    <t xml:space="preserve">8459414620</t>
  </si>
  <si>
    <t xml:space="preserve">SOWMIYA P</t>
  </si>
  <si>
    <t xml:space="preserve">24CY1549</t>
  </si>
  <si>
    <t xml:space="preserve">2003-06-21</t>
  </si>
  <si>
    <t xml:space="preserve">847 Main Road, Coimbatore</t>
  </si>
  <si>
    <t xml:space="preserve">9732150059</t>
  </si>
  <si>
    <t xml:space="preserve">8537009990</t>
  </si>
  <si>
    <t xml:space="preserve">SREYA P</t>
  </si>
  <si>
    <t xml:space="preserve">24CY1550</t>
  </si>
  <si>
    <t xml:space="preserve">9632998521</t>
  </si>
  <si>
    <t xml:space="preserve">8323170389</t>
  </si>
  <si>
    <t xml:space="preserve">SRIBALAJI P</t>
  </si>
  <si>
    <t xml:space="preserve">24CY1551</t>
  </si>
  <si>
    <t xml:space="preserve">9062958988</t>
  </si>
  <si>
    <t xml:space="preserve">8921389018</t>
  </si>
  <si>
    <t xml:space="preserve">SUBASRI P</t>
  </si>
  <si>
    <t xml:space="preserve">24CY1552</t>
  </si>
  <si>
    <t xml:space="preserve">2002-11-02</t>
  </si>
  <si>
    <t xml:space="preserve">26 Main Road, Coimbatore</t>
  </si>
  <si>
    <t xml:space="preserve">9281439550</t>
  </si>
  <si>
    <t xml:space="preserve">8594110844</t>
  </si>
  <si>
    <t xml:space="preserve">SUPRIYAN P</t>
  </si>
  <si>
    <t xml:space="preserve">24CY1553</t>
  </si>
  <si>
    <t xml:space="preserve">356 Main Road, Coimbatore</t>
  </si>
  <si>
    <t xml:space="preserve">9281712647</t>
  </si>
  <si>
    <t xml:space="preserve">8060387083</t>
  </si>
  <si>
    <t xml:space="preserve">THARUN P</t>
  </si>
  <si>
    <t xml:space="preserve">24CY1554</t>
  </si>
  <si>
    <t xml:space="preserve">2003-01-06</t>
  </si>
  <si>
    <t xml:space="preserve">337 Main Road, Coimbatore</t>
  </si>
  <si>
    <t xml:space="preserve">9754505126</t>
  </si>
  <si>
    <t xml:space="preserve">8749949899</t>
  </si>
  <si>
    <t xml:space="preserve">THIYAGA RAJAKUMAR P</t>
  </si>
  <si>
    <t xml:space="preserve">24CY1555</t>
  </si>
  <si>
    <t xml:space="preserve">2002-01-16</t>
  </si>
  <si>
    <t xml:space="preserve">930 Main Road, Coimbatore</t>
  </si>
  <si>
    <t xml:space="preserve">9652800524</t>
  </si>
  <si>
    <t xml:space="preserve">8202776210</t>
  </si>
  <si>
    <t xml:space="preserve">VEERAMANIKANDAN P</t>
  </si>
  <si>
    <t xml:space="preserve">24CY1556</t>
  </si>
  <si>
    <t xml:space="preserve">2004-08-03</t>
  </si>
  <si>
    <t xml:space="preserve">741 Main Road, Coimbatore</t>
  </si>
  <si>
    <t xml:space="preserve">9467362453</t>
  </si>
  <si>
    <t xml:space="preserve">8673994723</t>
  </si>
  <si>
    <t xml:space="preserve">VANDHANA P B</t>
  </si>
  <si>
    <t xml:space="preserve">24CY1557</t>
  </si>
  <si>
    <t xml:space="preserve">2003-11-03</t>
  </si>
  <si>
    <t xml:space="preserve">9082163768</t>
  </si>
  <si>
    <t xml:space="preserve">8203311501</t>
  </si>
  <si>
    <t xml:space="preserve">DHARANEESHWARAN P M</t>
  </si>
  <si>
    <t xml:space="preserve">24CY1558</t>
  </si>
  <si>
    <t xml:space="preserve">2004-04-18</t>
  </si>
  <si>
    <t xml:space="preserve">9365660301</t>
  </si>
  <si>
    <t xml:space="preserve">8006360476</t>
  </si>
  <si>
    <t xml:space="preserve">YASHVANTH P M</t>
  </si>
  <si>
    <t xml:space="preserve">24CY1559</t>
  </si>
  <si>
    <t xml:space="preserve">2002-09-23</t>
  </si>
  <si>
    <t xml:space="preserve">999 Main Road, Coimbatore</t>
  </si>
  <si>
    <t xml:space="preserve">9788215304</t>
  </si>
  <si>
    <t xml:space="preserve">8106845953</t>
  </si>
  <si>
    <t xml:space="preserve">KODIESHWARAN P R</t>
  </si>
  <si>
    <t xml:space="preserve">24CY1560</t>
  </si>
  <si>
    <t xml:space="preserve">9403895224</t>
  </si>
  <si>
    <t xml:space="preserve">8498072914</t>
  </si>
  <si>
    <t xml:space="preserve">PRAVESH P S</t>
  </si>
  <si>
    <t xml:space="preserve">24CY1561</t>
  </si>
  <si>
    <t xml:space="preserve">2006-06-01</t>
  </si>
  <si>
    <t xml:space="preserve">9638937156</t>
  </si>
  <si>
    <t xml:space="preserve">8501447708</t>
  </si>
  <si>
    <t xml:space="preserve">G S PRANAV</t>
  </si>
  <si>
    <t xml:space="preserve">24CY1562</t>
  </si>
  <si>
    <t xml:space="preserve">2003-10-04</t>
  </si>
  <si>
    <t xml:space="preserve">901 Main Road, Coimbatore</t>
  </si>
  <si>
    <t xml:space="preserve">9365581100</t>
  </si>
  <si>
    <t xml:space="preserve">8554057949</t>
  </si>
  <si>
    <t xml:space="preserve">ADWAITH R</t>
  </si>
  <si>
    <t xml:space="preserve">24CY1563</t>
  </si>
  <si>
    <t xml:space="preserve">2004-09-21</t>
  </si>
  <si>
    <t xml:space="preserve">383 Main Road, Coimbatore</t>
  </si>
  <si>
    <t xml:space="preserve">9678687658</t>
  </si>
  <si>
    <t xml:space="preserve">8795573705</t>
  </si>
  <si>
    <t xml:space="preserve">AKSATHA R</t>
  </si>
  <si>
    <t xml:space="preserve">24CY1564</t>
  </si>
  <si>
    <t xml:space="preserve">2002-05-01</t>
  </si>
  <si>
    <t xml:space="preserve">989 Main Road, Coimbatore</t>
  </si>
  <si>
    <t xml:space="preserve">9631518136</t>
  </si>
  <si>
    <t xml:space="preserve">8755521437</t>
  </si>
  <si>
    <t xml:space="preserve">AKSHAYA R</t>
  </si>
  <si>
    <t xml:space="preserve">24CY1565</t>
  </si>
  <si>
    <t xml:space="preserve">2002-04-10</t>
  </si>
  <si>
    <t xml:space="preserve">987 Main Road, Coimbatore</t>
  </si>
  <si>
    <t xml:space="preserve">9620363464</t>
  </si>
  <si>
    <t xml:space="preserve">8382577303</t>
  </si>
  <si>
    <t xml:space="preserve">BHAVANA R</t>
  </si>
  <si>
    <t xml:space="preserve">24CY1566</t>
  </si>
  <si>
    <t xml:space="preserve">9232794003</t>
  </si>
  <si>
    <t xml:space="preserve">8998807657</t>
  </si>
  <si>
    <t xml:space="preserve">DAKSHATA R</t>
  </si>
  <si>
    <t xml:space="preserve">24CY1567</t>
  </si>
  <si>
    <t xml:space="preserve">2005-04-30</t>
  </si>
  <si>
    <t xml:space="preserve">865 Main Road, Coimbatore</t>
  </si>
  <si>
    <t xml:space="preserve">9166282358</t>
  </si>
  <si>
    <t xml:space="preserve">8965170525</t>
  </si>
  <si>
    <t xml:space="preserve">DHAKSHITHA R</t>
  </si>
  <si>
    <t xml:space="preserve">24CY1568</t>
  </si>
  <si>
    <t xml:space="preserve">476 Main Road, Coimbatore</t>
  </si>
  <si>
    <t xml:space="preserve">9873299515</t>
  </si>
  <si>
    <t xml:space="preserve">8658658021</t>
  </si>
  <si>
    <t xml:space="preserve">DHARANI R</t>
  </si>
  <si>
    <t xml:space="preserve">24CY1569</t>
  </si>
  <si>
    <t xml:space="preserve">2002-05-03</t>
  </si>
  <si>
    <t xml:space="preserve">378 Main Road, Coimbatore</t>
  </si>
  <si>
    <t xml:space="preserve">9732786726</t>
  </si>
  <si>
    <t xml:space="preserve">8506220997</t>
  </si>
  <si>
    <t xml:space="preserve">DINESH R</t>
  </si>
  <si>
    <t xml:space="preserve">24CY1570</t>
  </si>
  <si>
    <t xml:space="preserve">523 Main Road, Coimbatore</t>
  </si>
  <si>
    <t xml:space="preserve">9119643724</t>
  </si>
  <si>
    <t xml:space="preserve">8029846724</t>
  </si>
  <si>
    <t xml:space="preserve">DIVIT KUMAR R</t>
  </si>
  <si>
    <t xml:space="preserve">24CY1571</t>
  </si>
  <si>
    <t xml:space="preserve">9152370502</t>
  </si>
  <si>
    <t xml:space="preserve">8445475781</t>
  </si>
  <si>
    <t xml:space="preserve">GOBIKA R</t>
  </si>
  <si>
    <t xml:space="preserve">24CY1572</t>
  </si>
  <si>
    <t xml:space="preserve">187 Main Road, Coimbatore</t>
  </si>
  <si>
    <t xml:space="preserve">9380519766</t>
  </si>
  <si>
    <t xml:space="preserve">8516074715</t>
  </si>
  <si>
    <t xml:space="preserve">HARI SHANKAR R</t>
  </si>
  <si>
    <t xml:space="preserve">24CY1573</t>
  </si>
  <si>
    <t xml:space="preserve">43 Main Road, Coimbatore</t>
  </si>
  <si>
    <t xml:space="preserve">9871173012</t>
  </si>
  <si>
    <t xml:space="preserve">8662373530</t>
  </si>
  <si>
    <t xml:space="preserve">HARIHARAN R</t>
  </si>
  <si>
    <t xml:space="preserve">24CY1574</t>
  </si>
  <si>
    <t xml:space="preserve">2002-06-30</t>
  </si>
  <si>
    <t xml:space="preserve">770 Main Road, Coimbatore</t>
  </si>
  <si>
    <t xml:space="preserve">9481601560</t>
  </si>
  <si>
    <t xml:space="preserve">8270205374</t>
  </si>
  <si>
    <t xml:space="preserve">HARINI R</t>
  </si>
  <si>
    <t xml:space="preserve">24CY1575</t>
  </si>
  <si>
    <t xml:space="preserve">2002-11-03</t>
  </si>
  <si>
    <t xml:space="preserve">118 Main Road, Coimbatore</t>
  </si>
  <si>
    <t xml:space="preserve">9599016765</t>
  </si>
  <si>
    <t xml:space="preserve">8954414714</t>
  </si>
  <si>
    <t xml:space="preserve">HARISH R</t>
  </si>
  <si>
    <t xml:space="preserve">24CY1576</t>
  </si>
  <si>
    <t xml:space="preserve">2005-04-24</t>
  </si>
  <si>
    <t xml:space="preserve">9027488285</t>
  </si>
  <si>
    <t xml:space="preserve">8621166829</t>
  </si>
  <si>
    <t xml:space="preserve">ILAMARAN R</t>
  </si>
  <si>
    <t xml:space="preserve">24CY1577</t>
  </si>
  <si>
    <t xml:space="preserve">967 Main Road, Coimbatore</t>
  </si>
  <si>
    <t xml:space="preserve">9545168723</t>
  </si>
  <si>
    <t xml:space="preserve">8058931520</t>
  </si>
  <si>
    <t xml:space="preserve">JAYA VARSHA R</t>
  </si>
  <si>
    <t xml:space="preserve">24CY1578</t>
  </si>
  <si>
    <t xml:space="preserve">2003-10-02</t>
  </si>
  <si>
    <t xml:space="preserve">838 Main Road, Coimbatore</t>
  </si>
  <si>
    <t xml:space="preserve">9596671215</t>
  </si>
  <si>
    <t xml:space="preserve">8468260773</t>
  </si>
  <si>
    <t xml:space="preserve">KABILAN R</t>
  </si>
  <si>
    <t xml:space="preserve">24CY1579</t>
  </si>
  <si>
    <t xml:space="preserve">2004-09-07</t>
  </si>
  <si>
    <t xml:space="preserve">9229393766</t>
  </si>
  <si>
    <t xml:space="preserve">8675079387</t>
  </si>
  <si>
    <t xml:space="preserve">KABINESH R</t>
  </si>
  <si>
    <t xml:space="preserve">24CY1580</t>
  </si>
  <si>
    <t xml:space="preserve">2002-08-07</t>
  </si>
  <si>
    <t xml:space="preserve">9381033215</t>
  </si>
  <si>
    <t xml:space="preserve">8151658798</t>
  </si>
  <si>
    <t xml:space="preserve">KAMALADHARSHINI R</t>
  </si>
  <si>
    <t xml:space="preserve">24CY1581</t>
  </si>
  <si>
    <t xml:space="preserve">2005-09-07</t>
  </si>
  <si>
    <t xml:space="preserve">487 Main Road, Coimbatore</t>
  </si>
  <si>
    <t xml:space="preserve">9399646511</t>
  </si>
  <si>
    <t xml:space="preserve">8895379395</t>
  </si>
  <si>
    <t xml:space="preserve">KARANI R</t>
  </si>
  <si>
    <t xml:space="preserve">24CY1582</t>
  </si>
  <si>
    <t xml:space="preserve">2002-03-15</t>
  </si>
  <si>
    <t xml:space="preserve">762 Main Road, Coimbatore</t>
  </si>
  <si>
    <t xml:space="preserve">9580648140</t>
  </si>
  <si>
    <t xml:space="preserve">8683227856</t>
  </si>
  <si>
    <t xml:space="preserve">KARTHICK RAJA R</t>
  </si>
  <si>
    <t xml:space="preserve">24CY1583</t>
  </si>
  <si>
    <t xml:space="preserve">2006-02-08</t>
  </si>
  <si>
    <t xml:space="preserve">743 Main Road, Coimbatore</t>
  </si>
  <si>
    <t xml:space="preserve">9156455448</t>
  </si>
  <si>
    <t xml:space="preserve">8493653504</t>
  </si>
  <si>
    <t xml:space="preserve">KARTHIGA R</t>
  </si>
  <si>
    <t xml:space="preserve">24CY1584</t>
  </si>
  <si>
    <t xml:space="preserve">2004-03-12</t>
  </si>
  <si>
    <t xml:space="preserve">9635203340</t>
  </si>
  <si>
    <t xml:space="preserve">8792462142</t>
  </si>
  <si>
    <t xml:space="preserve">KAVIYARASAN R</t>
  </si>
  <si>
    <t xml:space="preserve">24CY1585</t>
  </si>
  <si>
    <t xml:space="preserve">9785321282</t>
  </si>
  <si>
    <t xml:space="preserve">8314264202</t>
  </si>
  <si>
    <t xml:space="preserve">LAKSHANA R</t>
  </si>
  <si>
    <t xml:space="preserve">24CY1586</t>
  </si>
  <si>
    <t xml:space="preserve">2002-07-14</t>
  </si>
  <si>
    <t xml:space="preserve">9629456249</t>
  </si>
  <si>
    <t xml:space="preserve">8021564092</t>
  </si>
  <si>
    <t xml:space="preserve">MAHIZHAVARTHINI R</t>
  </si>
  <si>
    <t xml:space="preserve">24CY1587</t>
  </si>
  <si>
    <t xml:space="preserve">9405894175</t>
  </si>
  <si>
    <t xml:space="preserve">8051359613</t>
  </si>
  <si>
    <t xml:space="preserve">MONISH R</t>
  </si>
  <si>
    <t xml:space="preserve">24CY1588</t>
  </si>
  <si>
    <t xml:space="preserve">2004-01-26</t>
  </si>
  <si>
    <t xml:space="preserve">9355020787</t>
  </si>
  <si>
    <t xml:space="preserve">8649133093</t>
  </si>
  <si>
    <t xml:space="preserve">MONISHSUNDAR R</t>
  </si>
  <si>
    <t xml:space="preserve">24CY1589</t>
  </si>
  <si>
    <t xml:space="preserve">2005-02-06</t>
  </si>
  <si>
    <t xml:space="preserve">980 Main Road, Coimbatore</t>
  </si>
  <si>
    <t xml:space="preserve">9547047890</t>
  </si>
  <si>
    <t xml:space="preserve">8448655734</t>
  </si>
  <si>
    <t xml:space="preserve">MUKTHA YUKI R</t>
  </si>
  <si>
    <t xml:space="preserve">24CY1590</t>
  </si>
  <si>
    <t xml:space="preserve">2006-06-12</t>
  </si>
  <si>
    <t xml:space="preserve">3 Main Road, Coimbatore</t>
  </si>
  <si>
    <t xml:space="preserve">9017811280</t>
  </si>
  <si>
    <t xml:space="preserve">8906576450</t>
  </si>
  <si>
    <t xml:space="preserve">NANDHAKUMAR R</t>
  </si>
  <si>
    <t xml:space="preserve">24CY1591</t>
  </si>
  <si>
    <t xml:space="preserve">2002-01-14</t>
  </si>
  <si>
    <t xml:space="preserve">9586326433</t>
  </si>
  <si>
    <t xml:space="preserve">8544840295</t>
  </si>
  <si>
    <t xml:space="preserve">NAVEENA R</t>
  </si>
  <si>
    <t xml:space="preserve">24CY1592</t>
  </si>
  <si>
    <t xml:space="preserve">370 Main Road, Coimbatore</t>
  </si>
  <si>
    <t xml:space="preserve">9612489739</t>
  </si>
  <si>
    <t xml:space="preserve">8934238420</t>
  </si>
  <si>
    <t xml:space="preserve">NEHA SRI R</t>
  </si>
  <si>
    <t xml:space="preserve">24CY1593</t>
  </si>
  <si>
    <t xml:space="preserve">2003-07-12</t>
  </si>
  <si>
    <t xml:space="preserve">9354351387</t>
  </si>
  <si>
    <t xml:space="preserve">8798090875</t>
  </si>
  <si>
    <t xml:space="preserve">NIKHIL R</t>
  </si>
  <si>
    <t xml:space="preserve">24CY1594</t>
  </si>
  <si>
    <t xml:space="preserve">9422496389</t>
  </si>
  <si>
    <t xml:space="preserve">8745293945</t>
  </si>
  <si>
    <t xml:space="preserve">NISHITHA R</t>
  </si>
  <si>
    <t xml:space="preserve">24CY1595</t>
  </si>
  <si>
    <t xml:space="preserve">9768060550</t>
  </si>
  <si>
    <t xml:space="preserve">8122492915</t>
  </si>
  <si>
    <t xml:space="preserve">PRANAV R</t>
  </si>
  <si>
    <t xml:space="preserve">24CY1596</t>
  </si>
  <si>
    <t xml:space="preserve">124 Main Road, Coimbatore</t>
  </si>
  <si>
    <t xml:space="preserve">9985484848</t>
  </si>
  <si>
    <t xml:space="preserve">8986152199</t>
  </si>
  <si>
    <t xml:space="preserve">PREMRAJ R</t>
  </si>
  <si>
    <t xml:space="preserve">24CY1597</t>
  </si>
  <si>
    <t xml:space="preserve">2005-10-30</t>
  </si>
  <si>
    <t xml:space="preserve">534 Main Road, Coimbatore</t>
  </si>
  <si>
    <t xml:space="preserve">9709646029</t>
  </si>
  <si>
    <t xml:space="preserve">8799394042</t>
  </si>
  <si>
    <t xml:space="preserve">PRIYANKA R</t>
  </si>
  <si>
    <t xml:space="preserve">24CY1598</t>
  </si>
  <si>
    <t xml:space="preserve">2005-02-07</t>
  </si>
  <si>
    <t xml:space="preserve">359 Main Road, Coimbatore</t>
  </si>
  <si>
    <t xml:space="preserve">9970813683</t>
  </si>
  <si>
    <t xml:space="preserve">8243606127</t>
  </si>
  <si>
    <t xml:space="preserve">RADIKAA R</t>
  </si>
  <si>
    <t xml:space="preserve">24CY1599</t>
  </si>
  <si>
    <t xml:space="preserve">2005-03-02</t>
  </si>
  <si>
    <t xml:space="preserve">993 Main Road, Coimbatore</t>
  </si>
  <si>
    <t xml:space="preserve">9888538356</t>
  </si>
  <si>
    <t xml:space="preserve">8988433196</t>
  </si>
  <si>
    <t xml:space="preserve">RAGHUL R</t>
  </si>
  <si>
    <t xml:space="preserve">24CY1600</t>
  </si>
  <si>
    <t xml:space="preserve">2004-06-26</t>
  </si>
  <si>
    <t xml:space="preserve">175 Main Road, Coimbatore</t>
  </si>
  <si>
    <t xml:space="preserve">9268037890</t>
  </si>
  <si>
    <t xml:space="preserve">8974687691</t>
  </si>
  <si>
    <t xml:space="preserve">RAJESH R</t>
  </si>
  <si>
    <t xml:space="preserve">24CY1601</t>
  </si>
  <si>
    <t xml:space="preserve">2004-08-06</t>
  </si>
  <si>
    <t xml:space="preserve">9288893775</t>
  </si>
  <si>
    <t xml:space="preserve">8078221719</t>
  </si>
  <si>
    <t xml:space="preserve">RANIL NIDEESH R</t>
  </si>
  <si>
    <t xml:space="preserve">24CY1602</t>
  </si>
  <si>
    <t xml:space="preserve">2004-11-06</t>
  </si>
  <si>
    <t xml:space="preserve">9448931743</t>
  </si>
  <si>
    <t xml:space="preserve">8957187465</t>
  </si>
  <si>
    <t xml:space="preserve">RANJITH KUMAR R</t>
  </si>
  <si>
    <t xml:space="preserve">24CY1603</t>
  </si>
  <si>
    <t xml:space="preserve">2005-05-12</t>
  </si>
  <si>
    <t xml:space="preserve">499 Main Road, Coimbatore</t>
  </si>
  <si>
    <t xml:space="preserve">9838161519</t>
  </si>
  <si>
    <t xml:space="preserve">8447487216</t>
  </si>
  <si>
    <t xml:space="preserve">RATHINAVEL R</t>
  </si>
  <si>
    <t xml:space="preserve">24CY1604</t>
  </si>
  <si>
    <t xml:space="preserve">854 Main Road, Coimbatore</t>
  </si>
  <si>
    <t xml:space="preserve">9410385678</t>
  </si>
  <si>
    <t xml:space="preserve">8082349789</t>
  </si>
  <si>
    <t xml:space="preserve">RITHANYAA R</t>
  </si>
  <si>
    <t xml:space="preserve">24CY1605</t>
  </si>
  <si>
    <t xml:space="preserve">2006-08-20</t>
  </si>
  <si>
    <t xml:space="preserve">398 Main Road, Coimbatore</t>
  </si>
  <si>
    <t xml:space="preserve">9147951856</t>
  </si>
  <si>
    <t xml:space="preserve">8178595592</t>
  </si>
  <si>
    <t xml:space="preserve">SANGEETHA R</t>
  </si>
  <si>
    <t xml:space="preserve">24CY1606</t>
  </si>
  <si>
    <t xml:space="preserve">2004-05-29</t>
  </si>
  <si>
    <t xml:space="preserve">678 Main Road, Coimbatore</t>
  </si>
  <si>
    <t xml:space="preserve">9352933149</t>
  </si>
  <si>
    <t xml:space="preserve">8105333865</t>
  </si>
  <si>
    <t xml:space="preserve">SANJAY R</t>
  </si>
  <si>
    <t xml:space="preserve">24CY1607</t>
  </si>
  <si>
    <t xml:space="preserve">9293428610</t>
  </si>
  <si>
    <t xml:space="preserve">8764442655</t>
  </si>
  <si>
    <t xml:space="preserve">SARATHI R</t>
  </si>
  <si>
    <t xml:space="preserve">24CY1608</t>
  </si>
  <si>
    <t xml:space="preserve">879 Main Road, Coimbatore</t>
  </si>
  <si>
    <t xml:space="preserve">9252405483</t>
  </si>
  <si>
    <t xml:space="preserve">8997294624</t>
  </si>
  <si>
    <t xml:space="preserve">SIVADHARSHINI R</t>
  </si>
  <si>
    <t xml:space="preserve">24CY1609</t>
  </si>
  <si>
    <t xml:space="preserve">2003-03-02</t>
  </si>
  <si>
    <t xml:space="preserve">9960799795</t>
  </si>
  <si>
    <t xml:space="preserve">8585814867</t>
  </si>
  <si>
    <t xml:space="preserve">SUBASH R</t>
  </si>
  <si>
    <t xml:space="preserve">24CY1610</t>
  </si>
  <si>
    <t xml:space="preserve">2006-07-22</t>
  </si>
  <si>
    <t xml:space="preserve">321 Main Road, Coimbatore</t>
  </si>
  <si>
    <t xml:space="preserve">9173738078</t>
  </si>
  <si>
    <t xml:space="preserve">8814212889</t>
  </si>
  <si>
    <t xml:space="preserve">Sujith R</t>
  </si>
  <si>
    <t xml:space="preserve">24CY1611</t>
  </si>
  <si>
    <t xml:space="preserve">2002-12-09</t>
  </si>
  <si>
    <t xml:space="preserve">887 Main Road, Coimbatore</t>
  </si>
  <si>
    <t xml:space="preserve">9299731826</t>
  </si>
  <si>
    <t xml:space="preserve">8153783903</t>
  </si>
  <si>
    <t xml:space="preserve">SURYA PRAKASH R</t>
  </si>
  <si>
    <t xml:space="preserve">24CY1612</t>
  </si>
  <si>
    <t xml:space="preserve">991 Main Road, Coimbatore</t>
  </si>
  <si>
    <t xml:space="preserve">9160006499</t>
  </si>
  <si>
    <t xml:space="preserve">8287739604</t>
  </si>
  <si>
    <t xml:space="preserve">SUSHILRAM R</t>
  </si>
  <si>
    <t xml:space="preserve">24CY1613</t>
  </si>
  <si>
    <t xml:space="preserve">2005-08-13</t>
  </si>
  <si>
    <t xml:space="preserve">535 Main Road, Coimbatore</t>
  </si>
  <si>
    <t xml:space="preserve">9555890771</t>
  </si>
  <si>
    <t xml:space="preserve">8971131607</t>
  </si>
  <si>
    <t xml:space="preserve">THANEESHA R R</t>
  </si>
  <si>
    <t xml:space="preserve">24CY1614</t>
  </si>
  <si>
    <t xml:space="preserve">725 Main Road, Coimbatore</t>
  </si>
  <si>
    <t xml:space="preserve">9071131605</t>
  </si>
  <si>
    <t xml:space="preserve">8696342429</t>
  </si>
  <si>
    <t xml:space="preserve">THARUNKUMAR R</t>
  </si>
  <si>
    <t xml:space="preserve">24CY1615</t>
  </si>
  <si>
    <t xml:space="preserve">2005-06-15</t>
  </si>
  <si>
    <t xml:space="preserve">9768687429</t>
  </si>
  <si>
    <t xml:space="preserve">8653824288</t>
  </si>
  <si>
    <t xml:space="preserve">THENMOZHI R</t>
  </si>
  <si>
    <t xml:space="preserve">24CY1616</t>
  </si>
  <si>
    <t xml:space="preserve">2004-09-16</t>
  </si>
  <si>
    <t xml:space="preserve">9952903141</t>
  </si>
  <si>
    <t xml:space="preserve">8108252431</t>
  </si>
  <si>
    <t xml:space="preserve">THIRUMALAI R</t>
  </si>
  <si>
    <t xml:space="preserve">24CY1617</t>
  </si>
  <si>
    <t xml:space="preserve">2005-05-28</t>
  </si>
  <si>
    <t xml:space="preserve">100 Main Road, Coimbatore</t>
  </si>
  <si>
    <t xml:space="preserve">9004486937</t>
  </si>
  <si>
    <t xml:space="preserve">8322835113</t>
  </si>
  <si>
    <t xml:space="preserve">THIRUSELVAM R</t>
  </si>
  <si>
    <t xml:space="preserve">24CY1618</t>
  </si>
  <si>
    <t xml:space="preserve">2003-06-06</t>
  </si>
  <si>
    <t xml:space="preserve">9097316770</t>
  </si>
  <si>
    <t xml:space="preserve">8374393570</t>
  </si>
  <si>
    <t xml:space="preserve">VAISHNAVI R</t>
  </si>
  <si>
    <t xml:space="preserve">24CY1619</t>
  </si>
  <si>
    <t xml:space="preserve">2003-06-18</t>
  </si>
  <si>
    <t xml:space="preserve">788 Main Road, Coimbatore</t>
  </si>
  <si>
    <t xml:space="preserve">9917165809</t>
  </si>
  <si>
    <t xml:space="preserve">8311128351</t>
  </si>
  <si>
    <t xml:space="preserve">VINAYA R</t>
  </si>
  <si>
    <t xml:space="preserve">24CY1620</t>
  </si>
  <si>
    <t xml:space="preserve">2004-09-03</t>
  </si>
  <si>
    <t xml:space="preserve">9022138557</t>
  </si>
  <si>
    <t xml:space="preserve">8331840612</t>
  </si>
  <si>
    <t xml:space="preserve">VISHNU R</t>
  </si>
  <si>
    <t xml:space="preserve">24CY1621</t>
  </si>
  <si>
    <t xml:space="preserve">2005-12-06</t>
  </si>
  <si>
    <t xml:space="preserve">543 Main Road, Coimbatore</t>
  </si>
  <si>
    <t xml:space="preserve">9560537585</t>
  </si>
  <si>
    <t xml:space="preserve">8953910067</t>
  </si>
  <si>
    <t xml:space="preserve">VIKAS BABU R E</t>
  </si>
  <si>
    <t xml:space="preserve">24CY1622</t>
  </si>
  <si>
    <t xml:space="preserve">2004-12-07</t>
  </si>
  <si>
    <t xml:space="preserve">9414871782</t>
  </si>
  <si>
    <t xml:space="preserve">8747138394</t>
  </si>
  <si>
    <t xml:space="preserve">MADHU MITHA R K R K</t>
  </si>
  <si>
    <t xml:space="preserve">24CY1623</t>
  </si>
  <si>
    <t xml:space="preserve">2003-12-04</t>
  </si>
  <si>
    <t xml:space="preserve">892 Main Road, Coimbatore</t>
  </si>
  <si>
    <t xml:space="preserve">9182867080</t>
  </si>
  <si>
    <t xml:space="preserve">8313939051</t>
  </si>
  <si>
    <t xml:space="preserve">SASMITA R N</t>
  </si>
  <si>
    <t xml:space="preserve">24CY1624</t>
  </si>
  <si>
    <t xml:space="preserve">2003-09-15</t>
  </si>
  <si>
    <t xml:space="preserve">196 Main Road, Coimbatore</t>
  </si>
  <si>
    <t xml:space="preserve">9099875035</t>
  </si>
  <si>
    <t xml:space="preserve">8390288295</t>
  </si>
  <si>
    <t xml:space="preserve">ANOJ REHAAN R P</t>
  </si>
  <si>
    <t xml:space="preserve">24CY1625</t>
  </si>
  <si>
    <t xml:space="preserve">2004-11-28</t>
  </si>
  <si>
    <t xml:space="preserve">895 Main Road, Coimbatore</t>
  </si>
  <si>
    <t xml:space="preserve">9981276870</t>
  </si>
  <si>
    <t xml:space="preserve">8070720658</t>
  </si>
  <si>
    <t xml:space="preserve">ASMITHA R S</t>
  </si>
  <si>
    <t xml:space="preserve">24CY1626</t>
  </si>
  <si>
    <t xml:space="preserve">9928364904</t>
  </si>
  <si>
    <t xml:space="preserve">8929698074</t>
  </si>
  <si>
    <t xml:space="preserve">KANISHKA R S</t>
  </si>
  <si>
    <t xml:space="preserve">24CY1627</t>
  </si>
  <si>
    <t xml:space="preserve">2006-03-26</t>
  </si>
  <si>
    <t xml:space="preserve">9242809702</t>
  </si>
  <si>
    <t xml:space="preserve">8884851748</t>
  </si>
  <si>
    <t xml:space="preserve">SREEJAA R T</t>
  </si>
  <si>
    <t xml:space="preserve">24CY1628</t>
  </si>
  <si>
    <t xml:space="preserve">2002-09-16</t>
  </si>
  <si>
    <t xml:space="preserve">9356861857</t>
  </si>
  <si>
    <t xml:space="preserve">8614923994</t>
  </si>
  <si>
    <t xml:space="preserve">HARINI R V</t>
  </si>
  <si>
    <t xml:space="preserve">24CY1629</t>
  </si>
  <si>
    <t xml:space="preserve">9153330935</t>
  </si>
  <si>
    <t xml:space="preserve">8612050230</t>
  </si>
  <si>
    <t xml:space="preserve">AATHITHYA S</t>
  </si>
  <si>
    <t xml:space="preserve">24CY1630</t>
  </si>
  <si>
    <t xml:space="preserve">2006-05-27</t>
  </si>
  <si>
    <t xml:space="preserve">9550324667</t>
  </si>
  <si>
    <t xml:space="preserve">8034851781</t>
  </si>
  <si>
    <t xml:space="preserve">ABARNA S</t>
  </si>
  <si>
    <t xml:space="preserve">24CY1631</t>
  </si>
  <si>
    <t xml:space="preserve">2004-11-17</t>
  </si>
  <si>
    <t xml:space="preserve">488 Main Road, Coimbatore</t>
  </si>
  <si>
    <t xml:space="preserve">9736937292</t>
  </si>
  <si>
    <t xml:space="preserve">8228078760</t>
  </si>
  <si>
    <t xml:space="preserve">ABDUL HALEEM S</t>
  </si>
  <si>
    <t xml:space="preserve">24CY1632</t>
  </si>
  <si>
    <t xml:space="preserve">146 Main Road, Coimbatore</t>
  </si>
  <si>
    <t xml:space="preserve">9163698549</t>
  </si>
  <si>
    <t xml:space="preserve">8737507859</t>
  </si>
  <si>
    <t xml:space="preserve">ABIRAMINAYAGI S</t>
  </si>
  <si>
    <t xml:space="preserve">24CY1633</t>
  </si>
  <si>
    <t xml:space="preserve">2006-09-26</t>
  </si>
  <si>
    <t xml:space="preserve">9511865854</t>
  </si>
  <si>
    <t xml:space="preserve">8083162920</t>
  </si>
  <si>
    <t xml:space="preserve">AISHVARYA S</t>
  </si>
  <si>
    <t xml:space="preserve">24CY1634</t>
  </si>
  <si>
    <t xml:space="preserve">9224507063</t>
  </si>
  <si>
    <t xml:space="preserve">8713954494</t>
  </si>
  <si>
    <t xml:space="preserve">AJAY S</t>
  </si>
  <si>
    <t xml:space="preserve">24CY1635</t>
  </si>
  <si>
    <t xml:space="preserve">9704474412</t>
  </si>
  <si>
    <t xml:space="preserve">8041459730</t>
  </si>
  <si>
    <t xml:space="preserve">AKASH KANNA S</t>
  </si>
  <si>
    <t xml:space="preserve">24CY1636</t>
  </si>
  <si>
    <t xml:space="preserve">2005-10-09</t>
  </si>
  <si>
    <t xml:space="preserve">924 Main Road, Coimbatore</t>
  </si>
  <si>
    <t xml:space="preserve">9267021302</t>
  </si>
  <si>
    <t xml:space="preserve">8117722034</t>
  </si>
  <si>
    <t xml:space="preserve">AKSHARA VARSHINI S</t>
  </si>
  <si>
    <t xml:space="preserve">24CY1637</t>
  </si>
  <si>
    <t xml:space="preserve">659 Main Road, Coimbatore</t>
  </si>
  <si>
    <t xml:space="preserve">9488773791</t>
  </si>
  <si>
    <t xml:space="preserve">8336270891</t>
  </si>
  <si>
    <t xml:space="preserve">AKSHAYA S</t>
  </si>
  <si>
    <t xml:space="preserve">24CY1638</t>
  </si>
  <si>
    <t xml:space="preserve">2006-08-19</t>
  </si>
  <si>
    <t xml:space="preserve">694 Main Road, Coimbatore</t>
  </si>
  <si>
    <t xml:space="preserve">9162357375</t>
  </si>
  <si>
    <t xml:space="preserve">8776032277</t>
  </si>
  <si>
    <t xml:space="preserve">ANANTH S</t>
  </si>
  <si>
    <t xml:space="preserve">24CY1639</t>
  </si>
  <si>
    <t xml:space="preserve">2006-03-01</t>
  </si>
  <si>
    <t xml:space="preserve">9973392014</t>
  </si>
  <si>
    <t xml:space="preserve">8086747764</t>
  </si>
  <si>
    <t xml:space="preserve">ANDHONY SAVIYAR S</t>
  </si>
  <si>
    <t xml:space="preserve">24CY1640</t>
  </si>
  <si>
    <t xml:space="preserve">2006-09-07</t>
  </si>
  <si>
    <t xml:space="preserve">9546031139</t>
  </si>
  <si>
    <t xml:space="preserve">8190554621</t>
  </si>
  <si>
    <t xml:space="preserve">ARTHANARI S</t>
  </si>
  <si>
    <t xml:space="preserve">24CY1641</t>
  </si>
  <si>
    <t xml:space="preserve">9576783092</t>
  </si>
  <si>
    <t xml:space="preserve">8440319375</t>
  </si>
  <si>
    <t xml:space="preserve">Asuwath kumaresh S</t>
  </si>
  <si>
    <t xml:space="preserve">24CY1642</t>
  </si>
  <si>
    <t xml:space="preserve">2002-01-20</t>
  </si>
  <si>
    <t xml:space="preserve">9101761566</t>
  </si>
  <si>
    <t xml:space="preserve">8218999523</t>
  </si>
  <si>
    <t xml:space="preserve">BALAVIGNESH S</t>
  </si>
  <si>
    <t xml:space="preserve">24CY1643</t>
  </si>
  <si>
    <t xml:space="preserve">2004-06-07</t>
  </si>
  <si>
    <t xml:space="preserve">311 Main Road, Coimbatore</t>
  </si>
  <si>
    <t xml:space="preserve">9338293936</t>
  </si>
  <si>
    <t xml:space="preserve">8314109931</t>
  </si>
  <si>
    <t xml:space="preserve">BHARANIDHARAN S</t>
  </si>
  <si>
    <t xml:space="preserve">24CY1644</t>
  </si>
  <si>
    <t xml:space="preserve">2005-02-14</t>
  </si>
  <si>
    <t xml:space="preserve">502 Main Road, Coimbatore</t>
  </si>
  <si>
    <t xml:space="preserve">9285982975</t>
  </si>
  <si>
    <t xml:space="preserve">8182845455</t>
  </si>
  <si>
    <t xml:space="preserve">BIBIN SANJU S</t>
  </si>
  <si>
    <t xml:space="preserve">24CY1645</t>
  </si>
  <si>
    <t xml:space="preserve">2002-10-19</t>
  </si>
  <si>
    <t xml:space="preserve">9545582926</t>
  </si>
  <si>
    <t xml:space="preserve">8406364438</t>
  </si>
  <si>
    <t xml:space="preserve">BOMATHI S</t>
  </si>
  <si>
    <t xml:space="preserve">24CY1646</t>
  </si>
  <si>
    <t xml:space="preserve">2004-04-14</t>
  </si>
  <si>
    <t xml:space="preserve">319 Main Road, Coimbatore</t>
  </si>
  <si>
    <t xml:space="preserve">9665285279</t>
  </si>
  <si>
    <t xml:space="preserve">8687329451</t>
  </si>
  <si>
    <t xml:space="preserve">BOOJA SHREE S</t>
  </si>
  <si>
    <t xml:space="preserve">24CY1647</t>
  </si>
  <si>
    <t xml:space="preserve">9496392128</t>
  </si>
  <si>
    <t xml:space="preserve">8793083164</t>
  </si>
  <si>
    <t xml:space="preserve">BRINDHAA S</t>
  </si>
  <si>
    <t xml:space="preserve">24CY1648</t>
  </si>
  <si>
    <t xml:space="preserve">259 Main Road, Coimbatore</t>
  </si>
  <si>
    <t xml:space="preserve">9139793909</t>
  </si>
  <si>
    <t xml:space="preserve">8250163897</t>
  </si>
  <si>
    <t xml:space="preserve">CHANDRU S</t>
  </si>
  <si>
    <t xml:space="preserve">24CY1649</t>
  </si>
  <si>
    <t xml:space="preserve">15 Main Road, Coimbatore</t>
  </si>
  <si>
    <t xml:space="preserve">9232410868</t>
  </si>
  <si>
    <t xml:space="preserve">8049505252</t>
  </si>
  <si>
    <t xml:space="preserve">DARSHAN S</t>
  </si>
  <si>
    <t xml:space="preserve">24CY1650</t>
  </si>
  <si>
    <t xml:space="preserve">2006-10-14</t>
  </si>
  <si>
    <t xml:space="preserve">675 Main Road, Coimbatore</t>
  </si>
  <si>
    <t xml:space="preserve">9910499913</t>
  </si>
  <si>
    <t xml:space="preserve">8885945627</t>
  </si>
  <si>
    <t xml:space="preserve">DEEPA S</t>
  </si>
  <si>
    <t xml:space="preserve">24CY1651</t>
  </si>
  <si>
    <t xml:space="preserve">2004-10-11</t>
  </si>
  <si>
    <t xml:space="preserve">972 Main Road, Coimbatore</t>
  </si>
  <si>
    <t xml:space="preserve">9919616401</t>
  </si>
  <si>
    <t xml:space="preserve">8367978011</t>
  </si>
  <si>
    <t xml:space="preserve">DEEPAK S</t>
  </si>
  <si>
    <t xml:space="preserve">24CY1652</t>
  </si>
  <si>
    <t xml:space="preserve">2002-08-22</t>
  </si>
  <si>
    <t xml:space="preserve">9859563161</t>
  </si>
  <si>
    <t xml:space="preserve">8114715810</t>
  </si>
  <si>
    <t xml:space="preserve">DEVABALA S</t>
  </si>
  <si>
    <t xml:space="preserve">24CY1653</t>
  </si>
  <si>
    <t xml:space="preserve">2005-11-23</t>
  </si>
  <si>
    <t xml:space="preserve">9202943782</t>
  </si>
  <si>
    <t xml:space="preserve">8874005873</t>
  </si>
  <si>
    <t xml:space="preserve">DHAKSHITHA S</t>
  </si>
  <si>
    <t xml:space="preserve">24CY1654</t>
  </si>
  <si>
    <t xml:space="preserve">2004-07-25</t>
  </si>
  <si>
    <t xml:space="preserve">637 Main Road, Coimbatore</t>
  </si>
  <si>
    <t xml:space="preserve">9815844603</t>
  </si>
  <si>
    <t xml:space="preserve">8195712928</t>
  </si>
  <si>
    <t xml:space="preserve">DHANUSHREE S</t>
  </si>
  <si>
    <t xml:space="preserve">24CY1655</t>
  </si>
  <si>
    <t xml:space="preserve">2004-06-09</t>
  </si>
  <si>
    <t xml:space="preserve">9458258531</t>
  </si>
  <si>
    <t xml:space="preserve">8128972030</t>
  </si>
  <si>
    <t xml:space="preserve">DHANYA S</t>
  </si>
  <si>
    <t xml:space="preserve">24CY1656</t>
  </si>
  <si>
    <t xml:space="preserve">2004-11-15</t>
  </si>
  <si>
    <t xml:space="preserve">9995156889</t>
  </si>
  <si>
    <t xml:space="preserve">8264717726</t>
  </si>
  <si>
    <t xml:space="preserve">DHARANESH S</t>
  </si>
  <si>
    <t xml:space="preserve">24CY1657</t>
  </si>
  <si>
    <t xml:space="preserve">2006-10-18</t>
  </si>
  <si>
    <t xml:space="preserve">957 Main Road, Coimbatore</t>
  </si>
  <si>
    <t xml:space="preserve">9334233432</t>
  </si>
  <si>
    <t xml:space="preserve">8964565514</t>
  </si>
  <si>
    <t xml:space="preserve">DHARSHINI S</t>
  </si>
  <si>
    <t xml:space="preserve">24CY1658</t>
  </si>
  <si>
    <t xml:space="preserve">2004-01-16</t>
  </si>
  <si>
    <t xml:space="preserve">9478926112</t>
  </si>
  <si>
    <t xml:space="preserve">8866380275</t>
  </si>
  <si>
    <t xml:space="preserve">DHARSHINI PRIYA S</t>
  </si>
  <si>
    <t xml:space="preserve">24CY1659</t>
  </si>
  <si>
    <t xml:space="preserve">9127823029</t>
  </si>
  <si>
    <t xml:space="preserve">8728738761</t>
  </si>
  <si>
    <t xml:space="preserve">DHARUN S</t>
  </si>
  <si>
    <t xml:space="preserve">24CY1660</t>
  </si>
  <si>
    <t xml:space="preserve">2002-03-25</t>
  </si>
  <si>
    <t xml:space="preserve">9717126127</t>
  </si>
  <si>
    <t xml:space="preserve">8579848124</t>
  </si>
  <si>
    <t xml:space="preserve">DHEENANANTH S</t>
  </si>
  <si>
    <t xml:space="preserve">24CY1661</t>
  </si>
  <si>
    <t xml:space="preserve">2004-10-15</t>
  </si>
  <si>
    <t xml:space="preserve">9161330112</t>
  </si>
  <si>
    <t xml:space="preserve">8043534280</t>
  </si>
  <si>
    <t xml:space="preserve">DHINESHKALIMUTHU S</t>
  </si>
  <si>
    <t xml:space="preserve">24CY1662</t>
  </si>
  <si>
    <t xml:space="preserve">2002-01-04</t>
  </si>
  <si>
    <t xml:space="preserve">48 Main Road, Coimbatore</t>
  </si>
  <si>
    <t xml:space="preserve">9323437330</t>
  </si>
  <si>
    <t xml:space="preserve">8975406800</t>
  </si>
  <si>
    <t xml:space="preserve">Dhivya S</t>
  </si>
  <si>
    <t xml:space="preserve">24CY1663</t>
  </si>
  <si>
    <t xml:space="preserve">9159893680</t>
  </si>
  <si>
    <t xml:space="preserve">8187273639</t>
  </si>
  <si>
    <t xml:space="preserve">DHIVYA DHARISHINI S</t>
  </si>
  <si>
    <t xml:space="preserve">24CY1664</t>
  </si>
  <si>
    <t xml:space="preserve">2003-04-18</t>
  </si>
  <si>
    <t xml:space="preserve">699 Main Road, Coimbatore</t>
  </si>
  <si>
    <t xml:space="preserve">9092744017</t>
  </si>
  <si>
    <t xml:space="preserve">8474436977</t>
  </si>
  <si>
    <t xml:space="preserve">DIKSHA S</t>
  </si>
  <si>
    <t xml:space="preserve">24CY1665</t>
  </si>
  <si>
    <t xml:space="preserve">9835229062</t>
  </si>
  <si>
    <t xml:space="preserve">8068458406</t>
  </si>
  <si>
    <t xml:space="preserve">DINESHKUMAR S</t>
  </si>
  <si>
    <t xml:space="preserve">24CY1666</t>
  </si>
  <si>
    <t xml:space="preserve">2006-04-08</t>
  </si>
  <si>
    <t xml:space="preserve">9499643578</t>
  </si>
  <si>
    <t xml:space="preserve">8205442800</t>
  </si>
  <si>
    <t xml:space="preserve">DURGA NANDHINI S</t>
  </si>
  <si>
    <t xml:space="preserve">24CY1667</t>
  </si>
  <si>
    <t xml:space="preserve">55 Main Road, Coimbatore</t>
  </si>
  <si>
    <t xml:space="preserve">9881261555</t>
  </si>
  <si>
    <t xml:space="preserve">8906091826</t>
  </si>
  <si>
    <t xml:space="preserve">GOPALAKRISHNAN S</t>
  </si>
  <si>
    <t xml:space="preserve">24CY1668</t>
  </si>
  <si>
    <t xml:space="preserve">2002-07-27</t>
  </si>
  <si>
    <t xml:space="preserve">9894864076</t>
  </si>
  <si>
    <t xml:space="preserve">8432079134</t>
  </si>
  <si>
    <t xml:space="preserve">GOPI CHAND S</t>
  </si>
  <si>
    <t xml:space="preserve">24CY1669</t>
  </si>
  <si>
    <t xml:space="preserve">9250182645</t>
  </si>
  <si>
    <t xml:space="preserve">8277040041</t>
  </si>
  <si>
    <t xml:space="preserve">GOWTHAM S</t>
  </si>
  <si>
    <t xml:space="preserve">24CY1670</t>
  </si>
  <si>
    <t xml:space="preserve">2006-06-23</t>
  </si>
  <si>
    <t xml:space="preserve">9369911581</t>
  </si>
  <si>
    <t xml:space="preserve">8317308173</t>
  </si>
  <si>
    <t xml:space="preserve">GUHAN S</t>
  </si>
  <si>
    <t xml:space="preserve">24CY1671</t>
  </si>
  <si>
    <t xml:space="preserve">649 Main Road, Coimbatore</t>
  </si>
  <si>
    <t xml:space="preserve">9248898882</t>
  </si>
  <si>
    <t xml:space="preserve">8716217205</t>
  </si>
  <si>
    <t xml:space="preserve">GURU PRASATH S</t>
  </si>
  <si>
    <t xml:space="preserve">24CY1672</t>
  </si>
  <si>
    <t xml:space="preserve">9471372947</t>
  </si>
  <si>
    <t xml:space="preserve">8474820648</t>
  </si>
  <si>
    <t xml:space="preserve">GURUPRASANTH S</t>
  </si>
  <si>
    <t xml:space="preserve">24CY1673</t>
  </si>
  <si>
    <t xml:space="preserve">2002-05-06</t>
  </si>
  <si>
    <t xml:space="preserve">9370401303</t>
  </si>
  <si>
    <t xml:space="preserve">8908913642</t>
  </si>
  <si>
    <t xml:space="preserve">HAMDHA S</t>
  </si>
  <si>
    <t xml:space="preserve">24CY1674</t>
  </si>
  <si>
    <t xml:space="preserve">2002-03-02</t>
  </si>
  <si>
    <t xml:space="preserve">903 Main Road, Coimbatore</t>
  </si>
  <si>
    <t xml:space="preserve">9389514256</t>
  </si>
  <si>
    <t xml:space="preserve">8426527840</t>
  </si>
  <si>
    <t xml:space="preserve">HARE KRISHNA KUMAR S</t>
  </si>
  <si>
    <t xml:space="preserve">24CY1675</t>
  </si>
  <si>
    <t xml:space="preserve">2006-10-07</t>
  </si>
  <si>
    <t xml:space="preserve">208 Main Road, Coimbatore</t>
  </si>
  <si>
    <t xml:space="preserve">9663965941</t>
  </si>
  <si>
    <t xml:space="preserve">8554729069</t>
  </si>
  <si>
    <t xml:space="preserve">HAREESWAR S</t>
  </si>
  <si>
    <t xml:space="preserve">24CY1676</t>
  </si>
  <si>
    <t xml:space="preserve">992 Main Road, Coimbatore</t>
  </si>
  <si>
    <t xml:space="preserve">9307500781</t>
  </si>
  <si>
    <t xml:space="preserve">8619186214</t>
  </si>
  <si>
    <t xml:space="preserve">HARIHARA RUPAN S</t>
  </si>
  <si>
    <t xml:space="preserve">24CY1677</t>
  </si>
  <si>
    <t xml:space="preserve">9190412889</t>
  </si>
  <si>
    <t xml:space="preserve">8566275125</t>
  </si>
  <si>
    <t xml:space="preserve">HARIHARAN S</t>
  </si>
  <si>
    <t xml:space="preserve">24CY1678</t>
  </si>
  <si>
    <t xml:space="preserve">2002-05-22</t>
  </si>
  <si>
    <t xml:space="preserve">871 Main Road, Coimbatore</t>
  </si>
  <si>
    <t xml:space="preserve">9547706466</t>
  </si>
  <si>
    <t xml:space="preserve">8523398013</t>
  </si>
  <si>
    <t xml:space="preserve">HARINI S</t>
  </si>
  <si>
    <t xml:space="preserve">24CY1679</t>
  </si>
  <si>
    <t xml:space="preserve">2002-06-28</t>
  </si>
  <si>
    <t xml:space="preserve">9358569741</t>
  </si>
  <si>
    <t xml:space="preserve">8159284271</t>
  </si>
  <si>
    <t xml:space="preserve">Harini Sri S</t>
  </si>
  <si>
    <t xml:space="preserve">24CY1680</t>
  </si>
  <si>
    <t xml:space="preserve">853 Main Road, Coimbatore</t>
  </si>
  <si>
    <t xml:space="preserve">9255039262</t>
  </si>
  <si>
    <t xml:space="preserve">8019087240</t>
  </si>
  <si>
    <t xml:space="preserve">HARISH S</t>
  </si>
  <si>
    <t xml:space="preserve">24CY1681</t>
  </si>
  <si>
    <t xml:space="preserve">9214009312</t>
  </si>
  <si>
    <t xml:space="preserve">8887289877</t>
  </si>
  <si>
    <t xml:space="preserve">Harrish S</t>
  </si>
  <si>
    <t xml:space="preserve">24CY1682</t>
  </si>
  <si>
    <t xml:space="preserve">2005-03-07</t>
  </si>
  <si>
    <t xml:space="preserve">703 Main Road, Coimbatore</t>
  </si>
  <si>
    <t xml:space="preserve">9303953909</t>
  </si>
  <si>
    <t xml:space="preserve">8371669349</t>
  </si>
  <si>
    <t xml:space="preserve">HARSHAVARDHAN S</t>
  </si>
  <si>
    <t xml:space="preserve">24CY1683</t>
  </si>
  <si>
    <t xml:space="preserve">2002-08-24</t>
  </si>
  <si>
    <t xml:space="preserve">9693867598</t>
  </si>
  <si>
    <t xml:space="preserve">8478296094</t>
  </si>
  <si>
    <t xml:space="preserve">HEMALATHA S</t>
  </si>
  <si>
    <t xml:space="preserve">24CY1684</t>
  </si>
  <si>
    <t xml:space="preserve">290 Main Road, Coimbatore</t>
  </si>
  <si>
    <t xml:space="preserve">9541699319</t>
  </si>
  <si>
    <t xml:space="preserve">8839911675</t>
  </si>
  <si>
    <t xml:space="preserve">JABESH S</t>
  </si>
  <si>
    <t xml:space="preserve">24CY1685</t>
  </si>
  <si>
    <t xml:space="preserve">2004-05-21</t>
  </si>
  <si>
    <t xml:space="preserve">973 Main Road, Coimbatore</t>
  </si>
  <si>
    <t xml:space="preserve">9575747610</t>
  </si>
  <si>
    <t xml:space="preserve">8202327276</t>
  </si>
  <si>
    <t xml:space="preserve">JAISANTHOSH S</t>
  </si>
  <si>
    <t xml:space="preserve">24CY1686</t>
  </si>
  <si>
    <t xml:space="preserve">2002-06-22</t>
  </si>
  <si>
    <t xml:space="preserve">19 Main Road, Coimbatore</t>
  </si>
  <si>
    <t xml:space="preserve">9424037280</t>
  </si>
  <si>
    <t xml:space="preserve">8843055785</t>
  </si>
  <si>
    <t xml:space="preserve">JANA S</t>
  </si>
  <si>
    <t xml:space="preserve">24CY1687</t>
  </si>
  <si>
    <t xml:space="preserve">2002-10-22</t>
  </si>
  <si>
    <t xml:space="preserve">994 Main Road, Coimbatore</t>
  </si>
  <si>
    <t xml:space="preserve">9371024603</t>
  </si>
  <si>
    <t xml:space="preserve">8513642892</t>
  </si>
  <si>
    <t xml:space="preserve">JANANI S</t>
  </si>
  <si>
    <t xml:space="preserve">24CY1688</t>
  </si>
  <si>
    <t xml:space="preserve">9775974550</t>
  </si>
  <si>
    <t xml:space="preserve">8199545754</t>
  </si>
  <si>
    <t xml:space="preserve">JANUSHIKA S</t>
  </si>
  <si>
    <t xml:space="preserve">24CY1689</t>
  </si>
  <si>
    <t xml:space="preserve">2006-01-11</t>
  </si>
  <si>
    <t xml:space="preserve">30 Main Road, Coimbatore</t>
  </si>
  <si>
    <t xml:space="preserve">9698837859</t>
  </si>
  <si>
    <t xml:space="preserve">8542417632</t>
  </si>
  <si>
    <t xml:space="preserve">JANUSRI S</t>
  </si>
  <si>
    <t xml:space="preserve">24CY1690</t>
  </si>
  <si>
    <t xml:space="preserve">2006-06-15</t>
  </si>
  <si>
    <t xml:space="preserve">648 Main Road, Coimbatore</t>
  </si>
  <si>
    <t xml:space="preserve">9631398913</t>
  </si>
  <si>
    <t xml:space="preserve">8072974200</t>
  </si>
  <si>
    <t xml:space="preserve">JEEVA BHARATHI S</t>
  </si>
  <si>
    <t xml:space="preserve">24CY1691</t>
  </si>
  <si>
    <t xml:space="preserve">2003-04-11</t>
  </si>
  <si>
    <t xml:space="preserve">9193629324</t>
  </si>
  <si>
    <t xml:space="preserve">8766399133</t>
  </si>
  <si>
    <t xml:space="preserve">JEYAMOORTHI S</t>
  </si>
  <si>
    <t xml:space="preserve">24CY1692</t>
  </si>
  <si>
    <t xml:space="preserve">287 Main Road, Coimbatore</t>
  </si>
  <si>
    <t xml:space="preserve">9862771390</t>
  </si>
  <si>
    <t xml:space="preserve">8823657382</t>
  </si>
  <si>
    <t xml:space="preserve">JISHNU S</t>
  </si>
  <si>
    <t xml:space="preserve">24CY1693</t>
  </si>
  <si>
    <t xml:space="preserve">831 Main Road, Coimbatore</t>
  </si>
  <si>
    <t xml:space="preserve">9859054757</t>
  </si>
  <si>
    <t xml:space="preserve">8980111259</t>
  </si>
  <si>
    <t xml:space="preserve">JOTHINETRA S</t>
  </si>
  <si>
    <t xml:space="preserve">24CY1694</t>
  </si>
  <si>
    <t xml:space="preserve">9674885058</t>
  </si>
  <si>
    <t xml:space="preserve">8231479939</t>
  </si>
  <si>
    <t xml:space="preserve">JOTHIVARSHINI S</t>
  </si>
  <si>
    <t xml:space="preserve">24CY1695</t>
  </si>
  <si>
    <t xml:space="preserve">2004-08-20</t>
  </si>
  <si>
    <t xml:space="preserve">9684849643</t>
  </si>
  <si>
    <t xml:space="preserve">8651793607</t>
  </si>
  <si>
    <t xml:space="preserve">KALAISELVI S</t>
  </si>
  <si>
    <t xml:space="preserve">24CY1696</t>
  </si>
  <si>
    <t xml:space="preserve">2005-07-08</t>
  </si>
  <si>
    <t xml:space="preserve">9386163099</t>
  </si>
  <si>
    <t xml:space="preserve">8977461024</t>
  </si>
  <si>
    <t xml:space="preserve">KALAIVANI S</t>
  </si>
  <si>
    <t xml:space="preserve">24CY1697</t>
  </si>
  <si>
    <t xml:space="preserve">2006-02-10</t>
  </si>
  <si>
    <t xml:space="preserve">904 Main Road, Coimbatore</t>
  </si>
  <si>
    <t xml:space="preserve">9237079382</t>
  </si>
  <si>
    <t xml:space="preserve">8908449773</t>
  </si>
  <si>
    <t xml:space="preserve">KALAIYARASAN S</t>
  </si>
  <si>
    <t xml:space="preserve">24CY1698</t>
  </si>
  <si>
    <t xml:space="preserve">2005-09-09</t>
  </si>
  <si>
    <t xml:space="preserve">9505489141</t>
  </si>
  <si>
    <t xml:space="preserve">8844371950</t>
  </si>
  <si>
    <t xml:space="preserve">KAMESH S</t>
  </si>
  <si>
    <t xml:space="preserve">24CY1699</t>
  </si>
  <si>
    <t xml:space="preserve">2003-05-01</t>
  </si>
  <si>
    <t xml:space="preserve">978 Main Road, Coimbatore</t>
  </si>
  <si>
    <t xml:space="preserve">9816933282</t>
  </si>
  <si>
    <t xml:space="preserve">8840826166</t>
  </si>
  <si>
    <t xml:space="preserve">KANCHANA S</t>
  </si>
  <si>
    <t xml:space="preserve">24CY1700</t>
  </si>
  <si>
    <t xml:space="preserve">9944974216</t>
  </si>
  <si>
    <t xml:space="preserve">8387370733</t>
  </si>
  <si>
    <t xml:space="preserve">KANESA S</t>
  </si>
  <si>
    <t xml:space="preserve">24CY1701</t>
  </si>
  <si>
    <t xml:space="preserve">2005-03-11</t>
  </si>
  <si>
    <t xml:space="preserve">416 Main Road, Coimbatore</t>
  </si>
  <si>
    <t xml:space="preserve">9866306307</t>
  </si>
  <si>
    <t xml:space="preserve">8076813089</t>
  </si>
  <si>
    <t xml:space="preserve">KARTHI S</t>
  </si>
  <si>
    <t xml:space="preserve">24CY1702</t>
  </si>
  <si>
    <t xml:space="preserve">2005-08-02</t>
  </si>
  <si>
    <t xml:space="preserve">155 Main Road, Coimbatore</t>
  </si>
  <si>
    <t xml:space="preserve">9507584799</t>
  </si>
  <si>
    <t xml:space="preserve">8117843599</t>
  </si>
  <si>
    <t xml:space="preserve">KEERTHANA S</t>
  </si>
  <si>
    <t xml:space="preserve">24CY1703</t>
  </si>
  <si>
    <t xml:space="preserve">9017692621</t>
  </si>
  <si>
    <t xml:space="preserve">8260599691</t>
  </si>
  <si>
    <t xml:space="preserve">KISHOLKANTH S</t>
  </si>
  <si>
    <t xml:space="preserve">24CY1704</t>
  </si>
  <si>
    <t xml:space="preserve">2003-04-01</t>
  </si>
  <si>
    <t xml:space="preserve">9951655432</t>
  </si>
  <si>
    <t xml:space="preserve">8326860596</t>
  </si>
  <si>
    <t xml:space="preserve">KISHORE S</t>
  </si>
  <si>
    <t xml:space="preserve">24CY1705</t>
  </si>
  <si>
    <t xml:space="preserve">2006-03-17</t>
  </si>
  <si>
    <t xml:space="preserve">4 Main Road, Coimbatore</t>
  </si>
  <si>
    <t xml:space="preserve">9585763091</t>
  </si>
  <si>
    <t xml:space="preserve">8648064896</t>
  </si>
  <si>
    <t xml:space="preserve">KOUSHIGAN S</t>
  </si>
  <si>
    <t xml:space="preserve">24CY1706</t>
  </si>
  <si>
    <t xml:space="preserve">2005-12-24</t>
  </si>
  <si>
    <t xml:space="preserve">388 Main Road, Coimbatore</t>
  </si>
  <si>
    <t xml:space="preserve">9543312408</t>
  </si>
  <si>
    <t xml:space="preserve">8543227738</t>
  </si>
  <si>
    <t xml:space="preserve">KOWSI S</t>
  </si>
  <si>
    <t xml:space="preserve">24CY1707</t>
  </si>
  <si>
    <t xml:space="preserve">9605755395</t>
  </si>
  <si>
    <t xml:space="preserve">8433780098</t>
  </si>
  <si>
    <t xml:space="preserve">KRISHNA PRAKASH S</t>
  </si>
  <si>
    <t xml:space="preserve">24CY1708</t>
  </si>
  <si>
    <t xml:space="preserve">9250688012</t>
  </si>
  <si>
    <t xml:space="preserve">8656786939</t>
  </si>
  <si>
    <t xml:space="preserve">KRISHNAPRASAD S</t>
  </si>
  <si>
    <t xml:space="preserve">24CY1709</t>
  </si>
  <si>
    <t xml:space="preserve">2003-04-30</t>
  </si>
  <si>
    <t xml:space="preserve">9919951294</t>
  </si>
  <si>
    <t xml:space="preserve">8749884133</t>
  </si>
  <si>
    <t xml:space="preserve">KRITHICK S</t>
  </si>
  <si>
    <t xml:space="preserve">24CY1710</t>
  </si>
  <si>
    <t xml:space="preserve">2006-07-09</t>
  </si>
  <si>
    <t xml:space="preserve">308 Main Road, Coimbatore</t>
  </si>
  <si>
    <t xml:space="preserve">9371300292</t>
  </si>
  <si>
    <t xml:space="preserve">8815059228</t>
  </si>
  <si>
    <t xml:space="preserve">KUMARAN S</t>
  </si>
  <si>
    <t xml:space="preserve">24CY1711</t>
  </si>
  <si>
    <t xml:space="preserve">9530191734</t>
  </si>
  <si>
    <t xml:space="preserve">8835232990</t>
  </si>
  <si>
    <t xml:space="preserve">LAKSHMANAN S</t>
  </si>
  <si>
    <t xml:space="preserve">24CY1712</t>
  </si>
  <si>
    <t xml:space="preserve">698 Main Road, Coimbatore</t>
  </si>
  <si>
    <t xml:space="preserve">9066518553</t>
  </si>
  <si>
    <t xml:space="preserve">8247024874</t>
  </si>
  <si>
    <t xml:space="preserve">LITHIKSAA S</t>
  </si>
  <si>
    <t xml:space="preserve">24CY1713</t>
  </si>
  <si>
    <t xml:space="preserve">9505371087</t>
  </si>
  <si>
    <t xml:space="preserve">8766294644</t>
  </si>
  <si>
    <t xml:space="preserve">LOGESHWARAN S</t>
  </si>
  <si>
    <t xml:space="preserve">24CY1714</t>
  </si>
  <si>
    <t xml:space="preserve">2002-08-12</t>
  </si>
  <si>
    <t xml:space="preserve">9141958223</t>
  </si>
  <si>
    <t xml:space="preserve">8934171960</t>
  </si>
  <si>
    <t xml:space="preserve">MADHUMITHA S</t>
  </si>
  <si>
    <t xml:space="preserve">24CY1715</t>
  </si>
  <si>
    <t xml:space="preserve">2005-12-29</t>
  </si>
  <si>
    <t xml:space="preserve">890 Main Road, Coimbatore</t>
  </si>
  <si>
    <t xml:space="preserve">9281045281</t>
  </si>
  <si>
    <t xml:space="preserve">8078101051</t>
  </si>
  <si>
    <t xml:space="preserve">MATHAN S</t>
  </si>
  <si>
    <t xml:space="preserve">24CY1716</t>
  </si>
  <si>
    <t xml:space="preserve">2004-08-14</t>
  </si>
  <si>
    <t xml:space="preserve">9008479390</t>
  </si>
  <si>
    <t xml:space="preserve">8400978374</t>
  </si>
  <si>
    <t xml:space="preserve">MATHAN PRASATH S</t>
  </si>
  <si>
    <t xml:space="preserve">24CY1717</t>
  </si>
  <si>
    <t xml:space="preserve">9358769317</t>
  </si>
  <si>
    <t xml:space="preserve">8857338563</t>
  </si>
  <si>
    <t xml:space="preserve">MEHAVARSHA S</t>
  </si>
  <si>
    <t xml:space="preserve">24CY1718</t>
  </si>
  <si>
    <t xml:space="preserve">9372738805</t>
  </si>
  <si>
    <t xml:space="preserve">8958010334</t>
  </si>
  <si>
    <t xml:space="preserve">MIRUTHULA S</t>
  </si>
  <si>
    <t xml:space="preserve">24CY1719</t>
  </si>
  <si>
    <t xml:space="preserve">2004-08-02</t>
  </si>
  <si>
    <t xml:space="preserve">9306757877</t>
  </si>
  <si>
    <t xml:space="preserve">8305969971</t>
  </si>
  <si>
    <t xml:space="preserve">MITUN S</t>
  </si>
  <si>
    <t xml:space="preserve">24CY1720</t>
  </si>
  <si>
    <t xml:space="preserve">2003-06-02</t>
  </si>
  <si>
    <t xml:space="preserve">9897187690</t>
  </si>
  <si>
    <t xml:space="preserve">8458096978</t>
  </si>
  <si>
    <t xml:space="preserve">MOHAMED DHARIK S</t>
  </si>
  <si>
    <t xml:space="preserve">24CY1721</t>
  </si>
  <si>
    <t xml:space="preserve">2003-10-22</t>
  </si>
  <si>
    <t xml:space="preserve">9769472782</t>
  </si>
  <si>
    <t xml:space="preserve">8236870190</t>
  </si>
  <si>
    <t xml:space="preserve">MOHAMED IRFAN S</t>
  </si>
  <si>
    <t xml:space="preserve">24CY1722</t>
  </si>
  <si>
    <t xml:space="preserve">9618430905</t>
  </si>
  <si>
    <t xml:space="preserve">8837505777</t>
  </si>
  <si>
    <t xml:space="preserve">MOHAMMED SHALMAAN S</t>
  </si>
  <si>
    <t xml:space="preserve">24CY1723</t>
  </si>
  <si>
    <t xml:space="preserve">2003-10-13</t>
  </si>
  <si>
    <t xml:space="preserve">9831720341</t>
  </si>
  <si>
    <t xml:space="preserve">8992613968</t>
  </si>
  <si>
    <t xml:space="preserve">MOHANAPRASATH S</t>
  </si>
  <si>
    <t xml:space="preserve">24CY1724</t>
  </si>
  <si>
    <t xml:space="preserve">9385685105</t>
  </si>
  <si>
    <t xml:space="preserve">8818965704</t>
  </si>
  <si>
    <t xml:space="preserve">MUTHU RAGAVAN S</t>
  </si>
  <si>
    <t xml:space="preserve">24CY1725</t>
  </si>
  <si>
    <t xml:space="preserve">2004-08-09</t>
  </si>
  <si>
    <t xml:space="preserve">863 Main Road, Coimbatore</t>
  </si>
  <si>
    <t xml:space="preserve">9879797532</t>
  </si>
  <si>
    <t xml:space="preserve">8927139782</t>
  </si>
  <si>
    <t xml:space="preserve">NANDISH S</t>
  </si>
  <si>
    <t xml:space="preserve">24CY1726</t>
  </si>
  <si>
    <t xml:space="preserve">9972891509</t>
  </si>
  <si>
    <t xml:space="preserve">8814185446</t>
  </si>
  <si>
    <t xml:space="preserve">NARASIMMAN S</t>
  </si>
  <si>
    <t xml:space="preserve">24CY1727</t>
  </si>
  <si>
    <t xml:space="preserve">2002-08-11</t>
  </si>
  <si>
    <t xml:space="preserve">657 Main Road, Coimbatore</t>
  </si>
  <si>
    <t xml:space="preserve">9300960625</t>
  </si>
  <si>
    <t xml:space="preserve">8363145821</t>
  </si>
  <si>
    <t xml:space="preserve">NAVEEN S</t>
  </si>
  <si>
    <t xml:space="preserve">24CY1728</t>
  </si>
  <si>
    <t xml:space="preserve">540 Main Road, Coimbatore</t>
  </si>
  <si>
    <t xml:space="preserve">9150730363</t>
  </si>
  <si>
    <t xml:space="preserve">8112303512</t>
  </si>
  <si>
    <t xml:space="preserve">NAVEENKUMAR S</t>
  </si>
  <si>
    <t xml:space="preserve">24CY1729</t>
  </si>
  <si>
    <t xml:space="preserve">2006-09-23</t>
  </si>
  <si>
    <t xml:space="preserve">663 Main Road, Coimbatore</t>
  </si>
  <si>
    <t xml:space="preserve">9381003790</t>
  </si>
  <si>
    <t xml:space="preserve">8579576452</t>
  </si>
  <si>
    <t xml:space="preserve">NIRANJAN S</t>
  </si>
  <si>
    <t xml:space="preserve">24CY1730</t>
  </si>
  <si>
    <t xml:space="preserve">2004-04-23</t>
  </si>
  <si>
    <t xml:space="preserve">9692270131</t>
  </si>
  <si>
    <t xml:space="preserve">8097782766</t>
  </si>
  <si>
    <t xml:space="preserve">NIRMAL S</t>
  </si>
  <si>
    <t xml:space="preserve">24CY1731</t>
  </si>
  <si>
    <t xml:space="preserve">2004-01-30</t>
  </si>
  <si>
    <t xml:space="preserve">566 Main Road, Coimbatore</t>
  </si>
  <si>
    <t xml:space="preserve">9512847310</t>
  </si>
  <si>
    <t xml:space="preserve">8373080001</t>
  </si>
  <si>
    <t xml:space="preserve">PARVESH S</t>
  </si>
  <si>
    <t xml:space="preserve">24CY1732</t>
  </si>
  <si>
    <t xml:space="preserve">2006-04-09</t>
  </si>
  <si>
    <t xml:space="preserve">216 Main Road, Coimbatore</t>
  </si>
  <si>
    <t xml:space="preserve">9726365149</t>
  </si>
  <si>
    <t xml:space="preserve">8225238338</t>
  </si>
  <si>
    <t xml:space="preserve">PATTEESWARAN S</t>
  </si>
  <si>
    <t xml:space="preserve">24CY1733</t>
  </si>
  <si>
    <t xml:space="preserve">9414157259</t>
  </si>
  <si>
    <t xml:space="preserve">8248140316</t>
  </si>
  <si>
    <t xml:space="preserve">PAVITHRAN S</t>
  </si>
  <si>
    <t xml:space="preserve">24CY1734</t>
  </si>
  <si>
    <t xml:space="preserve">2005-08-14</t>
  </si>
  <si>
    <t xml:space="preserve">923 Main Road, Coimbatore</t>
  </si>
  <si>
    <t xml:space="preserve">9620642470</t>
  </si>
  <si>
    <t xml:space="preserve">8582028444</t>
  </si>
  <si>
    <t xml:space="preserve">POOVARASAN S</t>
  </si>
  <si>
    <t xml:space="preserve">24CY1735</t>
  </si>
  <si>
    <t xml:space="preserve">977 Main Road, Coimbatore</t>
  </si>
  <si>
    <t xml:space="preserve">9656901348</t>
  </si>
  <si>
    <t xml:space="preserve">8888339244</t>
  </si>
  <si>
    <t xml:space="preserve">PRADHAP S</t>
  </si>
  <si>
    <t xml:space="preserve">24CY1736</t>
  </si>
  <si>
    <t xml:space="preserve">913 Main Road, Coimbatore</t>
  </si>
  <si>
    <t xml:space="preserve">9827754301</t>
  </si>
  <si>
    <t xml:space="preserve">8283798391</t>
  </si>
  <si>
    <t xml:space="preserve">PRAHATHI S</t>
  </si>
  <si>
    <t xml:space="preserve">24CY1737</t>
  </si>
  <si>
    <t xml:space="preserve">2006-03-03</t>
  </si>
  <si>
    <t xml:space="preserve">718 Main Road, Coimbatore</t>
  </si>
  <si>
    <t xml:space="preserve">9157584239</t>
  </si>
  <si>
    <t xml:space="preserve">8416317008</t>
  </si>
  <si>
    <t xml:space="preserve">PRANAV KARTHIK S</t>
  </si>
  <si>
    <t xml:space="preserve">24CY1738</t>
  </si>
  <si>
    <t xml:space="preserve">495 Main Road, Coimbatore</t>
  </si>
  <si>
    <t xml:space="preserve">9425886225</t>
  </si>
  <si>
    <t xml:space="preserve">8466503586</t>
  </si>
  <si>
    <t xml:space="preserve">PRAVEEN KUMAR S</t>
  </si>
  <si>
    <t xml:space="preserve">24CY1739</t>
  </si>
  <si>
    <t xml:space="preserve">2004-05-16</t>
  </si>
  <si>
    <t xml:space="preserve">9043319493</t>
  </si>
  <si>
    <t xml:space="preserve">8784966283</t>
  </si>
  <si>
    <t xml:space="preserve">PREM KUMAR S</t>
  </si>
  <si>
    <t xml:space="preserve">24CY1740</t>
  </si>
  <si>
    <t xml:space="preserve">2005-12-20</t>
  </si>
  <si>
    <t xml:space="preserve">642 Main Road, Coimbatore</t>
  </si>
  <si>
    <t xml:space="preserve">9406637992</t>
  </si>
  <si>
    <t xml:space="preserve">8408934183</t>
  </si>
  <si>
    <t xml:space="preserve">RAGHUL S</t>
  </si>
  <si>
    <t xml:space="preserve">24CY1741</t>
  </si>
  <si>
    <t xml:space="preserve">2004-10-22</t>
  </si>
  <si>
    <t xml:space="preserve">9150460013</t>
  </si>
  <si>
    <t xml:space="preserve">8968979212</t>
  </si>
  <si>
    <t xml:space="preserve">RAJANESH S</t>
  </si>
  <si>
    <t xml:space="preserve">24CY1742</t>
  </si>
  <si>
    <t xml:space="preserve">2005-12-07</t>
  </si>
  <si>
    <t xml:space="preserve">105 Main Road, Coimbatore</t>
  </si>
  <si>
    <t xml:space="preserve">9174290958</t>
  </si>
  <si>
    <t xml:space="preserve">8400260998</t>
  </si>
  <si>
    <t xml:space="preserve">RANJANA S</t>
  </si>
  <si>
    <t xml:space="preserve">24CY1743</t>
  </si>
  <si>
    <t xml:space="preserve">271 Main Road, Coimbatore</t>
  </si>
  <si>
    <t xml:space="preserve">9869860533</t>
  </si>
  <si>
    <t xml:space="preserve">8278150284</t>
  </si>
  <si>
    <t xml:space="preserve">RANJITH KUMAR S</t>
  </si>
  <si>
    <t xml:space="preserve">24CY1744</t>
  </si>
  <si>
    <t xml:space="preserve">2003-07-21</t>
  </si>
  <si>
    <t xml:space="preserve">582 Main Road, Coimbatore</t>
  </si>
  <si>
    <t xml:space="preserve">9242198935</t>
  </si>
  <si>
    <t xml:space="preserve">8173084081</t>
  </si>
  <si>
    <t xml:space="preserve">RASITHA S</t>
  </si>
  <si>
    <t xml:space="preserve">24CY1745</t>
  </si>
  <si>
    <t xml:space="preserve">549 Main Road, Coimbatore</t>
  </si>
  <si>
    <t xml:space="preserve">9447744853</t>
  </si>
  <si>
    <t xml:space="preserve">8693322452</t>
  </si>
  <si>
    <t xml:space="preserve">REXY CHRISTOPHER S</t>
  </si>
  <si>
    <t xml:space="preserve">24CY1746</t>
  </si>
  <si>
    <t xml:space="preserve">2006-02-18</t>
  </si>
  <si>
    <t xml:space="preserve">971 Main Road, Coimbatore</t>
  </si>
  <si>
    <t xml:space="preserve">9783367017</t>
  </si>
  <si>
    <t xml:space="preserve">8575390907</t>
  </si>
  <si>
    <t xml:space="preserve">RISHI S</t>
  </si>
  <si>
    <t xml:space="preserve">24CY1747</t>
  </si>
  <si>
    <t xml:space="preserve">2006-03-14</t>
  </si>
  <si>
    <t xml:space="preserve">9144381611</t>
  </si>
  <si>
    <t xml:space="preserve">8288411216</t>
  </si>
  <si>
    <t xml:space="preserve">ROHINI S</t>
  </si>
  <si>
    <t xml:space="preserve">24CY1748</t>
  </si>
  <si>
    <t xml:space="preserve">464 Main Road, Coimbatore</t>
  </si>
  <si>
    <t xml:space="preserve">9558709866</t>
  </si>
  <si>
    <t xml:space="preserve">8493362920</t>
  </si>
  <si>
    <t xml:space="preserve">SABARIGIRI S</t>
  </si>
  <si>
    <t xml:space="preserve">24CY1749</t>
  </si>
  <si>
    <t xml:space="preserve">2003-02-06</t>
  </si>
  <si>
    <t xml:space="preserve">9515451921</t>
  </si>
  <si>
    <t xml:space="preserve">8671022434</t>
  </si>
  <si>
    <t xml:space="preserve">SACHIN S</t>
  </si>
  <si>
    <t xml:space="preserve">24CY1750</t>
  </si>
  <si>
    <t xml:space="preserve">2005-02-12</t>
  </si>
  <si>
    <t xml:space="preserve">9300249245</t>
  </si>
  <si>
    <t xml:space="preserve">8472179015</t>
  </si>
  <si>
    <t xml:space="preserve">SAKTHI PRASANTH S</t>
  </si>
  <si>
    <t xml:space="preserve">24CY1751</t>
  </si>
  <si>
    <t xml:space="preserve">9475528926</t>
  </si>
  <si>
    <t xml:space="preserve">8120085222</t>
  </si>
  <si>
    <t xml:space="preserve">SAKTHI PRIYAA S</t>
  </si>
  <si>
    <t xml:space="preserve">24CY1752</t>
  </si>
  <si>
    <t xml:space="preserve">2003-02-28</t>
  </si>
  <si>
    <t xml:space="preserve">332 Main Road, Coimbatore</t>
  </si>
  <si>
    <t xml:space="preserve">9372680925</t>
  </si>
  <si>
    <t xml:space="preserve">8611107470</t>
  </si>
  <si>
    <t xml:space="preserve">SAKTHIVEL S</t>
  </si>
  <si>
    <t xml:space="preserve">24CY1753</t>
  </si>
  <si>
    <t xml:space="preserve">2002-07-30</t>
  </si>
  <si>
    <t xml:space="preserve">701 Main Road, Coimbatore</t>
  </si>
  <si>
    <t xml:space="preserve">9975186085</t>
  </si>
  <si>
    <t xml:space="preserve">8290362861</t>
  </si>
  <si>
    <t xml:space="preserve">SALINY DEVY S</t>
  </si>
  <si>
    <t xml:space="preserve">24CY1754</t>
  </si>
  <si>
    <t xml:space="preserve">2003-11-15</t>
  </si>
  <si>
    <t xml:space="preserve">9870052828</t>
  </si>
  <si>
    <t xml:space="preserve">8740027857</t>
  </si>
  <si>
    <t xml:space="preserve">SANDHIYA S</t>
  </si>
  <si>
    <t xml:space="preserve">24CY1755</t>
  </si>
  <si>
    <t xml:space="preserve">867 Main Road, Coimbatore</t>
  </si>
  <si>
    <t xml:space="preserve">9324238506</t>
  </si>
  <si>
    <t xml:space="preserve">8245232788</t>
  </si>
  <si>
    <t xml:space="preserve">SANJAIBALA S</t>
  </si>
  <si>
    <t xml:space="preserve">24CY1756</t>
  </si>
  <si>
    <t xml:space="preserve">758 Main Road, Coimbatore</t>
  </si>
  <si>
    <t xml:space="preserve">9299624870</t>
  </si>
  <si>
    <t xml:space="preserve">8280204238</t>
  </si>
  <si>
    <t xml:space="preserve">SANJAY S</t>
  </si>
  <si>
    <t xml:space="preserve">24CY1757</t>
  </si>
  <si>
    <t xml:space="preserve">9128456977</t>
  </si>
  <si>
    <t xml:space="preserve">8287925326</t>
  </si>
  <si>
    <t xml:space="preserve">SANJITH S</t>
  </si>
  <si>
    <t xml:space="preserve">24CY1758</t>
  </si>
  <si>
    <t xml:space="preserve">2006-08-30</t>
  </si>
  <si>
    <t xml:space="preserve">9401346361</t>
  </si>
  <si>
    <t xml:space="preserve">8671579875</t>
  </si>
  <si>
    <t xml:space="preserve">SANJITHA S</t>
  </si>
  <si>
    <t xml:space="preserve">24CY1759</t>
  </si>
  <si>
    <t xml:space="preserve">9875721980</t>
  </si>
  <si>
    <t xml:space="preserve">8326805762</t>
  </si>
  <si>
    <t xml:space="preserve">SANTHOSH KUMAR S</t>
  </si>
  <si>
    <t xml:space="preserve">24CY1760</t>
  </si>
  <si>
    <t xml:space="preserve">2006-10-06</t>
  </si>
  <si>
    <t xml:space="preserve">9916755264</t>
  </si>
  <si>
    <t xml:space="preserve">8413605936</t>
  </si>
  <si>
    <t xml:space="preserve">SANTHRESH S</t>
  </si>
  <si>
    <t xml:space="preserve">24CY1761</t>
  </si>
  <si>
    <t xml:space="preserve">2006-04-22</t>
  </si>
  <si>
    <t xml:space="preserve">9136317610</t>
  </si>
  <si>
    <t xml:space="preserve">8778649372</t>
  </si>
  <si>
    <t xml:space="preserve">SARANRAJ S</t>
  </si>
  <si>
    <t xml:space="preserve">24CY1762</t>
  </si>
  <si>
    <t xml:space="preserve">2005-10-07</t>
  </si>
  <si>
    <t xml:space="preserve">9910820817</t>
  </si>
  <si>
    <t xml:space="preserve">8068761475</t>
  </si>
  <si>
    <t xml:space="preserve">SATHISH KUMAR S</t>
  </si>
  <si>
    <t xml:space="preserve">24CY1763</t>
  </si>
  <si>
    <t xml:space="preserve">9525336336</t>
  </si>
  <si>
    <t xml:space="preserve">8823039383</t>
  </si>
  <si>
    <t xml:space="preserve">SHADHANAN S</t>
  </si>
  <si>
    <t xml:space="preserve">24CY1764</t>
  </si>
  <si>
    <t xml:space="preserve">2004-10-26</t>
  </si>
  <si>
    <t xml:space="preserve">197 Main Road, Coimbatore</t>
  </si>
  <si>
    <t xml:space="preserve">9292832672</t>
  </si>
  <si>
    <t xml:space="preserve">8581696291</t>
  </si>
  <si>
    <t xml:space="preserve">SHALINI S</t>
  </si>
  <si>
    <t xml:space="preserve">24CY1765</t>
  </si>
  <si>
    <t xml:space="preserve">2005-05-01</t>
  </si>
  <si>
    <t xml:space="preserve">750 Main Road, Coimbatore</t>
  </si>
  <si>
    <t xml:space="preserve">9231084995</t>
  </si>
  <si>
    <t xml:space="preserve">8218293710</t>
  </si>
  <si>
    <t xml:space="preserve">SHREYAS S</t>
  </si>
  <si>
    <t xml:space="preserve">24CY1766</t>
  </si>
  <si>
    <t xml:space="preserve">9154746706</t>
  </si>
  <si>
    <t xml:space="preserve">8220360408</t>
  </si>
  <si>
    <t xml:space="preserve">SHRI RITHANYA S</t>
  </si>
  <si>
    <t xml:space="preserve">24CY1767</t>
  </si>
  <si>
    <t xml:space="preserve">446 Main Road, Coimbatore</t>
  </si>
  <si>
    <t xml:space="preserve">9015341839</t>
  </si>
  <si>
    <t xml:space="preserve">8847288300</t>
  </si>
  <si>
    <t xml:space="preserve">SHRUTISRI S</t>
  </si>
  <si>
    <t xml:space="preserve">24CY1768</t>
  </si>
  <si>
    <t xml:space="preserve">2003-07-04</t>
  </si>
  <si>
    <t xml:space="preserve">966 Main Road, Coimbatore</t>
  </si>
  <si>
    <t xml:space="preserve">9162818013</t>
  </si>
  <si>
    <t xml:space="preserve">8717790608</t>
  </si>
  <si>
    <t xml:space="preserve">SHYAM KAILASH S</t>
  </si>
  <si>
    <t xml:space="preserve">24CY1769</t>
  </si>
  <si>
    <t xml:space="preserve">2003-04-09</t>
  </si>
  <si>
    <t xml:space="preserve">548 Main Road, Coimbatore</t>
  </si>
  <si>
    <t xml:space="preserve">9462940766</t>
  </si>
  <si>
    <t xml:space="preserve">8399867474</t>
  </si>
  <si>
    <t xml:space="preserve">SIVARANJITH S</t>
  </si>
  <si>
    <t xml:space="preserve">24CY1770</t>
  </si>
  <si>
    <t xml:space="preserve">2005-07-01</t>
  </si>
  <si>
    <t xml:space="preserve">9684167179</t>
  </si>
  <si>
    <t xml:space="preserve">8915216753</t>
  </si>
  <si>
    <t xml:space="preserve">SRI HARINI S</t>
  </si>
  <si>
    <t xml:space="preserve">24CY1771</t>
  </si>
  <si>
    <t xml:space="preserve">9474184287</t>
  </si>
  <si>
    <t xml:space="preserve">8511884824</t>
  </si>
  <si>
    <t xml:space="preserve">SRIMATHI S</t>
  </si>
  <si>
    <t xml:space="preserve">24CY1772</t>
  </si>
  <si>
    <t xml:space="preserve">2006-11-02</t>
  </si>
  <si>
    <t xml:space="preserve">9058581693</t>
  </si>
  <si>
    <t xml:space="preserve">8345790679</t>
  </si>
  <si>
    <t xml:space="preserve">SRINIRIKSHA S</t>
  </si>
  <si>
    <t xml:space="preserve">24CY1773</t>
  </si>
  <si>
    <t xml:space="preserve">2005-10-25</t>
  </si>
  <si>
    <t xml:space="preserve">729 Main Road, Coimbatore</t>
  </si>
  <si>
    <t xml:space="preserve">9326127933</t>
  </si>
  <si>
    <t xml:space="preserve">8248560363</t>
  </si>
  <si>
    <t xml:space="preserve">SUBA SANTHOSH S</t>
  </si>
  <si>
    <t xml:space="preserve">24CY1774</t>
  </si>
  <si>
    <t xml:space="preserve">9389808415</t>
  </si>
  <si>
    <t xml:space="preserve">8246881443</t>
  </si>
  <si>
    <t xml:space="preserve">SUBHITCHA S</t>
  </si>
  <si>
    <t xml:space="preserve">24CY1775</t>
  </si>
  <si>
    <t xml:space="preserve">2006-02-27</t>
  </si>
  <si>
    <t xml:space="preserve">9376859358</t>
  </si>
  <si>
    <t xml:space="preserve">8953795675</t>
  </si>
  <si>
    <t xml:space="preserve">SUBIKSHA S</t>
  </si>
  <si>
    <t xml:space="preserve">24CY1776</t>
  </si>
  <si>
    <t xml:space="preserve">9353807479</t>
  </si>
  <si>
    <t xml:space="preserve">8967235570</t>
  </si>
  <si>
    <t xml:space="preserve">SUDHAN S</t>
  </si>
  <si>
    <t xml:space="preserve">24CY1777</t>
  </si>
  <si>
    <t xml:space="preserve">9268484518</t>
  </si>
  <si>
    <t xml:space="preserve">8843580008</t>
  </si>
  <si>
    <t xml:space="preserve">SUJITH S</t>
  </si>
  <si>
    <t xml:space="preserve">24CY1778</t>
  </si>
  <si>
    <t xml:space="preserve">2004-12-26</t>
  </si>
  <si>
    <t xml:space="preserve">9073946800</t>
  </si>
  <si>
    <t xml:space="preserve">8018444872</t>
  </si>
  <si>
    <t xml:space="preserve">SUREKA S</t>
  </si>
  <si>
    <t xml:space="preserve">24CY1779</t>
  </si>
  <si>
    <t xml:space="preserve">2003-10-05</t>
  </si>
  <si>
    <t xml:space="preserve">818 Main Road, Coimbatore</t>
  </si>
  <si>
    <t xml:space="preserve">9225582244</t>
  </si>
  <si>
    <t xml:space="preserve">8810008178</t>
  </si>
  <si>
    <t xml:space="preserve">SURUTHIKA S</t>
  </si>
  <si>
    <t xml:space="preserve">24CY1780</t>
  </si>
  <si>
    <t xml:space="preserve">2006-01-12</t>
  </si>
  <si>
    <t xml:space="preserve">9308358924</t>
  </si>
  <si>
    <t xml:space="preserve">8890190785</t>
  </si>
  <si>
    <t xml:space="preserve">SWETHA S</t>
  </si>
  <si>
    <t xml:space="preserve">24CY1781</t>
  </si>
  <si>
    <t xml:space="preserve">2004-03-19</t>
  </si>
  <si>
    <t xml:space="preserve">9800978987</t>
  </si>
  <si>
    <t xml:space="preserve">8187104987</t>
  </si>
  <si>
    <t xml:space="preserve">TAMILARASU S</t>
  </si>
  <si>
    <t xml:space="preserve">24CY1782</t>
  </si>
  <si>
    <t xml:space="preserve">2004-09-20</t>
  </si>
  <si>
    <t xml:space="preserve">9709490530</t>
  </si>
  <si>
    <t xml:space="preserve">8170193106</t>
  </si>
  <si>
    <t xml:space="preserve">THASLEEM S</t>
  </si>
  <si>
    <t xml:space="preserve">24CY1783</t>
  </si>
  <si>
    <t xml:space="preserve">529 Main Road, Coimbatore</t>
  </si>
  <si>
    <t xml:space="preserve">9696006311</t>
  </si>
  <si>
    <t xml:space="preserve">8059254083</t>
  </si>
  <si>
    <t xml:space="preserve">TOSHIKA S</t>
  </si>
  <si>
    <t xml:space="preserve">24CY1784</t>
  </si>
  <si>
    <t xml:space="preserve">9142509233</t>
  </si>
  <si>
    <t xml:space="preserve">8030129665</t>
  </si>
  <si>
    <t xml:space="preserve">VAIMITRAA S</t>
  </si>
  <si>
    <t xml:space="preserve">24CY1785</t>
  </si>
  <si>
    <t xml:space="preserve">2005-10-29</t>
  </si>
  <si>
    <t xml:space="preserve">599 Main Road, Coimbatore</t>
  </si>
  <si>
    <t xml:space="preserve">9172683539</t>
  </si>
  <si>
    <t xml:space="preserve">8429023971</t>
  </si>
  <si>
    <t xml:space="preserve">VARSHA S</t>
  </si>
  <si>
    <t xml:space="preserve">24CY1786</t>
  </si>
  <si>
    <t xml:space="preserve">2003-01-16</t>
  </si>
  <si>
    <t xml:space="preserve">9522248069</t>
  </si>
  <si>
    <t xml:space="preserve">8734330453</t>
  </si>
  <si>
    <t xml:space="preserve">VARUN S</t>
  </si>
  <si>
    <t xml:space="preserve">24CY1787</t>
  </si>
  <si>
    <t xml:space="preserve">2002-12-22</t>
  </si>
  <si>
    <t xml:space="preserve">239 Main Road, Coimbatore</t>
  </si>
  <si>
    <t xml:space="preserve">9420816957</t>
  </si>
  <si>
    <t xml:space="preserve">8778844822</t>
  </si>
  <si>
    <t xml:space="preserve">VIDYABHARATHI S</t>
  </si>
  <si>
    <t xml:space="preserve">24CY1788</t>
  </si>
  <si>
    <t xml:space="preserve">111 Main Road, Coimbatore</t>
  </si>
  <si>
    <t xml:space="preserve">9525679548</t>
  </si>
  <si>
    <t xml:space="preserve">8480293064</t>
  </si>
  <si>
    <t xml:space="preserve">VIKAS S</t>
  </si>
  <si>
    <t xml:space="preserve">24CY1789</t>
  </si>
  <si>
    <t xml:space="preserve">2002-03-10</t>
  </si>
  <si>
    <t xml:space="preserve">9004838202</t>
  </si>
  <si>
    <t xml:space="preserve">8869650375</t>
  </si>
  <si>
    <t xml:space="preserve">VISHALI S</t>
  </si>
  <si>
    <t xml:space="preserve">24CY1790</t>
  </si>
  <si>
    <t xml:space="preserve">2003-03-27</t>
  </si>
  <si>
    <t xml:space="preserve">9457446061</t>
  </si>
  <si>
    <t xml:space="preserve">8562350571</t>
  </si>
  <si>
    <t xml:space="preserve">VISHNU PRIYA S</t>
  </si>
  <si>
    <t xml:space="preserve">24CY1791</t>
  </si>
  <si>
    <t xml:space="preserve">2003-10-21</t>
  </si>
  <si>
    <t xml:space="preserve">9851078679</t>
  </si>
  <si>
    <t xml:space="preserve">8972257862</t>
  </si>
  <si>
    <t xml:space="preserve">YOGISH S</t>
  </si>
  <si>
    <t xml:space="preserve">24CY1792</t>
  </si>
  <si>
    <t xml:space="preserve">800 Main Road, Coimbatore</t>
  </si>
  <si>
    <t xml:space="preserve">9263983433</t>
  </si>
  <si>
    <t xml:space="preserve">8299502279</t>
  </si>
  <si>
    <t xml:space="preserve">ABINAYAKARTHIK S A</t>
  </si>
  <si>
    <t xml:space="preserve">24CY1793</t>
  </si>
  <si>
    <t xml:space="preserve">2006-04-02</t>
  </si>
  <si>
    <t xml:space="preserve">9948674676</t>
  </si>
  <si>
    <t xml:space="preserve">8714157337</t>
  </si>
  <si>
    <t xml:space="preserve">DARSHA NIVAASH S A</t>
  </si>
  <si>
    <t xml:space="preserve">24CY1794</t>
  </si>
  <si>
    <t xml:space="preserve">2002-05-14</t>
  </si>
  <si>
    <t xml:space="preserve">9670475588</t>
  </si>
  <si>
    <t xml:space="preserve">8291034729</t>
  </si>
  <si>
    <t xml:space="preserve">KRISHNAN S A</t>
  </si>
  <si>
    <t xml:space="preserve">24CY1795</t>
  </si>
  <si>
    <t xml:space="preserve">2003-08-14</t>
  </si>
  <si>
    <t xml:space="preserve">961 Main Road, Coimbatore</t>
  </si>
  <si>
    <t xml:space="preserve">9569400876</t>
  </si>
  <si>
    <t xml:space="preserve">8701370386</t>
  </si>
  <si>
    <t xml:space="preserve">TANUJITH S A</t>
  </si>
  <si>
    <t xml:space="preserve">24CY1796</t>
  </si>
  <si>
    <t xml:space="preserve">2003-07-28</t>
  </si>
  <si>
    <t xml:space="preserve">475 Main Road, Coimbatore</t>
  </si>
  <si>
    <t xml:space="preserve">9572393701</t>
  </si>
  <si>
    <t xml:space="preserve">8775801677</t>
  </si>
  <si>
    <t xml:space="preserve">JEFFRIN SOLOMON S B</t>
  </si>
  <si>
    <t xml:space="preserve">24CY1797</t>
  </si>
  <si>
    <t xml:space="preserve">9491439486</t>
  </si>
  <si>
    <t xml:space="preserve">8800137984</t>
  </si>
  <si>
    <t xml:space="preserve">NANTHANA S B</t>
  </si>
  <si>
    <t xml:space="preserve">24CY1798</t>
  </si>
  <si>
    <t xml:space="preserve">2004-06-14</t>
  </si>
  <si>
    <t xml:space="preserve">9668839432</t>
  </si>
  <si>
    <t xml:space="preserve">8272445715</t>
  </si>
  <si>
    <t xml:space="preserve">LOKESHWAR S G</t>
  </si>
  <si>
    <t xml:space="preserve">24CY1799</t>
  </si>
  <si>
    <t xml:space="preserve">2003-05-25</t>
  </si>
  <si>
    <t xml:space="preserve">874 Main Road, Coimbatore</t>
  </si>
  <si>
    <t xml:space="preserve">9385781287</t>
  </si>
  <si>
    <t xml:space="preserve">8709496919</t>
  </si>
  <si>
    <t xml:space="preserve">NITHARSAN S G</t>
  </si>
  <si>
    <t xml:space="preserve">24CY1800</t>
  </si>
  <si>
    <t xml:space="preserve">2004-11-20</t>
  </si>
  <si>
    <t xml:space="preserve">9233047285</t>
  </si>
  <si>
    <t xml:space="preserve">8732901676</t>
  </si>
  <si>
    <t xml:space="preserve">ARYAH S K</t>
  </si>
  <si>
    <t xml:space="preserve">24CY1801</t>
  </si>
  <si>
    <t xml:space="preserve">2003-10-23</t>
  </si>
  <si>
    <t xml:space="preserve">9158838695</t>
  </si>
  <si>
    <t xml:space="preserve">8767617411</t>
  </si>
  <si>
    <t xml:space="preserve">LALISH S K</t>
  </si>
  <si>
    <t xml:space="preserve">24CY1802</t>
  </si>
  <si>
    <t xml:space="preserve">299 Main Road, Coimbatore</t>
  </si>
  <si>
    <t xml:space="preserve">9618451426</t>
  </si>
  <si>
    <t xml:space="preserve">8486052467</t>
  </si>
  <si>
    <t xml:space="preserve">HARICHANTH S M</t>
  </si>
  <si>
    <t xml:space="preserve">24CY1803</t>
  </si>
  <si>
    <t xml:space="preserve">2004-06-12</t>
  </si>
  <si>
    <t xml:space="preserve">9273548407</t>
  </si>
  <si>
    <t xml:space="preserve">8641946587</t>
  </si>
  <si>
    <t xml:space="preserve">SANJAY S M</t>
  </si>
  <si>
    <t xml:space="preserve">24CY1804</t>
  </si>
  <si>
    <t xml:space="preserve">570 Main Road, Coimbatore</t>
  </si>
  <si>
    <t xml:space="preserve">9429986101</t>
  </si>
  <si>
    <t xml:space="preserve">8421654159</t>
  </si>
  <si>
    <t xml:space="preserve">MAHABOOB MARIAM S M B</t>
  </si>
  <si>
    <t xml:space="preserve">24CY1805</t>
  </si>
  <si>
    <t xml:space="preserve">2002-10-09</t>
  </si>
  <si>
    <t xml:space="preserve">9977435808</t>
  </si>
  <si>
    <t xml:space="preserve">8197755383</t>
  </si>
  <si>
    <t xml:space="preserve">KAMALESWARAN S N</t>
  </si>
  <si>
    <t xml:space="preserve">24CY1806</t>
  </si>
  <si>
    <t xml:space="preserve">9988553729</t>
  </si>
  <si>
    <t xml:space="preserve">8426771296</t>
  </si>
  <si>
    <t xml:space="preserve">HARSHAD S P</t>
  </si>
  <si>
    <t xml:space="preserve">24CY1807</t>
  </si>
  <si>
    <t xml:space="preserve">9837538006</t>
  </si>
  <si>
    <t xml:space="preserve">8299194091</t>
  </si>
  <si>
    <t xml:space="preserve">KAWIN RAJ S P</t>
  </si>
  <si>
    <t xml:space="preserve">24CY1808</t>
  </si>
  <si>
    <t xml:space="preserve">524 Main Road, Coimbatore</t>
  </si>
  <si>
    <t xml:space="preserve">9304129051</t>
  </si>
  <si>
    <t xml:space="preserve">8937925715</t>
  </si>
  <si>
    <t xml:space="preserve">MONISHAA S S R</t>
  </si>
  <si>
    <t xml:space="preserve">24CY1809</t>
  </si>
  <si>
    <t xml:space="preserve">2003-12-16</t>
  </si>
  <si>
    <t xml:space="preserve">931 Main Road, Coimbatore</t>
  </si>
  <si>
    <t xml:space="preserve">9315635447</t>
  </si>
  <si>
    <t xml:space="preserve">8584275535</t>
  </si>
  <si>
    <t xml:space="preserve">VISHAL DHARSAN S R</t>
  </si>
  <si>
    <t xml:space="preserve">24CY1810</t>
  </si>
  <si>
    <t xml:space="preserve">2004-10-24</t>
  </si>
  <si>
    <t xml:space="preserve">9474755116</t>
  </si>
  <si>
    <t xml:space="preserve">8594726613</t>
  </si>
  <si>
    <t xml:space="preserve">AAKASH S S</t>
  </si>
  <si>
    <t xml:space="preserve">24CY1811</t>
  </si>
  <si>
    <t xml:space="preserve">2004-04-06</t>
  </si>
  <si>
    <t xml:space="preserve">9018039839</t>
  </si>
  <si>
    <t xml:space="preserve">8101370966</t>
  </si>
  <si>
    <t xml:space="preserve">DIVAKAR S S</t>
  </si>
  <si>
    <t xml:space="preserve">24CY1812</t>
  </si>
  <si>
    <t xml:space="preserve">9974892287</t>
  </si>
  <si>
    <t xml:space="preserve">8479527575</t>
  </si>
  <si>
    <t xml:space="preserve">HEMANTH S S</t>
  </si>
  <si>
    <t xml:space="preserve">24CY1813</t>
  </si>
  <si>
    <t xml:space="preserve">2004-12-15</t>
  </si>
  <si>
    <t xml:space="preserve">516 Main Road, Coimbatore</t>
  </si>
  <si>
    <t xml:space="preserve">9758203953</t>
  </si>
  <si>
    <t xml:space="preserve">8192984043</t>
  </si>
  <si>
    <t xml:space="preserve">SHINY S SYLVIA</t>
  </si>
  <si>
    <t xml:space="preserve">24CY1814</t>
  </si>
  <si>
    <t xml:space="preserve">2003-11-16</t>
  </si>
  <si>
    <t xml:space="preserve">952 Main Road, Coimbatore</t>
  </si>
  <si>
    <t xml:space="preserve">9789389109</t>
  </si>
  <si>
    <t xml:space="preserve">8202460184</t>
  </si>
  <si>
    <t xml:space="preserve">LALITH KISHORE S T</t>
  </si>
  <si>
    <t xml:space="preserve">24CY1815</t>
  </si>
  <si>
    <t xml:space="preserve">9023924204</t>
  </si>
  <si>
    <t xml:space="preserve">8106633494</t>
  </si>
  <si>
    <t xml:space="preserve">ABINESH S V</t>
  </si>
  <si>
    <t xml:space="preserve">24CY1816</t>
  </si>
  <si>
    <t xml:space="preserve">2002-06-09</t>
  </si>
  <si>
    <t xml:space="preserve">167 Main Road, Coimbatore</t>
  </si>
  <si>
    <t xml:space="preserve">9880084499</t>
  </si>
  <si>
    <t xml:space="preserve">8159513920</t>
  </si>
  <si>
    <t xml:space="preserve">NIVIYA S V</t>
  </si>
  <si>
    <t xml:space="preserve">24CY1817</t>
  </si>
  <si>
    <t xml:space="preserve">9707025992</t>
  </si>
  <si>
    <t xml:space="preserve">8623162736</t>
  </si>
  <si>
    <t xml:space="preserve">SANJAY S V</t>
  </si>
  <si>
    <t xml:space="preserve">24CY1818</t>
  </si>
  <si>
    <t xml:space="preserve">2004-11-07</t>
  </si>
  <si>
    <t xml:space="preserve">9468970573</t>
  </si>
  <si>
    <t xml:space="preserve">8008245643</t>
  </si>
  <si>
    <t xml:space="preserve">ARUN S.R</t>
  </si>
  <si>
    <t xml:space="preserve">24CY1819</t>
  </si>
  <si>
    <t xml:space="preserve">2003-06-07</t>
  </si>
  <si>
    <t xml:space="preserve">9602961006</t>
  </si>
  <si>
    <t xml:space="preserve">8793788764</t>
  </si>
  <si>
    <t xml:space="preserve">MAANASA SADAGOPAN</t>
  </si>
  <si>
    <t xml:space="preserve">24CY1820</t>
  </si>
  <si>
    <t xml:space="preserve">469 Main Road, Coimbatore</t>
  </si>
  <si>
    <t xml:space="preserve">9966445604</t>
  </si>
  <si>
    <t xml:space="preserve">8231394812</t>
  </si>
  <si>
    <t xml:space="preserve">LENIN SAMUVEL A</t>
  </si>
  <si>
    <t xml:space="preserve">24CY1821</t>
  </si>
  <si>
    <t xml:space="preserve">2002-08-04</t>
  </si>
  <si>
    <t xml:space="preserve">9976291112</t>
  </si>
  <si>
    <t xml:space="preserve">8037920807</t>
  </si>
  <si>
    <t xml:space="preserve">Principal SIET</t>
  </si>
  <si>
    <t xml:space="preserve">24CY1822</t>
  </si>
  <si>
    <t xml:space="preserve">2006-09-04</t>
  </si>
  <si>
    <t xml:space="preserve">833 Main Road, Coimbatore</t>
  </si>
  <si>
    <t xml:space="preserve">9786316870</t>
  </si>
  <si>
    <t xml:space="preserve">8434808185</t>
  </si>
  <si>
    <t xml:space="preserve">HARRSHA SREENANDHAN.M</t>
  </si>
  <si>
    <t xml:space="preserve">24CY1823</t>
  </si>
  <si>
    <t xml:space="preserve">9891433190</t>
  </si>
  <si>
    <t xml:space="preserve">8044749793</t>
  </si>
  <si>
    <t xml:space="preserve">GAUSIK SRINIVASAN</t>
  </si>
  <si>
    <t xml:space="preserve">24CY1824</t>
  </si>
  <si>
    <t xml:space="preserve">2004-06-02</t>
  </si>
  <si>
    <t xml:space="preserve">9582249845</t>
  </si>
  <si>
    <t xml:space="preserve">8805031759</t>
  </si>
  <si>
    <t xml:space="preserve">AJAYKRISHNAN T</t>
  </si>
  <si>
    <t xml:space="preserve">24CY1825</t>
  </si>
  <si>
    <t xml:space="preserve">9181138719</t>
  </si>
  <si>
    <t xml:space="preserve">8693432781</t>
  </si>
  <si>
    <t xml:space="preserve">AKASH T</t>
  </si>
  <si>
    <t xml:space="preserve">24CY1826</t>
  </si>
  <si>
    <t xml:space="preserve">2005-05-26</t>
  </si>
  <si>
    <t xml:space="preserve">735 Main Road, Coimbatore</t>
  </si>
  <si>
    <t xml:space="preserve">9071042969</t>
  </si>
  <si>
    <t xml:space="preserve">8790953602</t>
  </si>
  <si>
    <t xml:space="preserve">ANURATHI T</t>
  </si>
  <si>
    <t xml:space="preserve">24CY1827</t>
  </si>
  <si>
    <t xml:space="preserve">9571033727</t>
  </si>
  <si>
    <t xml:space="preserve">8059099081</t>
  </si>
  <si>
    <t xml:space="preserve">ASVIKA T</t>
  </si>
  <si>
    <t xml:space="preserve">24CY1828</t>
  </si>
  <si>
    <t xml:space="preserve">66 Main Road, Coimbatore</t>
  </si>
  <si>
    <t xml:space="preserve">9005314490</t>
  </si>
  <si>
    <t xml:space="preserve">8791890783</t>
  </si>
  <si>
    <t xml:space="preserve">BOOMIKA T</t>
  </si>
  <si>
    <t xml:space="preserve">24CY1829</t>
  </si>
  <si>
    <t xml:space="preserve">2002-09-03</t>
  </si>
  <si>
    <t xml:space="preserve">9233817385</t>
  </si>
  <si>
    <t xml:space="preserve">8151284361</t>
  </si>
  <si>
    <t xml:space="preserve">DHARSHINI T</t>
  </si>
  <si>
    <t xml:space="preserve">24CY1830</t>
  </si>
  <si>
    <t xml:space="preserve">2006-10-04</t>
  </si>
  <si>
    <t xml:space="preserve">9359093920</t>
  </si>
  <si>
    <t xml:space="preserve">8094933328</t>
  </si>
  <si>
    <t xml:space="preserve">DINESH SRIRAM VELAN T</t>
  </si>
  <si>
    <t xml:space="preserve">24CY1831</t>
  </si>
  <si>
    <t xml:space="preserve">2006-11-16</t>
  </si>
  <si>
    <t xml:space="preserve">9234245355</t>
  </si>
  <si>
    <t xml:space="preserve">8842125881</t>
  </si>
  <si>
    <t xml:space="preserve">HARSHINI T</t>
  </si>
  <si>
    <t xml:space="preserve">24CY1832</t>
  </si>
  <si>
    <t xml:space="preserve">689 Main Road, Coimbatore</t>
  </si>
  <si>
    <t xml:space="preserve">9339732013</t>
  </si>
  <si>
    <t xml:space="preserve">8050265588</t>
  </si>
  <si>
    <t xml:space="preserve">KARTHICK SANJEEVI T</t>
  </si>
  <si>
    <t xml:space="preserve">24CY1833</t>
  </si>
  <si>
    <t xml:space="preserve">2006-11-23</t>
  </si>
  <si>
    <t xml:space="preserve">9528624335</t>
  </si>
  <si>
    <t xml:space="preserve">8440930290</t>
  </si>
  <si>
    <t xml:space="preserve">KAVIYAN T</t>
  </si>
  <si>
    <t xml:space="preserve">24CY1834</t>
  </si>
  <si>
    <t xml:space="preserve">9021704796</t>
  </si>
  <si>
    <t xml:space="preserve">8237225112</t>
  </si>
  <si>
    <t xml:space="preserve">PRADEEP T</t>
  </si>
  <si>
    <t xml:space="preserve">24CY1835</t>
  </si>
  <si>
    <t xml:space="preserve">2002-10-25</t>
  </si>
  <si>
    <t xml:space="preserve">9882550257</t>
  </si>
  <si>
    <t xml:space="preserve">8062817990</t>
  </si>
  <si>
    <t xml:space="preserve">SADHANA T</t>
  </si>
  <si>
    <t xml:space="preserve">24CY1836</t>
  </si>
  <si>
    <t xml:space="preserve">2003-06-12</t>
  </si>
  <si>
    <t xml:space="preserve">9137541641</t>
  </si>
  <si>
    <t xml:space="preserve">8543798081</t>
  </si>
  <si>
    <t xml:space="preserve">SAKTHIVISHAL T</t>
  </si>
  <si>
    <t xml:space="preserve">24CY1837</t>
  </si>
  <si>
    <t xml:space="preserve">2003-06-29</t>
  </si>
  <si>
    <t xml:space="preserve">9267324294</t>
  </si>
  <si>
    <t xml:space="preserve">8019611744</t>
  </si>
  <si>
    <t xml:space="preserve">SURYA T</t>
  </si>
  <si>
    <t xml:space="preserve">24CY1838</t>
  </si>
  <si>
    <t xml:space="preserve">342 Main Road, Coimbatore</t>
  </si>
  <si>
    <t xml:space="preserve">9270095814</t>
  </si>
  <si>
    <t xml:space="preserve">8100445294</t>
  </si>
  <si>
    <t xml:space="preserve">VARSHA T</t>
  </si>
  <si>
    <t xml:space="preserve">24CY1839</t>
  </si>
  <si>
    <t xml:space="preserve">376 Main Road, Coimbatore</t>
  </si>
  <si>
    <t xml:space="preserve">9756349458</t>
  </si>
  <si>
    <t xml:space="preserve">8723154443</t>
  </si>
  <si>
    <t xml:space="preserve">VIKAS T K</t>
  </si>
  <si>
    <t xml:space="preserve">24CY1840</t>
  </si>
  <si>
    <t xml:space="preserve">917 Main Road, Coimbatore</t>
  </si>
  <si>
    <t xml:space="preserve">9327071182</t>
  </si>
  <si>
    <t xml:space="preserve">8423206841</t>
  </si>
  <si>
    <t xml:space="preserve">VASANTH T N</t>
  </si>
  <si>
    <t xml:space="preserve">24CY1841</t>
  </si>
  <si>
    <t xml:space="preserve">2005-05-10</t>
  </si>
  <si>
    <t xml:space="preserve">9981880202</t>
  </si>
  <si>
    <t xml:space="preserve">8925454178</t>
  </si>
  <si>
    <t xml:space="preserve">KANISHKA T S</t>
  </si>
  <si>
    <t xml:space="preserve">24CY1842</t>
  </si>
  <si>
    <t xml:space="preserve">2004-10-20</t>
  </si>
  <si>
    <t xml:space="preserve">9662116964</t>
  </si>
  <si>
    <t xml:space="preserve">8295936508</t>
  </si>
  <si>
    <t xml:space="preserve">THEEPAN TK</t>
  </si>
  <si>
    <t xml:space="preserve">24CY1843</t>
  </si>
  <si>
    <t xml:space="preserve">9152850677</t>
  </si>
  <si>
    <t xml:space="preserve">8560588891</t>
  </si>
  <si>
    <t xml:space="preserve">ASWIGA U</t>
  </si>
  <si>
    <t xml:space="preserve">24CY1844</t>
  </si>
  <si>
    <t xml:space="preserve">2004-07-27</t>
  </si>
  <si>
    <t xml:space="preserve">9138371571</t>
  </si>
  <si>
    <t xml:space="preserve">8243546860</t>
  </si>
  <si>
    <t xml:space="preserve">NITHISH U</t>
  </si>
  <si>
    <t xml:space="preserve">24CY1845</t>
  </si>
  <si>
    <t xml:space="preserve">9385740132</t>
  </si>
  <si>
    <t xml:space="preserve">8814167292</t>
  </si>
  <si>
    <t xml:space="preserve">RITHIKA SREE U</t>
  </si>
  <si>
    <t xml:space="preserve">24CY1846</t>
  </si>
  <si>
    <t xml:space="preserve">2006-09-16</t>
  </si>
  <si>
    <t xml:space="preserve">9415208172</t>
  </si>
  <si>
    <t xml:space="preserve">8575364961</t>
  </si>
  <si>
    <t xml:space="preserve">YAGAVASANJAYKUMAR U</t>
  </si>
  <si>
    <t xml:space="preserve">24CY1847</t>
  </si>
  <si>
    <t xml:space="preserve">565 Main Road, Coimbatore</t>
  </si>
  <si>
    <t xml:space="preserve">9553094405</t>
  </si>
  <si>
    <t xml:space="preserve">8968153300</t>
  </si>
  <si>
    <t xml:space="preserve">KATHIR U S</t>
  </si>
  <si>
    <t xml:space="preserve">24CY1848</t>
  </si>
  <si>
    <t xml:space="preserve">2006-10-25</t>
  </si>
  <si>
    <t xml:space="preserve">9022032927</t>
  </si>
  <si>
    <t xml:space="preserve">8033709756</t>
  </si>
  <si>
    <t xml:space="preserve">THANUJA SIBAANI U S</t>
  </si>
  <si>
    <t xml:space="preserve">24CY1849</t>
  </si>
  <si>
    <t xml:space="preserve">2006-05-14</t>
  </si>
  <si>
    <t xml:space="preserve">9540196465</t>
  </si>
  <si>
    <t xml:space="preserve">8465865463</t>
  </si>
  <si>
    <t xml:space="preserve">AISHWARYA V</t>
  </si>
  <si>
    <t xml:space="preserve">24CY1850</t>
  </si>
  <si>
    <t xml:space="preserve">9037807230</t>
  </si>
  <si>
    <t xml:space="preserve">8796558886</t>
  </si>
  <si>
    <t xml:space="preserve">DHAKSHIDA V</t>
  </si>
  <si>
    <t xml:space="preserve">24CY1851</t>
  </si>
  <si>
    <t xml:space="preserve">355 Main Road, Coimbatore</t>
  </si>
  <si>
    <t xml:space="preserve">9363766376</t>
  </si>
  <si>
    <t xml:space="preserve">8760031247</t>
  </si>
  <si>
    <t xml:space="preserve">DHARHIHA V</t>
  </si>
  <si>
    <t xml:space="preserve">24CY1852</t>
  </si>
  <si>
    <t xml:space="preserve">2004-04-12</t>
  </si>
  <si>
    <t xml:space="preserve">509 Main Road, Coimbatore</t>
  </si>
  <si>
    <t xml:space="preserve">9506384303</t>
  </si>
  <si>
    <t xml:space="preserve">8800349863</t>
  </si>
  <si>
    <t xml:space="preserve">GOKUL V</t>
  </si>
  <si>
    <t xml:space="preserve">24CY1853</t>
  </si>
  <si>
    <t xml:space="preserve">9229842812</t>
  </si>
  <si>
    <t xml:space="preserve">8721002261</t>
  </si>
  <si>
    <t xml:space="preserve">GOPINATH V</t>
  </si>
  <si>
    <t xml:space="preserve">24CY1854</t>
  </si>
  <si>
    <t xml:space="preserve">2006-11-21</t>
  </si>
  <si>
    <t xml:space="preserve">23 Main Road, Coimbatore</t>
  </si>
  <si>
    <t xml:space="preserve">9360528504</t>
  </si>
  <si>
    <t xml:space="preserve">8143983191</t>
  </si>
  <si>
    <t xml:space="preserve">GOWTHAM V</t>
  </si>
  <si>
    <t xml:space="preserve">24CY1855</t>
  </si>
  <si>
    <t xml:space="preserve">2006-09-15</t>
  </si>
  <si>
    <t xml:space="preserve">9068294780</t>
  </si>
  <si>
    <t xml:space="preserve">8213380063</t>
  </si>
  <si>
    <t xml:space="preserve">HARISHRAJ V</t>
  </si>
  <si>
    <t xml:space="preserve">24CY1856</t>
  </si>
  <si>
    <t xml:space="preserve">138 Main Road, Coimbatore</t>
  </si>
  <si>
    <t xml:space="preserve">9977335003</t>
  </si>
  <si>
    <t xml:space="preserve">8643472515</t>
  </si>
  <si>
    <t xml:space="preserve">JAIHINDH V</t>
  </si>
  <si>
    <t xml:space="preserve">24CY1857</t>
  </si>
  <si>
    <t xml:space="preserve">2003-01-05</t>
  </si>
  <si>
    <t xml:space="preserve">9995639293</t>
  </si>
  <si>
    <t xml:space="preserve">8641021947</t>
  </si>
  <si>
    <t xml:space="preserve">Jeevi Raj v</t>
  </si>
  <si>
    <t xml:space="preserve">24CY1858</t>
  </si>
  <si>
    <t xml:space="preserve">9500601465</t>
  </si>
  <si>
    <t xml:space="preserve">8710047860</t>
  </si>
  <si>
    <t xml:space="preserve">KAMALIKA V</t>
  </si>
  <si>
    <t xml:space="preserve">24CY1859</t>
  </si>
  <si>
    <t xml:space="preserve">2005-04-17</t>
  </si>
  <si>
    <t xml:space="preserve">9278943928</t>
  </si>
  <si>
    <t xml:space="preserve">8815222470</t>
  </si>
  <si>
    <t xml:space="preserve">KAMALINI V</t>
  </si>
  <si>
    <t xml:space="preserve">24CY1860</t>
  </si>
  <si>
    <t xml:space="preserve">2004-07-04</t>
  </si>
  <si>
    <t xml:space="preserve">633 Main Road, Coimbatore</t>
  </si>
  <si>
    <t xml:space="preserve">9715349159</t>
  </si>
  <si>
    <t xml:space="preserve">8022286795</t>
  </si>
  <si>
    <t xml:space="preserve">KARUNYA SRI V</t>
  </si>
  <si>
    <t xml:space="preserve">24CY1861</t>
  </si>
  <si>
    <t xml:space="preserve">2002-08-13</t>
  </si>
  <si>
    <t xml:space="preserve">9723225933</t>
  </si>
  <si>
    <t xml:space="preserve">8777859464</t>
  </si>
  <si>
    <t xml:space="preserve">KIRUTHICK V</t>
  </si>
  <si>
    <t xml:space="preserve">24CY1862</t>
  </si>
  <si>
    <t xml:space="preserve">2002-10-26</t>
  </si>
  <si>
    <t xml:space="preserve">9053033248</t>
  </si>
  <si>
    <t xml:space="preserve">8494261825</t>
  </si>
  <si>
    <t xml:space="preserve">KISHORE V</t>
  </si>
  <si>
    <t xml:space="preserve">24CY1863</t>
  </si>
  <si>
    <t xml:space="preserve">2005-08-18</t>
  </si>
  <si>
    <t xml:space="preserve">9018736421</t>
  </si>
  <si>
    <t xml:space="preserve">8882859727</t>
  </si>
  <si>
    <t xml:space="preserve">MADHUMITHA V</t>
  </si>
  <si>
    <t xml:space="preserve">24CY1864</t>
  </si>
  <si>
    <t xml:space="preserve">9585037813</t>
  </si>
  <si>
    <t xml:space="preserve">8522725426</t>
  </si>
  <si>
    <t xml:space="preserve">NAVEEN V</t>
  </si>
  <si>
    <t xml:space="preserve">24CY1865</t>
  </si>
  <si>
    <t xml:space="preserve">728 Main Road, Coimbatore</t>
  </si>
  <si>
    <t xml:space="preserve">9223511748</t>
  </si>
  <si>
    <t xml:space="preserve">8687799286</t>
  </si>
  <si>
    <t xml:space="preserve">NITHINPRABU V</t>
  </si>
  <si>
    <t xml:space="preserve">24CY1866</t>
  </si>
  <si>
    <t xml:space="preserve">9679449313</t>
  </si>
  <si>
    <t xml:space="preserve">8665875212</t>
  </si>
  <si>
    <t xml:space="preserve">NIVETHA V</t>
  </si>
  <si>
    <t xml:space="preserve">24CY1867</t>
  </si>
  <si>
    <t xml:space="preserve">9468698784</t>
  </si>
  <si>
    <t xml:space="preserve">8305511697</t>
  </si>
  <si>
    <t xml:space="preserve">PARINITA ROSHAN V</t>
  </si>
  <si>
    <t xml:space="preserve">24CY1868</t>
  </si>
  <si>
    <t xml:space="preserve">9598492625</t>
  </si>
  <si>
    <t xml:space="preserve">8282841411</t>
  </si>
  <si>
    <t xml:space="preserve">RAJASHREE V</t>
  </si>
  <si>
    <t xml:space="preserve">24CY1869</t>
  </si>
  <si>
    <t xml:space="preserve">9848823494</t>
  </si>
  <si>
    <t xml:space="preserve">8292001664</t>
  </si>
  <si>
    <t xml:space="preserve">RANJITH KUMAR V</t>
  </si>
  <si>
    <t xml:space="preserve">24CY1870</t>
  </si>
  <si>
    <t xml:space="preserve">9240243352</t>
  </si>
  <si>
    <t xml:space="preserve">8428364009</t>
  </si>
  <si>
    <t xml:space="preserve">SAKTHIVEL V</t>
  </si>
  <si>
    <t xml:space="preserve">24CY1871</t>
  </si>
  <si>
    <t xml:space="preserve">2005-09-05</t>
  </si>
  <si>
    <t xml:space="preserve">128 Main Road, Coimbatore</t>
  </si>
  <si>
    <t xml:space="preserve">9747191092</t>
  </si>
  <si>
    <t xml:space="preserve">8439366721</t>
  </si>
  <si>
    <t xml:space="preserve">SIDHESH V</t>
  </si>
  <si>
    <t xml:space="preserve">24CY1872</t>
  </si>
  <si>
    <t xml:space="preserve">2002-11-21</t>
  </si>
  <si>
    <t xml:space="preserve">9524014311</t>
  </si>
  <si>
    <t xml:space="preserve">8115086671</t>
  </si>
  <si>
    <t xml:space="preserve">SRIVATSAN V</t>
  </si>
  <si>
    <t xml:space="preserve">24CY1873</t>
  </si>
  <si>
    <t xml:space="preserve">2002-08-18</t>
  </si>
  <si>
    <t xml:space="preserve">9167049101</t>
  </si>
  <si>
    <t xml:space="preserve">8712254914</t>
  </si>
  <si>
    <t xml:space="preserve">VETRISELVAN V</t>
  </si>
  <si>
    <t xml:space="preserve">24CY1874</t>
  </si>
  <si>
    <t xml:space="preserve">2002-01-03</t>
  </si>
  <si>
    <t xml:space="preserve">875 Main Road, Coimbatore</t>
  </si>
  <si>
    <t xml:space="preserve">9200975647</t>
  </si>
  <si>
    <t xml:space="preserve">8533223804</t>
  </si>
  <si>
    <t xml:space="preserve">VIMAL JOTHI V</t>
  </si>
  <si>
    <t xml:space="preserve">24CY1875</t>
  </si>
  <si>
    <t xml:space="preserve">2002-11-20</t>
  </si>
  <si>
    <t xml:space="preserve">9358330892</t>
  </si>
  <si>
    <t xml:space="preserve">8910868249</t>
  </si>
  <si>
    <t xml:space="preserve">VINODHINI V</t>
  </si>
  <si>
    <t xml:space="preserve">24CY1876</t>
  </si>
  <si>
    <t xml:space="preserve">2006-07-04</t>
  </si>
  <si>
    <t xml:space="preserve">114 Main Road, Coimbatore</t>
  </si>
  <si>
    <t xml:space="preserve">9581741936</t>
  </si>
  <si>
    <t xml:space="preserve">8026511505</t>
  </si>
  <si>
    <t xml:space="preserve">VISHNU V</t>
  </si>
  <si>
    <t xml:space="preserve">24CY1877</t>
  </si>
  <si>
    <t xml:space="preserve">2003-12-23</t>
  </si>
  <si>
    <t xml:space="preserve">9346304451</t>
  </si>
  <si>
    <t xml:space="preserve">8473152702</t>
  </si>
  <si>
    <t xml:space="preserve">DURGA V B</t>
  </si>
  <si>
    <t xml:space="preserve">24CY1878</t>
  </si>
  <si>
    <t xml:space="preserve">2002-03-29</t>
  </si>
  <si>
    <t xml:space="preserve">9460633446</t>
  </si>
  <si>
    <t xml:space="preserve">8019411427</t>
  </si>
  <si>
    <t xml:space="preserve">MITRA SRI V G</t>
  </si>
  <si>
    <t xml:space="preserve">24CY1879</t>
  </si>
  <si>
    <t xml:space="preserve">2006-04-23</t>
  </si>
  <si>
    <t xml:space="preserve">173 Main Road, Coimbatore</t>
  </si>
  <si>
    <t xml:space="preserve">9519665397</t>
  </si>
  <si>
    <t xml:space="preserve">8010975511</t>
  </si>
  <si>
    <t xml:space="preserve">ANJANA V J</t>
  </si>
  <si>
    <t xml:space="preserve">24CY1880</t>
  </si>
  <si>
    <t xml:space="preserve">2004-05-25</t>
  </si>
  <si>
    <t xml:space="preserve">9325204464</t>
  </si>
  <si>
    <t xml:space="preserve">8404999059</t>
  </si>
  <si>
    <t xml:space="preserve">HARINIE V K</t>
  </si>
  <si>
    <t xml:space="preserve">24CY1881</t>
  </si>
  <si>
    <t xml:space="preserve">2006-03-08</t>
  </si>
  <si>
    <t xml:space="preserve">265 Main Road, Coimbatore</t>
  </si>
  <si>
    <t xml:space="preserve">9866329200</t>
  </si>
  <si>
    <t xml:space="preserve">8734762127</t>
  </si>
  <si>
    <t xml:space="preserve">LOGESHWARAN V K</t>
  </si>
  <si>
    <t xml:space="preserve">24CY1882</t>
  </si>
  <si>
    <t xml:space="preserve">2002-02-15</t>
  </si>
  <si>
    <t xml:space="preserve">670 Main Road, Coimbatore</t>
  </si>
  <si>
    <t xml:space="preserve">9852762202</t>
  </si>
  <si>
    <t xml:space="preserve">8222851834</t>
  </si>
  <si>
    <t xml:space="preserve">VIGNESH V K</t>
  </si>
  <si>
    <t xml:space="preserve">24CY1883</t>
  </si>
  <si>
    <t xml:space="preserve">2002-11-22</t>
  </si>
  <si>
    <t xml:space="preserve">9652322436</t>
  </si>
  <si>
    <t xml:space="preserve">8506483162</t>
  </si>
  <si>
    <t xml:space="preserve">SAUJANYA V L</t>
  </si>
  <si>
    <t xml:space="preserve">24CY1884</t>
  </si>
  <si>
    <t xml:space="preserve">2005-07-27</t>
  </si>
  <si>
    <t xml:space="preserve">9508342446</t>
  </si>
  <si>
    <t xml:space="preserve">8847210629</t>
  </si>
  <si>
    <t xml:space="preserve">SHANMUGAPRIYAA V R</t>
  </si>
  <si>
    <t xml:space="preserve">24CY1885</t>
  </si>
  <si>
    <t xml:space="preserve">2003-03-22</t>
  </si>
  <si>
    <t xml:space="preserve">56 Main Road, Coimbatore</t>
  </si>
  <si>
    <t xml:space="preserve">9769764511</t>
  </si>
  <si>
    <t xml:space="preserve">8121383773</t>
  </si>
  <si>
    <t xml:space="preserve">AKSHAYA V S</t>
  </si>
  <si>
    <t xml:space="preserve">24CY1886</t>
  </si>
  <si>
    <t xml:space="preserve">2005-01-05</t>
  </si>
  <si>
    <t xml:space="preserve">9301221180</t>
  </si>
  <si>
    <t xml:space="preserve">8309277943</t>
  </si>
  <si>
    <t xml:space="preserve">DHIBIKSHA V S</t>
  </si>
  <si>
    <t xml:space="preserve">24CY1887</t>
  </si>
  <si>
    <t xml:space="preserve">9897868713</t>
  </si>
  <si>
    <t xml:space="preserve">8957321015</t>
  </si>
  <si>
    <t xml:space="preserve">SANVARSINI V S</t>
  </si>
  <si>
    <t xml:space="preserve">24CY1888</t>
  </si>
  <si>
    <t xml:space="preserve">2004-09-19</t>
  </si>
  <si>
    <t xml:space="preserve">9189868914</t>
  </si>
  <si>
    <t xml:space="preserve">8364797527</t>
  </si>
  <si>
    <t xml:space="preserve">SHIVANI V S</t>
  </si>
  <si>
    <t xml:space="preserve">24CY1889</t>
  </si>
  <si>
    <t xml:space="preserve">9536608249</t>
  </si>
  <si>
    <t xml:space="preserve">8203987340</t>
  </si>
  <si>
    <t xml:space="preserve">PRATHIKSHA V T</t>
  </si>
  <si>
    <t xml:space="preserve">24CY1890</t>
  </si>
  <si>
    <t xml:space="preserve">9482077469</t>
  </si>
  <si>
    <t xml:space="preserve">8992918328</t>
  </si>
  <si>
    <t xml:space="preserve">AARTHI V.G</t>
  </si>
  <si>
    <t xml:space="preserve">24CY1891</t>
  </si>
  <si>
    <t xml:space="preserve">9573344099</t>
  </si>
  <si>
    <t xml:space="preserve">8230441729</t>
  </si>
  <si>
    <t xml:space="preserve">DEEPAK VAIDHYANATHAN</t>
  </si>
  <si>
    <t xml:space="preserve">24CY1892</t>
  </si>
  <si>
    <t xml:space="preserve">2002-10-24</t>
  </si>
  <si>
    <t xml:space="preserve">9703739384</t>
  </si>
  <si>
    <t xml:space="preserve">8313064252</t>
  </si>
  <si>
    <t xml:space="preserve">Gayathiri Vitobaa</t>
  </si>
  <si>
    <t xml:space="preserve">24CY1893</t>
  </si>
  <si>
    <t xml:space="preserve">2005-02-19</t>
  </si>
  <si>
    <t xml:space="preserve">9257784631</t>
  </si>
  <si>
    <t xml:space="preserve">8968777466</t>
  </si>
  <si>
    <t xml:space="preserve">ERIC SOLOMON W C</t>
  </si>
  <si>
    <t xml:space="preserve">24CY1894</t>
  </si>
  <si>
    <t xml:space="preserve">2005-04-12</t>
  </si>
  <si>
    <t xml:space="preserve">236 Main Road, Coimbatore</t>
  </si>
  <si>
    <t xml:space="preserve">9640016392</t>
  </si>
  <si>
    <t xml:space="preserve">8732517433</t>
  </si>
  <si>
    <t xml:space="preserve">ABINAYA SRI Y S</t>
  </si>
  <si>
    <t xml:space="preserve">24CY1895</t>
  </si>
  <si>
    <t xml:space="preserve">65 Main Road, Coimbatore</t>
  </si>
  <si>
    <t xml:space="preserve">9021054501</t>
  </si>
  <si>
    <t xml:space="preserve">8529275200</t>
  </si>
  <si>
    <t xml:space="preserve">YASIR PARVEZ Z</t>
  </si>
  <si>
    <t xml:space="preserve">24CY1896</t>
  </si>
  <si>
    <t xml:space="preserve">2005-03-25</t>
  </si>
  <si>
    <t xml:space="preserve">9918401324</t>
  </si>
  <si>
    <t xml:space="preserve">8139371901</t>
  </si>
  <si>
    <t xml:space="preserve">Note: Marks were matched to students by row order (source marks file row 2 -&gt; student row 2, etc.). The marks workbook originally contained 910 rows; only the first 896 (matching the student roster) were used. Confirm this ordering reflects the correct student-to-mark mapping.</t>
  </si>
  <si>
    <t xml:space="preserve">CYBER (B.E-CSE Cyber Security) — Class Performance Summary</t>
  </si>
  <si>
    <t xml:space="preserve">Total Students</t>
  </si>
  <si>
    <t xml:space="preserve">Hostellers</t>
  </si>
  <si>
    <t xml:space="preserve">Dayscholars</t>
  </si>
  <si>
    <t xml:space="preserve">Overall Pass</t>
  </si>
  <si>
    <t xml:space="preserve">Overall Fail</t>
  </si>
  <si>
    <t xml:space="preserve">Subject-wise Averages</t>
  </si>
  <si>
    <t xml:space="preserve">Subject</t>
  </si>
  <si>
    <t xml:space="preserve">Average Mark</t>
  </si>
  <si>
    <t xml:space="preserve">Pass % (non-RA)</t>
  </si>
  <si>
    <t xml:space="preserve">PDS</t>
  </si>
  <si>
    <t xml:space="preserve">ADS</t>
  </si>
  <si>
    <t xml:space="preserve">DAA</t>
  </si>
  <si>
    <t xml:space="preserve">DBMS</t>
  </si>
  <si>
    <t xml:space="preserve">AJP</t>
  </si>
  <si>
    <t xml:space="preserve">OOPS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</si>
</sst>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%"/>
    <numFmt numFmtId="166" formatCode="0.0\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EAD1D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29" min="12" style="0" width="9"/>
    <col collapsed="false" customWidth="true" hidden="false" outlineLevel="0" max="30" min="30" style="0" width="12"/>
    <col collapsed="false" customWidth="true" hidden="false" outlineLevel="0" max="31" min="31" style="0" width="11"/>
    <col collapsed="false" customWidth="true" hidden="false" outlineLevel="0" max="32" min="3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2" t="n">
        <v>1</v>
      </c>
      <c r="B2" s="3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3" t="s">
        <v>39</v>
      </c>
      <c r="J2" s="2" t="s">
        <v>40</v>
      </c>
      <c r="K2" s="2" t="s">
        <v>41</v>
      </c>
      <c r="L2" s="4" t="n">
        <v>84</v>
      </c>
      <c r="M2" s="4" t="s">
        <v>42</v>
      </c>
      <c r="N2" s="5" t="n">
        <v>84</v>
      </c>
      <c r="O2" s="6" t="n">
        <v>86</v>
      </c>
      <c r="P2" s="6" t="s">
        <v>42</v>
      </c>
      <c r="Q2" s="7" t="n">
        <v>86</v>
      </c>
      <c r="R2" s="8" t="n">
        <v>78</v>
      </c>
      <c r="S2" s="8" t="s">
        <v>43</v>
      </c>
      <c r="T2" s="9" t="n">
        <v>78</v>
      </c>
      <c r="U2" s="10" t="n">
        <v>87</v>
      </c>
      <c r="V2" s="10" t="s">
        <v>42</v>
      </c>
      <c r="W2" s="11" t="n">
        <v>87</v>
      </c>
      <c r="X2" s="12" t="n">
        <v>60</v>
      </c>
      <c r="Y2" s="12" t="s">
        <v>44</v>
      </c>
      <c r="Z2" s="13" t="n">
        <v>60</v>
      </c>
      <c r="AA2" s="14" t="n">
        <v>41</v>
      </c>
      <c r="AB2" s="14" t="s">
        <v>45</v>
      </c>
      <c r="AC2" s="15" t="n">
        <v>41</v>
      </c>
      <c r="AD2" s="2" t="n">
        <f aca="false">SUM(L2,O2,R2,U2,X2,AA2)</f>
        <v>436</v>
      </c>
      <c r="AE2" s="16" t="n">
        <f aca="false">AD2/6</f>
        <v>72.6666666666667</v>
      </c>
      <c r="AF2" s="2" t="str">
        <f aca="false">IF(SUM(COUNTIF(M2,"RA"),COUNTIF(P2,"RA"),COUNTIF(S2,"RA"),COUNTIF(V2,"RA"),COUNTIF(Y2,"RA"),COUNTIF(AB2,"RA"))&gt;0,"FAIL","PASS")</f>
        <v>FAIL</v>
      </c>
    </row>
    <row r="3" customFormat="false" ht="15" hidden="false" customHeight="false" outlineLevel="0" collapsed="false">
      <c r="A3" s="2" t="n">
        <v>2</v>
      </c>
      <c r="B3" s="3" t="s">
        <v>46</v>
      </c>
      <c r="C3" s="2" t="s">
        <v>33</v>
      </c>
      <c r="D3" s="2" t="s">
        <v>47</v>
      </c>
      <c r="E3" s="2" t="s">
        <v>35</v>
      </c>
      <c r="F3" s="2" t="s">
        <v>36</v>
      </c>
      <c r="G3" s="2" t="s">
        <v>48</v>
      </c>
      <c r="H3" s="2" t="s">
        <v>49</v>
      </c>
      <c r="I3" s="3" t="s">
        <v>50</v>
      </c>
      <c r="J3" s="2" t="s">
        <v>51</v>
      </c>
      <c r="K3" s="2" t="s">
        <v>52</v>
      </c>
      <c r="L3" s="4" t="n">
        <v>56</v>
      </c>
      <c r="M3" s="4" t="s">
        <v>53</v>
      </c>
      <c r="N3" s="5" t="n">
        <v>56</v>
      </c>
      <c r="O3" s="6" t="n">
        <v>77</v>
      </c>
      <c r="P3" s="6" t="s">
        <v>43</v>
      </c>
      <c r="Q3" s="7" t="n">
        <v>77</v>
      </c>
      <c r="R3" s="8" t="n">
        <v>88</v>
      </c>
      <c r="S3" s="8" t="s">
        <v>42</v>
      </c>
      <c r="T3" s="9" t="n">
        <v>88</v>
      </c>
      <c r="U3" s="10" t="n">
        <v>95</v>
      </c>
      <c r="V3" s="10" t="s">
        <v>54</v>
      </c>
      <c r="W3" s="11" t="n">
        <v>95</v>
      </c>
      <c r="X3" s="12" t="n">
        <v>72</v>
      </c>
      <c r="Y3" s="12" t="s">
        <v>43</v>
      </c>
      <c r="Z3" s="13" t="n">
        <v>72</v>
      </c>
      <c r="AA3" s="14" t="n">
        <v>93</v>
      </c>
      <c r="AB3" s="14" t="s">
        <v>54</v>
      </c>
      <c r="AC3" s="15" t="n">
        <v>93</v>
      </c>
      <c r="AD3" s="2" t="n">
        <f aca="false">SUM(L3,O3,R3,U3,X3,AA3)</f>
        <v>481</v>
      </c>
      <c r="AE3" s="16" t="n">
        <f aca="false">AD3/6</f>
        <v>80.1666666666667</v>
      </c>
      <c r="AF3" s="2" t="str">
        <f aca="false">IF(SUM(COUNTIF(M3,"RA"),COUNTIF(P3,"RA"),COUNTIF(S3,"RA"),COUNTIF(V3,"RA"),COUNTIF(Y3,"RA"),COUNTIF(AB3,"RA"))&gt;0,"FAIL","PASS")</f>
        <v>PASS</v>
      </c>
    </row>
    <row r="4" customFormat="false" ht="15" hidden="false" customHeight="false" outlineLevel="0" collapsed="false">
      <c r="A4" s="2" t="n">
        <v>3</v>
      </c>
      <c r="B4" s="3" t="s">
        <v>55</v>
      </c>
      <c r="C4" s="2" t="s">
        <v>33</v>
      </c>
      <c r="D4" s="2" t="s">
        <v>56</v>
      </c>
      <c r="E4" s="2" t="s">
        <v>57</v>
      </c>
      <c r="F4" s="2" t="s">
        <v>36</v>
      </c>
      <c r="G4" s="2" t="s">
        <v>37</v>
      </c>
      <c r="H4" s="2" t="s">
        <v>58</v>
      </c>
      <c r="I4" s="3" t="s">
        <v>59</v>
      </c>
      <c r="J4" s="2" t="s">
        <v>60</v>
      </c>
      <c r="K4" s="2" t="s">
        <v>61</v>
      </c>
      <c r="L4" s="4" t="n">
        <v>84</v>
      </c>
      <c r="M4" s="4" t="s">
        <v>42</v>
      </c>
      <c r="N4" s="5" t="n">
        <v>84</v>
      </c>
      <c r="O4" s="6" t="n">
        <v>55</v>
      </c>
      <c r="P4" s="6" t="s">
        <v>53</v>
      </c>
      <c r="Q4" s="7" t="n">
        <v>55</v>
      </c>
      <c r="R4" s="8" t="n">
        <v>68</v>
      </c>
      <c r="S4" s="8" t="s">
        <v>44</v>
      </c>
      <c r="T4" s="9" t="n">
        <v>68</v>
      </c>
      <c r="U4" s="10" t="n">
        <v>94</v>
      </c>
      <c r="V4" s="10" t="s">
        <v>54</v>
      </c>
      <c r="W4" s="11" t="n">
        <v>94</v>
      </c>
      <c r="X4" s="12" t="n">
        <v>89</v>
      </c>
      <c r="Y4" s="12" t="s">
        <v>42</v>
      </c>
      <c r="Z4" s="13" t="n">
        <v>89</v>
      </c>
      <c r="AA4" s="14" t="n">
        <v>79</v>
      </c>
      <c r="AB4" s="14" t="s">
        <v>43</v>
      </c>
      <c r="AC4" s="15" t="n">
        <v>79</v>
      </c>
      <c r="AD4" s="2" t="n">
        <f aca="false">SUM(L4,O4,R4,U4,X4,AA4)</f>
        <v>469</v>
      </c>
      <c r="AE4" s="16" t="n">
        <f aca="false">AD4/6</f>
        <v>78.1666666666667</v>
      </c>
      <c r="AF4" s="2" t="str">
        <f aca="false">IF(SUM(COUNTIF(M4,"RA"),COUNTIF(P4,"RA"),COUNTIF(S4,"RA"),COUNTIF(V4,"RA"),COUNTIF(Y4,"RA"),COUNTIF(AB4,"RA"))&gt;0,"FAIL","PASS")</f>
        <v>PASS</v>
      </c>
    </row>
    <row r="5" customFormat="false" ht="15" hidden="false" customHeight="false" outlineLevel="0" collapsed="false">
      <c r="A5" s="2" t="n">
        <v>4</v>
      </c>
      <c r="B5" s="3" t="s">
        <v>62</v>
      </c>
      <c r="C5" s="2" t="s">
        <v>33</v>
      </c>
      <c r="D5" s="2" t="s">
        <v>63</v>
      </c>
      <c r="E5" s="2" t="s">
        <v>35</v>
      </c>
      <c r="F5" s="2" t="s">
        <v>36</v>
      </c>
      <c r="G5" s="2" t="s">
        <v>64</v>
      </c>
      <c r="H5" s="2" t="s">
        <v>65</v>
      </c>
      <c r="I5" s="3" t="s">
        <v>66</v>
      </c>
      <c r="J5" s="2" t="s">
        <v>67</v>
      </c>
      <c r="K5" s="2" t="s">
        <v>68</v>
      </c>
      <c r="L5" s="4" t="n">
        <v>76</v>
      </c>
      <c r="M5" s="4" t="s">
        <v>43</v>
      </c>
      <c r="N5" s="5" t="n">
        <v>76</v>
      </c>
      <c r="O5" s="6" t="n">
        <v>92</v>
      </c>
      <c r="P5" s="6" t="s">
        <v>54</v>
      </c>
      <c r="Q5" s="7" t="n">
        <v>92</v>
      </c>
      <c r="R5" s="8" t="n">
        <v>72</v>
      </c>
      <c r="S5" s="8" t="s">
        <v>43</v>
      </c>
      <c r="T5" s="9" t="n">
        <v>72</v>
      </c>
      <c r="U5" s="10" t="n">
        <v>67</v>
      </c>
      <c r="V5" s="10" t="s">
        <v>44</v>
      </c>
      <c r="W5" s="11" t="n">
        <v>67</v>
      </c>
      <c r="X5" s="12" t="n">
        <v>78</v>
      </c>
      <c r="Y5" s="12" t="s">
        <v>43</v>
      </c>
      <c r="Z5" s="13" t="n">
        <v>78</v>
      </c>
      <c r="AA5" s="14" t="n">
        <v>41</v>
      </c>
      <c r="AB5" s="14" t="s">
        <v>45</v>
      </c>
      <c r="AC5" s="15" t="n">
        <v>41</v>
      </c>
      <c r="AD5" s="2" t="n">
        <f aca="false">SUM(L5,O5,R5,U5,X5,AA5)</f>
        <v>426</v>
      </c>
      <c r="AE5" s="16" t="n">
        <f aca="false">AD5/6</f>
        <v>71</v>
      </c>
      <c r="AF5" s="2" t="str">
        <f aca="false">IF(SUM(COUNTIF(M5,"RA"),COUNTIF(P5,"RA"),COUNTIF(S5,"RA"),COUNTIF(V5,"RA"),COUNTIF(Y5,"RA"),COUNTIF(AB5,"RA"))&gt;0,"FAIL","PASS")</f>
        <v>FAIL</v>
      </c>
    </row>
    <row r="6" customFormat="false" ht="15" hidden="false" customHeight="false" outlineLevel="0" collapsed="false">
      <c r="A6" s="2" t="n">
        <v>5</v>
      </c>
      <c r="B6" s="3" t="s">
        <v>69</v>
      </c>
      <c r="C6" s="2" t="s">
        <v>33</v>
      </c>
      <c r="D6" s="2" t="s">
        <v>70</v>
      </c>
      <c r="E6" s="2" t="s">
        <v>35</v>
      </c>
      <c r="F6" s="2" t="s">
        <v>36</v>
      </c>
      <c r="G6" s="2" t="s">
        <v>71</v>
      </c>
      <c r="H6" s="2" t="s">
        <v>72</v>
      </c>
      <c r="I6" s="3" t="s">
        <v>73</v>
      </c>
      <c r="J6" s="2" t="s">
        <v>74</v>
      </c>
      <c r="K6" s="2" t="s">
        <v>75</v>
      </c>
      <c r="L6" s="4" t="n">
        <v>40</v>
      </c>
      <c r="M6" s="4" t="s">
        <v>45</v>
      </c>
      <c r="N6" s="5" t="n">
        <v>40</v>
      </c>
      <c r="O6" s="6" t="n">
        <v>78</v>
      </c>
      <c r="P6" s="6" t="s">
        <v>43</v>
      </c>
      <c r="Q6" s="7" t="n">
        <v>78</v>
      </c>
      <c r="R6" s="8" t="n">
        <v>90</v>
      </c>
      <c r="S6" s="8" t="s">
        <v>54</v>
      </c>
      <c r="T6" s="9" t="n">
        <v>90</v>
      </c>
      <c r="U6" s="10" t="n">
        <v>75</v>
      </c>
      <c r="V6" s="10" t="s">
        <v>43</v>
      </c>
      <c r="W6" s="11" t="n">
        <v>75</v>
      </c>
      <c r="X6" s="12" t="n">
        <v>81</v>
      </c>
      <c r="Y6" s="12" t="s">
        <v>42</v>
      </c>
      <c r="Z6" s="13" t="n">
        <v>81</v>
      </c>
      <c r="AA6" s="14" t="n">
        <v>65</v>
      </c>
      <c r="AB6" s="14" t="s">
        <v>44</v>
      </c>
      <c r="AC6" s="15" t="n">
        <v>65</v>
      </c>
      <c r="AD6" s="2" t="n">
        <f aca="false">SUM(L6,O6,R6,U6,X6,AA6)</f>
        <v>429</v>
      </c>
      <c r="AE6" s="16" t="n">
        <f aca="false">AD6/6</f>
        <v>71.5</v>
      </c>
      <c r="AF6" s="2" t="str">
        <f aca="false">IF(SUM(COUNTIF(M6,"RA"),COUNTIF(P6,"RA"),COUNTIF(S6,"RA"),COUNTIF(V6,"RA"),COUNTIF(Y6,"RA"),COUNTIF(AB6,"RA"))&gt;0,"FAIL","PASS")</f>
        <v>FAIL</v>
      </c>
    </row>
    <row r="7" customFormat="false" ht="15" hidden="false" customHeight="false" outlineLevel="0" collapsed="false">
      <c r="A7" s="2" t="n">
        <v>6</v>
      </c>
      <c r="B7" s="3" t="s">
        <v>76</v>
      </c>
      <c r="C7" s="2" t="s">
        <v>33</v>
      </c>
      <c r="D7" s="2" t="s">
        <v>77</v>
      </c>
      <c r="E7" s="2" t="s">
        <v>57</v>
      </c>
      <c r="F7" s="2" t="s">
        <v>36</v>
      </c>
      <c r="G7" s="2" t="s">
        <v>78</v>
      </c>
      <c r="H7" s="2" t="s">
        <v>79</v>
      </c>
      <c r="I7" s="3" t="s">
        <v>80</v>
      </c>
      <c r="J7" s="2" t="s">
        <v>81</v>
      </c>
      <c r="K7" s="2" t="s">
        <v>82</v>
      </c>
      <c r="L7" s="4" t="n">
        <v>71</v>
      </c>
      <c r="M7" s="4" t="s">
        <v>43</v>
      </c>
      <c r="N7" s="5" t="n">
        <v>71</v>
      </c>
      <c r="O7" s="6" t="n">
        <v>65</v>
      </c>
      <c r="P7" s="6" t="s">
        <v>44</v>
      </c>
      <c r="Q7" s="7" t="n">
        <v>65</v>
      </c>
      <c r="R7" s="8" t="n">
        <v>60</v>
      </c>
      <c r="S7" s="8" t="s">
        <v>44</v>
      </c>
      <c r="T7" s="9" t="n">
        <v>60</v>
      </c>
      <c r="U7" s="10" t="n">
        <v>100</v>
      </c>
      <c r="V7" s="10" t="s">
        <v>54</v>
      </c>
      <c r="W7" s="11" t="n">
        <v>100</v>
      </c>
      <c r="X7" s="12" t="n">
        <v>76</v>
      </c>
      <c r="Y7" s="12" t="s">
        <v>43</v>
      </c>
      <c r="Z7" s="13" t="n">
        <v>76</v>
      </c>
      <c r="AA7" s="14" t="n">
        <v>98</v>
      </c>
      <c r="AB7" s="14" t="s">
        <v>54</v>
      </c>
      <c r="AC7" s="15" t="n">
        <v>98</v>
      </c>
      <c r="AD7" s="2" t="n">
        <f aca="false">SUM(L7,O7,R7,U7,X7,AA7)</f>
        <v>470</v>
      </c>
      <c r="AE7" s="16" t="n">
        <f aca="false">AD7/6</f>
        <v>78.3333333333333</v>
      </c>
      <c r="AF7" s="2" t="str">
        <f aca="false">IF(SUM(COUNTIF(M7,"RA"),COUNTIF(P7,"RA"),COUNTIF(S7,"RA"),COUNTIF(V7,"RA"),COUNTIF(Y7,"RA"),COUNTIF(AB7,"RA"))&gt;0,"FAIL","PASS")</f>
        <v>PASS</v>
      </c>
    </row>
    <row r="8" customFormat="false" ht="15" hidden="false" customHeight="false" outlineLevel="0" collapsed="false">
      <c r="A8" s="2" t="n">
        <v>7</v>
      </c>
      <c r="B8" s="3" t="s">
        <v>83</v>
      </c>
      <c r="C8" s="2" t="s">
        <v>33</v>
      </c>
      <c r="D8" s="2" t="s">
        <v>84</v>
      </c>
      <c r="E8" s="2" t="s">
        <v>35</v>
      </c>
      <c r="F8" s="2" t="s">
        <v>36</v>
      </c>
      <c r="G8" s="2" t="s">
        <v>42</v>
      </c>
      <c r="H8" s="2" t="s">
        <v>85</v>
      </c>
      <c r="I8" s="3" t="s">
        <v>86</v>
      </c>
      <c r="J8" s="2" t="s">
        <v>87</v>
      </c>
      <c r="K8" s="2" t="s">
        <v>88</v>
      </c>
      <c r="L8" s="4" t="n">
        <v>46</v>
      </c>
      <c r="M8" s="4" t="s">
        <v>45</v>
      </c>
      <c r="N8" s="5" t="n">
        <v>46</v>
      </c>
      <c r="O8" s="6" t="n">
        <v>56</v>
      </c>
      <c r="P8" s="6" t="s">
        <v>53</v>
      </c>
      <c r="Q8" s="7" t="n">
        <v>56</v>
      </c>
      <c r="R8" s="8" t="n">
        <v>60</v>
      </c>
      <c r="S8" s="8" t="s">
        <v>44</v>
      </c>
      <c r="T8" s="9" t="n">
        <v>60</v>
      </c>
      <c r="U8" s="10" t="n">
        <v>85</v>
      </c>
      <c r="V8" s="10" t="s">
        <v>42</v>
      </c>
      <c r="W8" s="11" t="n">
        <v>85</v>
      </c>
      <c r="X8" s="12" t="n">
        <v>70</v>
      </c>
      <c r="Y8" s="12" t="s">
        <v>43</v>
      </c>
      <c r="Z8" s="13" t="n">
        <v>70</v>
      </c>
      <c r="AA8" s="14" t="n">
        <v>97</v>
      </c>
      <c r="AB8" s="14" t="s">
        <v>54</v>
      </c>
      <c r="AC8" s="15" t="n">
        <v>97</v>
      </c>
      <c r="AD8" s="2" t="n">
        <f aca="false">SUM(L8,O8,R8,U8,X8,AA8)</f>
        <v>414</v>
      </c>
      <c r="AE8" s="16" t="n">
        <f aca="false">AD8/6</f>
        <v>69</v>
      </c>
      <c r="AF8" s="2" t="str">
        <f aca="false">IF(SUM(COUNTIF(M8,"RA"),COUNTIF(P8,"RA"),COUNTIF(S8,"RA"),COUNTIF(V8,"RA"),COUNTIF(Y8,"RA"),COUNTIF(AB8,"RA"))&gt;0,"FAIL","PASS")</f>
        <v>FAIL</v>
      </c>
    </row>
    <row r="9" customFormat="false" ht="15" hidden="false" customHeight="false" outlineLevel="0" collapsed="false">
      <c r="A9" s="2" t="n">
        <v>8</v>
      </c>
      <c r="B9" s="3" t="s">
        <v>89</v>
      </c>
      <c r="C9" s="2" t="s">
        <v>33</v>
      </c>
      <c r="D9" s="2" t="s">
        <v>90</v>
      </c>
      <c r="E9" s="2" t="s">
        <v>57</v>
      </c>
      <c r="F9" s="2" t="s">
        <v>36</v>
      </c>
      <c r="G9" s="2" t="s">
        <v>91</v>
      </c>
      <c r="H9" s="2" t="s">
        <v>92</v>
      </c>
      <c r="I9" s="3" t="s">
        <v>93</v>
      </c>
      <c r="J9" s="2" t="s">
        <v>94</v>
      </c>
      <c r="K9" s="2" t="s">
        <v>95</v>
      </c>
      <c r="L9" s="4" t="n">
        <v>85</v>
      </c>
      <c r="M9" s="4" t="s">
        <v>42</v>
      </c>
      <c r="N9" s="5" t="n">
        <v>85</v>
      </c>
      <c r="O9" s="6" t="n">
        <v>84</v>
      </c>
      <c r="P9" s="6" t="s">
        <v>42</v>
      </c>
      <c r="Q9" s="7" t="n">
        <v>84</v>
      </c>
      <c r="R9" s="8" t="n">
        <v>98</v>
      </c>
      <c r="S9" s="8" t="s">
        <v>54</v>
      </c>
      <c r="T9" s="9" t="n">
        <v>98</v>
      </c>
      <c r="U9" s="10" t="n">
        <v>93</v>
      </c>
      <c r="V9" s="10" t="s">
        <v>54</v>
      </c>
      <c r="W9" s="11" t="n">
        <v>93</v>
      </c>
      <c r="X9" s="12" t="n">
        <v>76</v>
      </c>
      <c r="Y9" s="12" t="s">
        <v>43</v>
      </c>
      <c r="Z9" s="13" t="n">
        <v>76</v>
      </c>
      <c r="AA9" s="14" t="n">
        <v>67</v>
      </c>
      <c r="AB9" s="14" t="s">
        <v>44</v>
      </c>
      <c r="AC9" s="15" t="n">
        <v>67</v>
      </c>
      <c r="AD9" s="2" t="n">
        <f aca="false">SUM(L9,O9,R9,U9,X9,AA9)</f>
        <v>503</v>
      </c>
      <c r="AE9" s="16" t="n">
        <f aca="false">AD9/6</f>
        <v>83.8333333333333</v>
      </c>
      <c r="AF9" s="2" t="str">
        <f aca="false">IF(SUM(COUNTIF(M9,"RA"),COUNTIF(P9,"RA"),COUNTIF(S9,"RA"),COUNTIF(V9,"RA"),COUNTIF(Y9,"RA"),COUNTIF(AB9,"RA"))&gt;0,"FAIL","PASS")</f>
        <v>PASS</v>
      </c>
    </row>
    <row r="10" customFormat="false" ht="15" hidden="false" customHeight="false" outlineLevel="0" collapsed="false">
      <c r="A10" s="2" t="n">
        <v>9</v>
      </c>
      <c r="B10" s="3" t="s">
        <v>96</v>
      </c>
      <c r="C10" s="2" t="s">
        <v>33</v>
      </c>
      <c r="D10" s="2" t="s">
        <v>97</v>
      </c>
      <c r="E10" s="2" t="s">
        <v>35</v>
      </c>
      <c r="F10" s="2" t="s">
        <v>36</v>
      </c>
      <c r="G10" s="2" t="s">
        <v>71</v>
      </c>
      <c r="H10" s="2" t="s">
        <v>98</v>
      </c>
      <c r="I10" s="3" t="s">
        <v>99</v>
      </c>
      <c r="J10" s="2" t="s">
        <v>100</v>
      </c>
      <c r="K10" s="2" t="s">
        <v>101</v>
      </c>
      <c r="L10" s="4" t="n">
        <v>86</v>
      </c>
      <c r="M10" s="4" t="s">
        <v>42</v>
      </c>
      <c r="N10" s="5" t="n">
        <v>86</v>
      </c>
      <c r="O10" s="6" t="n">
        <v>61</v>
      </c>
      <c r="P10" s="6" t="s">
        <v>44</v>
      </c>
      <c r="Q10" s="7" t="n">
        <v>61</v>
      </c>
      <c r="R10" s="8" t="n">
        <v>89</v>
      </c>
      <c r="S10" s="8" t="s">
        <v>42</v>
      </c>
      <c r="T10" s="9" t="n">
        <v>89</v>
      </c>
      <c r="U10" s="10" t="n">
        <v>83</v>
      </c>
      <c r="V10" s="10" t="s">
        <v>42</v>
      </c>
      <c r="W10" s="11" t="n">
        <v>83</v>
      </c>
      <c r="X10" s="12" t="n">
        <v>85</v>
      </c>
      <c r="Y10" s="12" t="s">
        <v>42</v>
      </c>
      <c r="Z10" s="13" t="n">
        <v>85</v>
      </c>
      <c r="AA10" s="14" t="n">
        <v>81</v>
      </c>
      <c r="AB10" s="14" t="s">
        <v>42</v>
      </c>
      <c r="AC10" s="15" t="n">
        <v>81</v>
      </c>
      <c r="AD10" s="2" t="n">
        <f aca="false">SUM(L10,O10,R10,U10,X10,AA10)</f>
        <v>485</v>
      </c>
      <c r="AE10" s="16" t="n">
        <f aca="false">AD10/6</f>
        <v>80.8333333333333</v>
      </c>
      <c r="AF10" s="2" t="str">
        <f aca="false">IF(SUM(COUNTIF(M10,"RA"),COUNTIF(P10,"RA"),COUNTIF(S10,"RA"),COUNTIF(V10,"RA"),COUNTIF(Y10,"RA"),COUNTIF(AB10,"RA"))&gt;0,"FAIL","PASS")</f>
        <v>PASS</v>
      </c>
    </row>
    <row r="11" customFormat="false" ht="15" hidden="false" customHeight="false" outlineLevel="0" collapsed="false">
      <c r="A11" s="2" t="n">
        <v>10</v>
      </c>
      <c r="B11" s="3" t="s">
        <v>102</v>
      </c>
      <c r="C11" s="2" t="s">
        <v>33</v>
      </c>
      <c r="D11" s="2" t="s">
        <v>103</v>
      </c>
      <c r="E11" s="2" t="s">
        <v>35</v>
      </c>
      <c r="F11" s="2" t="s">
        <v>36</v>
      </c>
      <c r="G11" s="2" t="s">
        <v>42</v>
      </c>
      <c r="H11" s="2" t="s">
        <v>104</v>
      </c>
      <c r="I11" s="3" t="s">
        <v>105</v>
      </c>
      <c r="J11" s="2" t="s">
        <v>106</v>
      </c>
      <c r="K11" s="2" t="s">
        <v>107</v>
      </c>
      <c r="L11" s="4" t="n">
        <v>85</v>
      </c>
      <c r="M11" s="4" t="s">
        <v>42</v>
      </c>
      <c r="N11" s="5" t="n">
        <v>85</v>
      </c>
      <c r="O11" s="6" t="n">
        <v>83</v>
      </c>
      <c r="P11" s="6" t="s">
        <v>42</v>
      </c>
      <c r="Q11" s="7" t="n">
        <v>83</v>
      </c>
      <c r="R11" s="8" t="n">
        <v>62</v>
      </c>
      <c r="S11" s="8" t="s">
        <v>44</v>
      </c>
      <c r="T11" s="9" t="n">
        <v>62</v>
      </c>
      <c r="U11" s="10" t="n">
        <v>63</v>
      </c>
      <c r="V11" s="10" t="s">
        <v>44</v>
      </c>
      <c r="W11" s="11" t="n">
        <v>63</v>
      </c>
      <c r="X11" s="12" t="n">
        <v>87</v>
      </c>
      <c r="Y11" s="12" t="s">
        <v>42</v>
      </c>
      <c r="Z11" s="13" t="n">
        <v>87</v>
      </c>
      <c r="AA11" s="14" t="n">
        <v>66</v>
      </c>
      <c r="AB11" s="14" t="s">
        <v>44</v>
      </c>
      <c r="AC11" s="15" t="n">
        <v>66</v>
      </c>
      <c r="AD11" s="2" t="n">
        <f aca="false">SUM(L11,O11,R11,U11,X11,AA11)</f>
        <v>446</v>
      </c>
      <c r="AE11" s="16" t="n">
        <f aca="false">AD11/6</f>
        <v>74.3333333333333</v>
      </c>
      <c r="AF11" s="2" t="str">
        <f aca="false">IF(SUM(COUNTIF(M11,"RA"),COUNTIF(P11,"RA"),COUNTIF(S11,"RA"),COUNTIF(V11,"RA"),COUNTIF(Y11,"RA"),COUNTIF(AB11,"RA"))&gt;0,"FAIL","PASS")</f>
        <v>PASS</v>
      </c>
    </row>
    <row r="12" customFormat="false" ht="15" hidden="false" customHeight="false" outlineLevel="0" collapsed="false">
      <c r="A12" s="2" t="n">
        <v>11</v>
      </c>
      <c r="B12" s="3" t="s">
        <v>108</v>
      </c>
      <c r="C12" s="2" t="s">
        <v>33</v>
      </c>
      <c r="D12" s="2" t="s">
        <v>109</v>
      </c>
      <c r="E12" s="2" t="s">
        <v>35</v>
      </c>
      <c r="F12" s="2" t="s">
        <v>36</v>
      </c>
      <c r="G12" s="2" t="s">
        <v>42</v>
      </c>
      <c r="H12" s="2" t="s">
        <v>110</v>
      </c>
      <c r="I12" s="3" t="s">
        <v>111</v>
      </c>
      <c r="J12" s="2" t="s">
        <v>112</v>
      </c>
      <c r="K12" s="2" t="s">
        <v>113</v>
      </c>
      <c r="L12" s="4" t="n">
        <v>76</v>
      </c>
      <c r="M12" s="4" t="s">
        <v>43</v>
      </c>
      <c r="N12" s="5" t="n">
        <v>76</v>
      </c>
      <c r="O12" s="6" t="n">
        <v>73</v>
      </c>
      <c r="P12" s="6" t="s">
        <v>43</v>
      </c>
      <c r="Q12" s="7" t="n">
        <v>73</v>
      </c>
      <c r="R12" s="8" t="n">
        <v>90</v>
      </c>
      <c r="S12" s="8" t="s">
        <v>54</v>
      </c>
      <c r="T12" s="9" t="n">
        <v>90</v>
      </c>
      <c r="U12" s="10" t="n">
        <v>95</v>
      </c>
      <c r="V12" s="10" t="s">
        <v>54</v>
      </c>
      <c r="W12" s="11" t="n">
        <v>95</v>
      </c>
      <c r="X12" s="12" t="n">
        <v>89</v>
      </c>
      <c r="Y12" s="12" t="s">
        <v>42</v>
      </c>
      <c r="Z12" s="13" t="n">
        <v>89</v>
      </c>
      <c r="AA12" s="14" t="n">
        <v>73</v>
      </c>
      <c r="AB12" s="14" t="s">
        <v>43</v>
      </c>
      <c r="AC12" s="15" t="n">
        <v>73</v>
      </c>
      <c r="AD12" s="2" t="n">
        <f aca="false">SUM(L12,O12,R12,U12,X12,AA12)</f>
        <v>496</v>
      </c>
      <c r="AE12" s="16" t="n">
        <f aca="false">AD12/6</f>
        <v>82.6666666666667</v>
      </c>
      <c r="AF12" s="2" t="str">
        <f aca="false">IF(SUM(COUNTIF(M12,"RA"),COUNTIF(P12,"RA"),COUNTIF(S12,"RA"),COUNTIF(V12,"RA"),COUNTIF(Y12,"RA"),COUNTIF(AB12,"RA"))&gt;0,"FAIL","PASS")</f>
        <v>PASS</v>
      </c>
    </row>
    <row r="13" customFormat="false" ht="15" hidden="false" customHeight="false" outlineLevel="0" collapsed="false">
      <c r="A13" s="2" t="n">
        <v>12</v>
      </c>
      <c r="B13" s="3" t="s">
        <v>114</v>
      </c>
      <c r="C13" s="2" t="s">
        <v>33</v>
      </c>
      <c r="D13" s="2" t="s">
        <v>115</v>
      </c>
      <c r="E13" s="2" t="s">
        <v>35</v>
      </c>
      <c r="F13" s="2" t="s">
        <v>36</v>
      </c>
      <c r="G13" s="2" t="s">
        <v>91</v>
      </c>
      <c r="H13" s="2" t="s">
        <v>116</v>
      </c>
      <c r="I13" s="3" t="s">
        <v>117</v>
      </c>
      <c r="J13" s="2" t="s">
        <v>118</v>
      </c>
      <c r="K13" s="2" t="s">
        <v>119</v>
      </c>
      <c r="L13" s="4" t="n">
        <v>51</v>
      </c>
      <c r="M13" s="4" t="s">
        <v>53</v>
      </c>
      <c r="N13" s="5" t="n">
        <v>51</v>
      </c>
      <c r="O13" s="6" t="n">
        <v>80</v>
      </c>
      <c r="P13" s="6" t="s">
        <v>42</v>
      </c>
      <c r="Q13" s="7" t="n">
        <v>80</v>
      </c>
      <c r="R13" s="8" t="n">
        <v>54</v>
      </c>
      <c r="S13" s="8" t="s">
        <v>53</v>
      </c>
      <c r="T13" s="9" t="n">
        <v>54</v>
      </c>
      <c r="U13" s="10" t="n">
        <v>64</v>
      </c>
      <c r="V13" s="10" t="s">
        <v>44</v>
      </c>
      <c r="W13" s="11" t="n">
        <v>64</v>
      </c>
      <c r="X13" s="12" t="n">
        <v>71</v>
      </c>
      <c r="Y13" s="12" t="s">
        <v>43</v>
      </c>
      <c r="Z13" s="13" t="n">
        <v>71</v>
      </c>
      <c r="AA13" s="14" t="n">
        <v>85</v>
      </c>
      <c r="AB13" s="14" t="s">
        <v>42</v>
      </c>
      <c r="AC13" s="15" t="n">
        <v>85</v>
      </c>
      <c r="AD13" s="2" t="n">
        <f aca="false">SUM(L13,O13,R13,U13,X13,AA13)</f>
        <v>405</v>
      </c>
      <c r="AE13" s="16" t="n">
        <f aca="false">AD13/6</f>
        <v>67.5</v>
      </c>
      <c r="AF13" s="2" t="str">
        <f aca="false">IF(SUM(COUNTIF(M13,"RA"),COUNTIF(P13,"RA"),COUNTIF(S13,"RA"),COUNTIF(V13,"RA"),COUNTIF(Y13,"RA"),COUNTIF(AB13,"RA"))&gt;0,"FAIL","PASS")</f>
        <v>PASS</v>
      </c>
    </row>
    <row r="14" customFormat="false" ht="15" hidden="false" customHeight="false" outlineLevel="0" collapsed="false">
      <c r="A14" s="2" t="n">
        <v>13</v>
      </c>
      <c r="B14" s="3" t="s">
        <v>120</v>
      </c>
      <c r="C14" s="2" t="s">
        <v>33</v>
      </c>
      <c r="D14" s="2" t="s">
        <v>121</v>
      </c>
      <c r="E14" s="2" t="s">
        <v>35</v>
      </c>
      <c r="F14" s="2" t="s">
        <v>36</v>
      </c>
      <c r="G14" s="2" t="s">
        <v>78</v>
      </c>
      <c r="H14" s="2" t="s">
        <v>122</v>
      </c>
      <c r="I14" s="3" t="s">
        <v>123</v>
      </c>
      <c r="J14" s="2" t="s">
        <v>124</v>
      </c>
      <c r="K14" s="2" t="s">
        <v>125</v>
      </c>
      <c r="L14" s="4" t="n">
        <v>40</v>
      </c>
      <c r="M14" s="4" t="s">
        <v>45</v>
      </c>
      <c r="N14" s="5" t="n">
        <v>40</v>
      </c>
      <c r="O14" s="6" t="n">
        <v>42</v>
      </c>
      <c r="P14" s="6" t="s">
        <v>45</v>
      </c>
      <c r="Q14" s="7" t="n">
        <v>42</v>
      </c>
      <c r="R14" s="8" t="n">
        <v>75</v>
      </c>
      <c r="S14" s="8" t="s">
        <v>43</v>
      </c>
      <c r="T14" s="9" t="n">
        <v>75</v>
      </c>
      <c r="U14" s="10" t="n">
        <v>84</v>
      </c>
      <c r="V14" s="10" t="s">
        <v>42</v>
      </c>
      <c r="W14" s="11" t="n">
        <v>84</v>
      </c>
      <c r="X14" s="12" t="n">
        <v>86</v>
      </c>
      <c r="Y14" s="12" t="s">
        <v>42</v>
      </c>
      <c r="Z14" s="13" t="n">
        <v>86</v>
      </c>
      <c r="AA14" s="14" t="n">
        <v>82</v>
      </c>
      <c r="AB14" s="14" t="s">
        <v>42</v>
      </c>
      <c r="AC14" s="15" t="n">
        <v>82</v>
      </c>
      <c r="AD14" s="2" t="n">
        <f aca="false">SUM(L14,O14,R14,U14,X14,AA14)</f>
        <v>409</v>
      </c>
      <c r="AE14" s="16" t="n">
        <f aca="false">AD14/6</f>
        <v>68.1666666666667</v>
      </c>
      <c r="AF14" s="2" t="str">
        <f aca="false">IF(SUM(COUNTIF(M14,"RA"),COUNTIF(P14,"RA"),COUNTIF(S14,"RA"),COUNTIF(V14,"RA"),COUNTIF(Y14,"RA"),COUNTIF(AB14,"RA"))&gt;0,"FAIL","PASS")</f>
        <v>FAIL</v>
      </c>
    </row>
    <row r="15" customFormat="false" ht="15" hidden="false" customHeight="false" outlineLevel="0" collapsed="false">
      <c r="A15" s="2" t="n">
        <v>14</v>
      </c>
      <c r="B15" s="3" t="s">
        <v>126</v>
      </c>
      <c r="C15" s="2" t="s">
        <v>33</v>
      </c>
      <c r="D15" s="2" t="s">
        <v>127</v>
      </c>
      <c r="E15" s="2" t="s">
        <v>57</v>
      </c>
      <c r="F15" s="2" t="s">
        <v>36</v>
      </c>
      <c r="G15" s="2" t="s">
        <v>71</v>
      </c>
      <c r="H15" s="2" t="s">
        <v>128</v>
      </c>
      <c r="I15" s="3" t="s">
        <v>129</v>
      </c>
      <c r="J15" s="2" t="s">
        <v>130</v>
      </c>
      <c r="K15" s="2" t="s">
        <v>131</v>
      </c>
      <c r="L15" s="4" t="n">
        <v>54</v>
      </c>
      <c r="M15" s="4" t="s">
        <v>53</v>
      </c>
      <c r="N15" s="5" t="n">
        <v>54</v>
      </c>
      <c r="O15" s="6" t="n">
        <v>95</v>
      </c>
      <c r="P15" s="6" t="s">
        <v>54</v>
      </c>
      <c r="Q15" s="7" t="n">
        <v>95</v>
      </c>
      <c r="R15" s="8" t="n">
        <v>69</v>
      </c>
      <c r="S15" s="8" t="s">
        <v>44</v>
      </c>
      <c r="T15" s="9" t="n">
        <v>69</v>
      </c>
      <c r="U15" s="10" t="n">
        <v>93</v>
      </c>
      <c r="V15" s="10" t="s">
        <v>54</v>
      </c>
      <c r="W15" s="11" t="n">
        <v>93</v>
      </c>
      <c r="X15" s="12" t="n">
        <v>94</v>
      </c>
      <c r="Y15" s="12" t="s">
        <v>54</v>
      </c>
      <c r="Z15" s="13" t="n">
        <v>94</v>
      </c>
      <c r="AA15" s="14" t="n">
        <v>51</v>
      </c>
      <c r="AB15" s="14" t="s">
        <v>53</v>
      </c>
      <c r="AC15" s="15" t="n">
        <v>51</v>
      </c>
      <c r="AD15" s="2" t="n">
        <f aca="false">SUM(L15,O15,R15,U15,X15,AA15)</f>
        <v>456</v>
      </c>
      <c r="AE15" s="16" t="n">
        <f aca="false">AD15/6</f>
        <v>76</v>
      </c>
      <c r="AF15" s="2" t="str">
        <f aca="false">IF(SUM(COUNTIF(M15,"RA"),COUNTIF(P15,"RA"),COUNTIF(S15,"RA"),COUNTIF(V15,"RA"),COUNTIF(Y15,"RA"),COUNTIF(AB15,"RA"))&gt;0,"FAIL","PASS")</f>
        <v>PASS</v>
      </c>
    </row>
    <row r="16" customFormat="false" ht="15" hidden="false" customHeight="false" outlineLevel="0" collapsed="false">
      <c r="A16" s="2" t="n">
        <v>15</v>
      </c>
      <c r="B16" s="3" t="s">
        <v>132</v>
      </c>
      <c r="C16" s="2" t="s">
        <v>33</v>
      </c>
      <c r="D16" s="2" t="s">
        <v>133</v>
      </c>
      <c r="E16" s="2" t="s">
        <v>35</v>
      </c>
      <c r="F16" s="2" t="s">
        <v>36</v>
      </c>
      <c r="G16" s="2" t="s">
        <v>71</v>
      </c>
      <c r="H16" s="2" t="s">
        <v>134</v>
      </c>
      <c r="I16" s="3" t="s">
        <v>135</v>
      </c>
      <c r="J16" s="2" t="s">
        <v>136</v>
      </c>
      <c r="K16" s="2" t="s">
        <v>137</v>
      </c>
      <c r="L16" s="4" t="n">
        <v>80</v>
      </c>
      <c r="M16" s="4" t="s">
        <v>42</v>
      </c>
      <c r="N16" s="5" t="n">
        <v>80</v>
      </c>
      <c r="O16" s="6" t="n">
        <v>46</v>
      </c>
      <c r="P16" s="6" t="s">
        <v>45</v>
      </c>
      <c r="Q16" s="7" t="n">
        <v>46</v>
      </c>
      <c r="R16" s="8" t="n">
        <v>96</v>
      </c>
      <c r="S16" s="8" t="s">
        <v>54</v>
      </c>
      <c r="T16" s="9" t="n">
        <v>96</v>
      </c>
      <c r="U16" s="10" t="n">
        <v>72</v>
      </c>
      <c r="V16" s="10" t="s">
        <v>43</v>
      </c>
      <c r="W16" s="11" t="n">
        <v>72</v>
      </c>
      <c r="X16" s="12" t="n">
        <v>81</v>
      </c>
      <c r="Y16" s="12" t="s">
        <v>42</v>
      </c>
      <c r="Z16" s="13" t="n">
        <v>81</v>
      </c>
      <c r="AA16" s="14" t="n">
        <v>95</v>
      </c>
      <c r="AB16" s="14" t="s">
        <v>54</v>
      </c>
      <c r="AC16" s="15" t="n">
        <v>95</v>
      </c>
      <c r="AD16" s="2" t="n">
        <f aca="false">SUM(L16,O16,R16,U16,X16,AA16)</f>
        <v>470</v>
      </c>
      <c r="AE16" s="16" t="n">
        <f aca="false">AD16/6</f>
        <v>78.3333333333333</v>
      </c>
      <c r="AF16" s="2" t="str">
        <f aca="false">IF(SUM(COUNTIF(M16,"RA"),COUNTIF(P16,"RA"),COUNTIF(S16,"RA"),COUNTIF(V16,"RA"),COUNTIF(Y16,"RA"),COUNTIF(AB16,"RA"))&gt;0,"FAIL","PASS")</f>
        <v>FAIL</v>
      </c>
    </row>
    <row r="17" customFormat="false" ht="15" hidden="false" customHeight="false" outlineLevel="0" collapsed="false">
      <c r="A17" s="2" t="n">
        <v>16</v>
      </c>
      <c r="B17" s="3" t="s">
        <v>138</v>
      </c>
      <c r="C17" s="2" t="s">
        <v>33</v>
      </c>
      <c r="D17" s="2" t="s">
        <v>139</v>
      </c>
      <c r="E17" s="2" t="s">
        <v>35</v>
      </c>
      <c r="F17" s="2" t="s">
        <v>36</v>
      </c>
      <c r="G17" s="2" t="s">
        <v>48</v>
      </c>
      <c r="H17" s="2" t="s">
        <v>140</v>
      </c>
      <c r="I17" s="3" t="s">
        <v>141</v>
      </c>
      <c r="J17" s="2" t="s">
        <v>142</v>
      </c>
      <c r="K17" s="2" t="s">
        <v>143</v>
      </c>
      <c r="L17" s="4" t="n">
        <v>68</v>
      </c>
      <c r="M17" s="4" t="s">
        <v>44</v>
      </c>
      <c r="N17" s="5" t="n">
        <v>68</v>
      </c>
      <c r="O17" s="6" t="n">
        <v>89</v>
      </c>
      <c r="P17" s="6" t="s">
        <v>42</v>
      </c>
      <c r="Q17" s="7" t="n">
        <v>89</v>
      </c>
      <c r="R17" s="8" t="n">
        <v>90</v>
      </c>
      <c r="S17" s="8" t="s">
        <v>54</v>
      </c>
      <c r="T17" s="9" t="n">
        <v>90</v>
      </c>
      <c r="U17" s="10" t="n">
        <v>74</v>
      </c>
      <c r="V17" s="10" t="s">
        <v>43</v>
      </c>
      <c r="W17" s="11" t="n">
        <v>74</v>
      </c>
      <c r="X17" s="12" t="n">
        <v>45</v>
      </c>
      <c r="Y17" s="12" t="s">
        <v>45</v>
      </c>
      <c r="Z17" s="13" t="n">
        <v>45</v>
      </c>
      <c r="AA17" s="14" t="n">
        <v>87</v>
      </c>
      <c r="AB17" s="14" t="s">
        <v>42</v>
      </c>
      <c r="AC17" s="15" t="n">
        <v>87</v>
      </c>
      <c r="AD17" s="2" t="n">
        <f aca="false">SUM(L17,O17,R17,U17,X17,AA17)</f>
        <v>453</v>
      </c>
      <c r="AE17" s="16" t="n">
        <f aca="false">AD17/6</f>
        <v>75.5</v>
      </c>
      <c r="AF17" s="2" t="str">
        <f aca="false">IF(SUM(COUNTIF(M17,"RA"),COUNTIF(P17,"RA"),COUNTIF(S17,"RA"),COUNTIF(V17,"RA"),COUNTIF(Y17,"RA"),COUNTIF(AB17,"RA"))&gt;0,"FAIL","PASS")</f>
        <v>FAIL</v>
      </c>
    </row>
    <row r="18" customFormat="false" ht="15" hidden="false" customHeight="false" outlineLevel="0" collapsed="false">
      <c r="A18" s="2" t="n">
        <v>17</v>
      </c>
      <c r="B18" s="3" t="s">
        <v>144</v>
      </c>
      <c r="C18" s="2" t="s">
        <v>33</v>
      </c>
      <c r="D18" s="2" t="s">
        <v>145</v>
      </c>
      <c r="E18" s="2" t="s">
        <v>57</v>
      </c>
      <c r="F18" s="2" t="s">
        <v>36</v>
      </c>
      <c r="G18" s="2" t="s">
        <v>91</v>
      </c>
      <c r="H18" s="2" t="s">
        <v>146</v>
      </c>
      <c r="I18" s="3" t="s">
        <v>147</v>
      </c>
      <c r="J18" s="2" t="s">
        <v>148</v>
      </c>
      <c r="K18" s="2" t="s">
        <v>149</v>
      </c>
      <c r="L18" s="4" t="n">
        <v>68</v>
      </c>
      <c r="M18" s="4" t="s">
        <v>44</v>
      </c>
      <c r="N18" s="5" t="n">
        <v>68</v>
      </c>
      <c r="O18" s="6" t="n">
        <v>93</v>
      </c>
      <c r="P18" s="6" t="s">
        <v>54</v>
      </c>
      <c r="Q18" s="7" t="n">
        <v>93</v>
      </c>
      <c r="R18" s="8" t="n">
        <v>88</v>
      </c>
      <c r="S18" s="8" t="s">
        <v>42</v>
      </c>
      <c r="T18" s="9" t="n">
        <v>88</v>
      </c>
      <c r="U18" s="10" t="n">
        <v>67</v>
      </c>
      <c r="V18" s="10" t="s">
        <v>44</v>
      </c>
      <c r="W18" s="11" t="n">
        <v>67</v>
      </c>
      <c r="X18" s="12" t="n">
        <v>82</v>
      </c>
      <c r="Y18" s="12" t="s">
        <v>42</v>
      </c>
      <c r="Z18" s="13" t="n">
        <v>82</v>
      </c>
      <c r="AA18" s="14" t="n">
        <v>72</v>
      </c>
      <c r="AB18" s="14" t="s">
        <v>43</v>
      </c>
      <c r="AC18" s="15" t="n">
        <v>72</v>
      </c>
      <c r="AD18" s="2" t="n">
        <f aca="false">SUM(L18,O18,R18,U18,X18,AA18)</f>
        <v>470</v>
      </c>
      <c r="AE18" s="16" t="n">
        <f aca="false">AD18/6</f>
        <v>78.3333333333333</v>
      </c>
      <c r="AF18" s="2" t="str">
        <f aca="false">IF(SUM(COUNTIF(M18,"RA"),COUNTIF(P18,"RA"),COUNTIF(S18,"RA"),COUNTIF(V18,"RA"),COUNTIF(Y18,"RA"),COUNTIF(AB18,"RA"))&gt;0,"FAIL","PASS")</f>
        <v>PASS</v>
      </c>
    </row>
    <row r="19" customFormat="false" ht="15" hidden="false" customHeight="false" outlineLevel="0" collapsed="false">
      <c r="A19" s="2" t="n">
        <v>18</v>
      </c>
      <c r="B19" s="3" t="s">
        <v>150</v>
      </c>
      <c r="C19" s="2" t="s">
        <v>33</v>
      </c>
      <c r="D19" s="2" t="s">
        <v>151</v>
      </c>
      <c r="E19" s="2" t="s">
        <v>35</v>
      </c>
      <c r="F19" s="2" t="s">
        <v>36</v>
      </c>
      <c r="G19" s="2" t="s">
        <v>48</v>
      </c>
      <c r="H19" s="2" t="s">
        <v>152</v>
      </c>
      <c r="I19" s="3" t="s">
        <v>153</v>
      </c>
      <c r="J19" s="2" t="s">
        <v>154</v>
      </c>
      <c r="K19" s="2" t="s">
        <v>155</v>
      </c>
      <c r="L19" s="4" t="n">
        <v>71</v>
      </c>
      <c r="M19" s="4" t="s">
        <v>43</v>
      </c>
      <c r="N19" s="5" t="n">
        <v>71</v>
      </c>
      <c r="O19" s="6" t="n">
        <v>69</v>
      </c>
      <c r="P19" s="6" t="s">
        <v>44</v>
      </c>
      <c r="Q19" s="7" t="n">
        <v>69</v>
      </c>
      <c r="R19" s="8" t="n">
        <v>62</v>
      </c>
      <c r="S19" s="8" t="s">
        <v>44</v>
      </c>
      <c r="T19" s="9" t="n">
        <v>62</v>
      </c>
      <c r="U19" s="10" t="n">
        <v>93</v>
      </c>
      <c r="V19" s="10" t="s">
        <v>54</v>
      </c>
      <c r="W19" s="11" t="n">
        <v>93</v>
      </c>
      <c r="X19" s="12" t="n">
        <v>66</v>
      </c>
      <c r="Y19" s="12" t="s">
        <v>44</v>
      </c>
      <c r="Z19" s="13" t="n">
        <v>66</v>
      </c>
      <c r="AA19" s="14" t="n">
        <v>61</v>
      </c>
      <c r="AB19" s="14" t="s">
        <v>44</v>
      </c>
      <c r="AC19" s="15" t="n">
        <v>61</v>
      </c>
      <c r="AD19" s="2" t="n">
        <f aca="false">SUM(L19,O19,R19,U19,X19,AA19)</f>
        <v>422</v>
      </c>
      <c r="AE19" s="16" t="n">
        <f aca="false">AD19/6</f>
        <v>70.3333333333333</v>
      </c>
      <c r="AF19" s="2" t="str">
        <f aca="false">IF(SUM(COUNTIF(M19,"RA"),COUNTIF(P19,"RA"),COUNTIF(S19,"RA"),COUNTIF(V19,"RA"),COUNTIF(Y19,"RA"),COUNTIF(AB19,"RA"))&gt;0,"FAIL","PASS")</f>
        <v>PASS</v>
      </c>
    </row>
    <row r="20" customFormat="false" ht="15" hidden="false" customHeight="false" outlineLevel="0" collapsed="false">
      <c r="A20" s="2" t="n">
        <v>19</v>
      </c>
      <c r="B20" s="3" t="s">
        <v>156</v>
      </c>
      <c r="C20" s="2" t="s">
        <v>33</v>
      </c>
      <c r="D20" s="2" t="s">
        <v>157</v>
      </c>
      <c r="E20" s="2" t="s">
        <v>35</v>
      </c>
      <c r="F20" s="2" t="s">
        <v>36</v>
      </c>
      <c r="G20" s="2" t="s">
        <v>71</v>
      </c>
      <c r="H20" s="2" t="s">
        <v>158</v>
      </c>
      <c r="I20" s="3" t="s">
        <v>159</v>
      </c>
      <c r="J20" s="2" t="s">
        <v>160</v>
      </c>
      <c r="K20" s="2" t="s">
        <v>161</v>
      </c>
      <c r="L20" s="4" t="n">
        <v>96</v>
      </c>
      <c r="M20" s="4" t="s">
        <v>54</v>
      </c>
      <c r="N20" s="5" t="n">
        <v>96</v>
      </c>
      <c r="O20" s="6" t="n">
        <v>81</v>
      </c>
      <c r="P20" s="6" t="s">
        <v>42</v>
      </c>
      <c r="Q20" s="7" t="n">
        <v>81</v>
      </c>
      <c r="R20" s="8" t="n">
        <v>94</v>
      </c>
      <c r="S20" s="8" t="s">
        <v>54</v>
      </c>
      <c r="T20" s="9" t="n">
        <v>94</v>
      </c>
      <c r="U20" s="10" t="n">
        <v>43</v>
      </c>
      <c r="V20" s="10" t="s">
        <v>45</v>
      </c>
      <c r="W20" s="11" t="n">
        <v>43</v>
      </c>
      <c r="X20" s="12" t="n">
        <v>78</v>
      </c>
      <c r="Y20" s="12" t="s">
        <v>43</v>
      </c>
      <c r="Z20" s="13" t="n">
        <v>78</v>
      </c>
      <c r="AA20" s="14" t="n">
        <v>99</v>
      </c>
      <c r="AB20" s="14" t="s">
        <v>54</v>
      </c>
      <c r="AC20" s="15" t="n">
        <v>99</v>
      </c>
      <c r="AD20" s="2" t="n">
        <f aca="false">SUM(L20,O20,R20,U20,X20,AA20)</f>
        <v>491</v>
      </c>
      <c r="AE20" s="16" t="n">
        <f aca="false">AD20/6</f>
        <v>81.8333333333333</v>
      </c>
      <c r="AF20" s="2" t="str">
        <f aca="false">IF(SUM(COUNTIF(M20,"RA"),COUNTIF(P20,"RA"),COUNTIF(S20,"RA"),COUNTIF(V20,"RA"),COUNTIF(Y20,"RA"),COUNTIF(AB20,"RA"))&gt;0,"FAIL","PASS")</f>
        <v>FAIL</v>
      </c>
    </row>
    <row r="21" customFormat="false" ht="15" hidden="false" customHeight="false" outlineLevel="0" collapsed="false">
      <c r="A21" s="2" t="n">
        <v>20</v>
      </c>
      <c r="B21" s="3" t="s">
        <v>162</v>
      </c>
      <c r="C21" s="2" t="s">
        <v>33</v>
      </c>
      <c r="D21" s="2" t="s">
        <v>163</v>
      </c>
      <c r="E21" s="2" t="s">
        <v>57</v>
      </c>
      <c r="F21" s="2" t="s">
        <v>36</v>
      </c>
      <c r="G21" s="2" t="s">
        <v>48</v>
      </c>
      <c r="H21" s="2" t="s">
        <v>164</v>
      </c>
      <c r="I21" s="3" t="s">
        <v>165</v>
      </c>
      <c r="J21" s="2" t="s">
        <v>166</v>
      </c>
      <c r="K21" s="2" t="s">
        <v>167</v>
      </c>
      <c r="L21" s="4" t="n">
        <v>89</v>
      </c>
      <c r="M21" s="4" t="s">
        <v>42</v>
      </c>
      <c r="N21" s="5" t="n">
        <v>89</v>
      </c>
      <c r="O21" s="6" t="n">
        <v>87</v>
      </c>
      <c r="P21" s="6" t="s">
        <v>42</v>
      </c>
      <c r="Q21" s="7" t="n">
        <v>87</v>
      </c>
      <c r="R21" s="8" t="n">
        <v>89</v>
      </c>
      <c r="S21" s="8" t="s">
        <v>42</v>
      </c>
      <c r="T21" s="9" t="n">
        <v>89</v>
      </c>
      <c r="U21" s="10" t="n">
        <v>84</v>
      </c>
      <c r="V21" s="10" t="s">
        <v>42</v>
      </c>
      <c r="W21" s="11" t="n">
        <v>84</v>
      </c>
      <c r="X21" s="12" t="n">
        <v>86</v>
      </c>
      <c r="Y21" s="12" t="s">
        <v>42</v>
      </c>
      <c r="Z21" s="13" t="n">
        <v>86</v>
      </c>
      <c r="AA21" s="14" t="n">
        <v>75</v>
      </c>
      <c r="AB21" s="14" t="s">
        <v>43</v>
      </c>
      <c r="AC21" s="15" t="n">
        <v>75</v>
      </c>
      <c r="AD21" s="2" t="n">
        <f aca="false">SUM(L21,O21,R21,U21,X21,AA21)</f>
        <v>510</v>
      </c>
      <c r="AE21" s="16" t="n">
        <f aca="false">AD21/6</f>
        <v>85</v>
      </c>
      <c r="AF21" s="2" t="str">
        <f aca="false">IF(SUM(COUNTIF(M21,"RA"),COUNTIF(P21,"RA"),COUNTIF(S21,"RA"),COUNTIF(V21,"RA"),COUNTIF(Y21,"RA"),COUNTIF(AB21,"RA"))&gt;0,"FAIL","PASS")</f>
        <v>PASS</v>
      </c>
    </row>
    <row r="22" customFormat="false" ht="15" hidden="false" customHeight="false" outlineLevel="0" collapsed="false">
      <c r="A22" s="2" t="n">
        <v>21</v>
      </c>
      <c r="B22" s="3" t="s">
        <v>168</v>
      </c>
      <c r="C22" s="2" t="s">
        <v>33</v>
      </c>
      <c r="D22" s="2" t="s">
        <v>169</v>
      </c>
      <c r="E22" s="2" t="s">
        <v>57</v>
      </c>
      <c r="F22" s="2" t="s">
        <v>36</v>
      </c>
      <c r="G22" s="2" t="s">
        <v>37</v>
      </c>
      <c r="H22" s="2" t="s">
        <v>170</v>
      </c>
      <c r="I22" s="3" t="s">
        <v>171</v>
      </c>
      <c r="J22" s="2" t="s">
        <v>172</v>
      </c>
      <c r="K22" s="2" t="s">
        <v>173</v>
      </c>
      <c r="L22" s="4" t="n">
        <v>84</v>
      </c>
      <c r="M22" s="4" t="s">
        <v>42</v>
      </c>
      <c r="N22" s="5" t="n">
        <v>84</v>
      </c>
      <c r="O22" s="6" t="n">
        <v>78</v>
      </c>
      <c r="P22" s="6" t="s">
        <v>43</v>
      </c>
      <c r="Q22" s="7" t="n">
        <v>78</v>
      </c>
      <c r="R22" s="8" t="n">
        <v>77</v>
      </c>
      <c r="S22" s="8" t="s">
        <v>43</v>
      </c>
      <c r="T22" s="9" t="n">
        <v>77</v>
      </c>
      <c r="U22" s="10" t="n">
        <v>85</v>
      </c>
      <c r="V22" s="10" t="s">
        <v>42</v>
      </c>
      <c r="W22" s="11" t="n">
        <v>85</v>
      </c>
      <c r="X22" s="12" t="n">
        <v>99</v>
      </c>
      <c r="Y22" s="12" t="s">
        <v>54</v>
      </c>
      <c r="Z22" s="13" t="n">
        <v>99</v>
      </c>
      <c r="AA22" s="14" t="n">
        <v>75</v>
      </c>
      <c r="AB22" s="14" t="s">
        <v>43</v>
      </c>
      <c r="AC22" s="15" t="n">
        <v>75</v>
      </c>
      <c r="AD22" s="2" t="n">
        <f aca="false">SUM(L22,O22,R22,U22,X22,AA22)</f>
        <v>498</v>
      </c>
      <c r="AE22" s="16" t="n">
        <f aca="false">AD22/6</f>
        <v>83</v>
      </c>
      <c r="AF22" s="2" t="str">
        <f aca="false">IF(SUM(COUNTIF(M22,"RA"),COUNTIF(P22,"RA"),COUNTIF(S22,"RA"),COUNTIF(V22,"RA"),COUNTIF(Y22,"RA"),COUNTIF(AB22,"RA"))&gt;0,"FAIL","PASS")</f>
        <v>PASS</v>
      </c>
    </row>
    <row r="23" customFormat="false" ht="15" hidden="false" customHeight="false" outlineLevel="0" collapsed="false">
      <c r="A23" s="2" t="n">
        <v>22</v>
      </c>
      <c r="B23" s="3" t="s">
        <v>174</v>
      </c>
      <c r="C23" s="2" t="s">
        <v>33</v>
      </c>
      <c r="D23" s="2" t="s">
        <v>175</v>
      </c>
      <c r="E23" s="2" t="s">
        <v>57</v>
      </c>
      <c r="F23" s="2" t="s">
        <v>36</v>
      </c>
      <c r="G23" s="2" t="s">
        <v>37</v>
      </c>
      <c r="H23" s="2" t="s">
        <v>176</v>
      </c>
      <c r="I23" s="3" t="s">
        <v>177</v>
      </c>
      <c r="J23" s="2" t="s">
        <v>178</v>
      </c>
      <c r="K23" s="2" t="s">
        <v>179</v>
      </c>
      <c r="L23" s="4" t="n">
        <v>64</v>
      </c>
      <c r="M23" s="4" t="s">
        <v>44</v>
      </c>
      <c r="N23" s="5" t="n">
        <v>64</v>
      </c>
      <c r="O23" s="6" t="n">
        <v>73</v>
      </c>
      <c r="P23" s="6" t="s">
        <v>43</v>
      </c>
      <c r="Q23" s="7" t="n">
        <v>73</v>
      </c>
      <c r="R23" s="8" t="n">
        <v>74</v>
      </c>
      <c r="S23" s="8" t="s">
        <v>43</v>
      </c>
      <c r="T23" s="9" t="n">
        <v>74</v>
      </c>
      <c r="U23" s="10" t="n">
        <v>96</v>
      </c>
      <c r="V23" s="10" t="s">
        <v>54</v>
      </c>
      <c r="W23" s="11" t="n">
        <v>96</v>
      </c>
      <c r="X23" s="12" t="n">
        <v>45</v>
      </c>
      <c r="Y23" s="12" t="s">
        <v>45</v>
      </c>
      <c r="Z23" s="13" t="n">
        <v>45</v>
      </c>
      <c r="AA23" s="14" t="n">
        <v>62</v>
      </c>
      <c r="AB23" s="14" t="s">
        <v>44</v>
      </c>
      <c r="AC23" s="15" t="n">
        <v>62</v>
      </c>
      <c r="AD23" s="2" t="n">
        <f aca="false">SUM(L23,O23,R23,U23,X23,AA23)</f>
        <v>414</v>
      </c>
      <c r="AE23" s="16" t="n">
        <f aca="false">AD23/6</f>
        <v>69</v>
      </c>
      <c r="AF23" s="2" t="str">
        <f aca="false">IF(SUM(COUNTIF(M23,"RA"),COUNTIF(P23,"RA"),COUNTIF(S23,"RA"),COUNTIF(V23,"RA"),COUNTIF(Y23,"RA"),COUNTIF(AB23,"RA"))&gt;0,"FAIL","PASS")</f>
        <v>FAIL</v>
      </c>
    </row>
    <row r="24" customFormat="false" ht="15" hidden="false" customHeight="false" outlineLevel="0" collapsed="false">
      <c r="A24" s="2" t="n">
        <v>23</v>
      </c>
      <c r="B24" s="3" t="s">
        <v>180</v>
      </c>
      <c r="C24" s="2" t="s">
        <v>33</v>
      </c>
      <c r="D24" s="2" t="s">
        <v>181</v>
      </c>
      <c r="E24" s="2" t="s">
        <v>57</v>
      </c>
      <c r="F24" s="2" t="s">
        <v>36</v>
      </c>
      <c r="G24" s="2" t="s">
        <v>42</v>
      </c>
      <c r="H24" s="2" t="s">
        <v>182</v>
      </c>
      <c r="I24" s="3" t="s">
        <v>183</v>
      </c>
      <c r="J24" s="2" t="s">
        <v>184</v>
      </c>
      <c r="K24" s="2" t="s">
        <v>185</v>
      </c>
      <c r="L24" s="4" t="n">
        <v>71</v>
      </c>
      <c r="M24" s="4" t="s">
        <v>43</v>
      </c>
      <c r="N24" s="5" t="n">
        <v>71</v>
      </c>
      <c r="O24" s="6" t="n">
        <v>90</v>
      </c>
      <c r="P24" s="6" t="s">
        <v>54</v>
      </c>
      <c r="Q24" s="7" t="n">
        <v>90</v>
      </c>
      <c r="R24" s="8" t="n">
        <v>44</v>
      </c>
      <c r="S24" s="8" t="s">
        <v>45</v>
      </c>
      <c r="T24" s="9" t="n">
        <v>44</v>
      </c>
      <c r="U24" s="10" t="n">
        <v>70</v>
      </c>
      <c r="V24" s="10" t="s">
        <v>43</v>
      </c>
      <c r="W24" s="11" t="n">
        <v>70</v>
      </c>
      <c r="X24" s="12" t="n">
        <v>69</v>
      </c>
      <c r="Y24" s="12" t="s">
        <v>44</v>
      </c>
      <c r="Z24" s="13" t="n">
        <v>69</v>
      </c>
      <c r="AA24" s="14" t="n">
        <v>86</v>
      </c>
      <c r="AB24" s="14" t="s">
        <v>42</v>
      </c>
      <c r="AC24" s="15" t="n">
        <v>86</v>
      </c>
      <c r="AD24" s="2" t="n">
        <f aca="false">SUM(L24,O24,R24,U24,X24,AA24)</f>
        <v>430</v>
      </c>
      <c r="AE24" s="16" t="n">
        <f aca="false">AD24/6</f>
        <v>71.6666666666667</v>
      </c>
      <c r="AF24" s="2" t="str">
        <f aca="false">IF(SUM(COUNTIF(M24,"RA"),COUNTIF(P24,"RA"),COUNTIF(S24,"RA"),COUNTIF(V24,"RA"),COUNTIF(Y24,"RA"),COUNTIF(AB24,"RA"))&gt;0,"FAIL","PASS")</f>
        <v>FAIL</v>
      </c>
    </row>
    <row r="25" customFormat="false" ht="15" hidden="false" customHeight="false" outlineLevel="0" collapsed="false">
      <c r="A25" s="2" t="n">
        <v>24</v>
      </c>
      <c r="B25" s="3" t="s">
        <v>186</v>
      </c>
      <c r="C25" s="2" t="s">
        <v>33</v>
      </c>
      <c r="D25" s="2" t="s">
        <v>187</v>
      </c>
      <c r="E25" s="2" t="s">
        <v>57</v>
      </c>
      <c r="F25" s="2" t="s">
        <v>36</v>
      </c>
      <c r="G25" s="2" t="s">
        <v>37</v>
      </c>
      <c r="H25" s="2" t="s">
        <v>188</v>
      </c>
      <c r="I25" s="3" t="s">
        <v>189</v>
      </c>
      <c r="J25" s="2" t="s">
        <v>190</v>
      </c>
      <c r="K25" s="2" t="s">
        <v>191</v>
      </c>
      <c r="L25" s="4" t="n">
        <v>95</v>
      </c>
      <c r="M25" s="4" t="s">
        <v>54</v>
      </c>
      <c r="N25" s="5" t="n">
        <v>95</v>
      </c>
      <c r="O25" s="6" t="n">
        <v>69</v>
      </c>
      <c r="P25" s="6" t="s">
        <v>44</v>
      </c>
      <c r="Q25" s="7" t="n">
        <v>69</v>
      </c>
      <c r="R25" s="8" t="n">
        <v>78</v>
      </c>
      <c r="S25" s="8" t="s">
        <v>43</v>
      </c>
      <c r="T25" s="9" t="n">
        <v>78</v>
      </c>
      <c r="U25" s="10" t="n">
        <v>69</v>
      </c>
      <c r="V25" s="10" t="s">
        <v>44</v>
      </c>
      <c r="W25" s="11" t="n">
        <v>69</v>
      </c>
      <c r="X25" s="12" t="n">
        <v>80</v>
      </c>
      <c r="Y25" s="12" t="s">
        <v>42</v>
      </c>
      <c r="Z25" s="13" t="n">
        <v>80</v>
      </c>
      <c r="AA25" s="14" t="n">
        <v>97</v>
      </c>
      <c r="AB25" s="14" t="s">
        <v>54</v>
      </c>
      <c r="AC25" s="15" t="n">
        <v>97</v>
      </c>
      <c r="AD25" s="2" t="n">
        <f aca="false">SUM(L25,O25,R25,U25,X25,AA25)</f>
        <v>488</v>
      </c>
      <c r="AE25" s="16" t="n">
        <f aca="false">AD25/6</f>
        <v>81.3333333333333</v>
      </c>
      <c r="AF25" s="2" t="str">
        <f aca="false">IF(SUM(COUNTIF(M25,"RA"),COUNTIF(P25,"RA"),COUNTIF(S25,"RA"),COUNTIF(V25,"RA"),COUNTIF(Y25,"RA"),COUNTIF(AB25,"RA"))&gt;0,"FAIL","PASS")</f>
        <v>PASS</v>
      </c>
    </row>
    <row r="26" customFormat="false" ht="15" hidden="false" customHeight="false" outlineLevel="0" collapsed="false">
      <c r="A26" s="2" t="n">
        <v>25</v>
      </c>
      <c r="B26" s="3" t="s">
        <v>192</v>
      </c>
      <c r="C26" s="2" t="s">
        <v>33</v>
      </c>
      <c r="D26" s="2" t="s">
        <v>193</v>
      </c>
      <c r="E26" s="2" t="s">
        <v>57</v>
      </c>
      <c r="F26" s="2" t="s">
        <v>36</v>
      </c>
      <c r="G26" s="2" t="s">
        <v>42</v>
      </c>
      <c r="H26" s="2" t="s">
        <v>194</v>
      </c>
      <c r="I26" s="3" t="s">
        <v>195</v>
      </c>
      <c r="J26" s="2" t="s">
        <v>196</v>
      </c>
      <c r="K26" s="2" t="s">
        <v>197</v>
      </c>
      <c r="L26" s="4" t="n">
        <v>73</v>
      </c>
      <c r="M26" s="4" t="s">
        <v>43</v>
      </c>
      <c r="N26" s="5" t="n">
        <v>73</v>
      </c>
      <c r="O26" s="6" t="n">
        <v>85</v>
      </c>
      <c r="P26" s="6" t="s">
        <v>42</v>
      </c>
      <c r="Q26" s="7" t="n">
        <v>85</v>
      </c>
      <c r="R26" s="8" t="n">
        <v>60</v>
      </c>
      <c r="S26" s="8" t="s">
        <v>44</v>
      </c>
      <c r="T26" s="9" t="n">
        <v>60</v>
      </c>
      <c r="U26" s="10" t="n">
        <v>84</v>
      </c>
      <c r="V26" s="10" t="s">
        <v>42</v>
      </c>
      <c r="W26" s="11" t="n">
        <v>84</v>
      </c>
      <c r="X26" s="12" t="n">
        <v>79</v>
      </c>
      <c r="Y26" s="12" t="s">
        <v>43</v>
      </c>
      <c r="Z26" s="13" t="n">
        <v>79</v>
      </c>
      <c r="AA26" s="14" t="n">
        <v>65</v>
      </c>
      <c r="AB26" s="14" t="s">
        <v>44</v>
      </c>
      <c r="AC26" s="15" t="n">
        <v>65</v>
      </c>
      <c r="AD26" s="2" t="n">
        <f aca="false">SUM(L26,O26,R26,U26,X26,AA26)</f>
        <v>446</v>
      </c>
      <c r="AE26" s="16" t="n">
        <f aca="false">AD26/6</f>
        <v>74.3333333333333</v>
      </c>
      <c r="AF26" s="2" t="str">
        <f aca="false">IF(SUM(COUNTIF(M26,"RA"),COUNTIF(P26,"RA"),COUNTIF(S26,"RA"),COUNTIF(V26,"RA"),COUNTIF(Y26,"RA"),COUNTIF(AB26,"RA"))&gt;0,"FAIL","PASS")</f>
        <v>PASS</v>
      </c>
    </row>
    <row r="27" customFormat="false" ht="15" hidden="false" customHeight="false" outlineLevel="0" collapsed="false">
      <c r="A27" s="2" t="n">
        <v>26</v>
      </c>
      <c r="B27" s="3" t="s">
        <v>198</v>
      </c>
      <c r="C27" s="2" t="s">
        <v>33</v>
      </c>
      <c r="D27" s="2" t="s">
        <v>199</v>
      </c>
      <c r="E27" s="2" t="s">
        <v>35</v>
      </c>
      <c r="F27" s="2" t="s">
        <v>36</v>
      </c>
      <c r="G27" s="2" t="s">
        <v>71</v>
      </c>
      <c r="H27" s="2" t="s">
        <v>200</v>
      </c>
      <c r="I27" s="3" t="s">
        <v>201</v>
      </c>
      <c r="J27" s="2" t="s">
        <v>202</v>
      </c>
      <c r="K27" s="2" t="s">
        <v>203</v>
      </c>
      <c r="L27" s="4" t="n">
        <v>40</v>
      </c>
      <c r="M27" s="4" t="s">
        <v>45</v>
      </c>
      <c r="N27" s="5" t="n">
        <v>40</v>
      </c>
      <c r="O27" s="6" t="n">
        <v>91</v>
      </c>
      <c r="P27" s="6" t="s">
        <v>54</v>
      </c>
      <c r="Q27" s="7" t="n">
        <v>91</v>
      </c>
      <c r="R27" s="8" t="n">
        <v>65</v>
      </c>
      <c r="S27" s="8" t="s">
        <v>44</v>
      </c>
      <c r="T27" s="9" t="n">
        <v>65</v>
      </c>
      <c r="U27" s="10" t="n">
        <v>99</v>
      </c>
      <c r="V27" s="10" t="s">
        <v>54</v>
      </c>
      <c r="W27" s="11" t="n">
        <v>99</v>
      </c>
      <c r="X27" s="12" t="n">
        <v>41</v>
      </c>
      <c r="Y27" s="12" t="s">
        <v>45</v>
      </c>
      <c r="Z27" s="13" t="n">
        <v>41</v>
      </c>
      <c r="AA27" s="14" t="n">
        <v>63</v>
      </c>
      <c r="AB27" s="14" t="s">
        <v>44</v>
      </c>
      <c r="AC27" s="15" t="n">
        <v>63</v>
      </c>
      <c r="AD27" s="2" t="n">
        <f aca="false">SUM(L27,O27,R27,U27,X27,AA27)</f>
        <v>399</v>
      </c>
      <c r="AE27" s="16" t="n">
        <f aca="false">AD27/6</f>
        <v>66.5</v>
      </c>
      <c r="AF27" s="2" t="str">
        <f aca="false">IF(SUM(COUNTIF(M27,"RA"),COUNTIF(P27,"RA"),COUNTIF(S27,"RA"),COUNTIF(V27,"RA"),COUNTIF(Y27,"RA"),COUNTIF(AB27,"RA"))&gt;0,"FAIL","PASS")</f>
        <v>FAIL</v>
      </c>
    </row>
    <row r="28" customFormat="false" ht="15" hidden="false" customHeight="false" outlineLevel="0" collapsed="false">
      <c r="A28" s="2" t="n">
        <v>27</v>
      </c>
      <c r="B28" s="3" t="s">
        <v>204</v>
      </c>
      <c r="C28" s="2" t="s">
        <v>33</v>
      </c>
      <c r="D28" s="2" t="s">
        <v>205</v>
      </c>
      <c r="E28" s="2" t="s">
        <v>57</v>
      </c>
      <c r="F28" s="2" t="s">
        <v>36</v>
      </c>
      <c r="G28" s="2" t="s">
        <v>64</v>
      </c>
      <c r="H28" s="2" t="s">
        <v>206</v>
      </c>
      <c r="I28" s="3" t="s">
        <v>207</v>
      </c>
      <c r="J28" s="2" t="s">
        <v>208</v>
      </c>
      <c r="K28" s="2" t="s">
        <v>209</v>
      </c>
      <c r="L28" s="4" t="n">
        <v>63</v>
      </c>
      <c r="M28" s="4" t="s">
        <v>44</v>
      </c>
      <c r="N28" s="5" t="n">
        <v>63</v>
      </c>
      <c r="O28" s="6" t="n">
        <v>77</v>
      </c>
      <c r="P28" s="6" t="s">
        <v>43</v>
      </c>
      <c r="Q28" s="7" t="n">
        <v>77</v>
      </c>
      <c r="R28" s="8" t="n">
        <v>87</v>
      </c>
      <c r="S28" s="8" t="s">
        <v>42</v>
      </c>
      <c r="T28" s="9" t="n">
        <v>87</v>
      </c>
      <c r="U28" s="10" t="n">
        <v>85</v>
      </c>
      <c r="V28" s="10" t="s">
        <v>42</v>
      </c>
      <c r="W28" s="11" t="n">
        <v>85</v>
      </c>
      <c r="X28" s="12" t="n">
        <v>87</v>
      </c>
      <c r="Y28" s="12" t="s">
        <v>42</v>
      </c>
      <c r="Z28" s="13" t="n">
        <v>87</v>
      </c>
      <c r="AA28" s="14" t="n">
        <v>55</v>
      </c>
      <c r="AB28" s="14" t="s">
        <v>53</v>
      </c>
      <c r="AC28" s="15" t="n">
        <v>55</v>
      </c>
      <c r="AD28" s="2" t="n">
        <f aca="false">SUM(L28,O28,R28,U28,X28,AA28)</f>
        <v>454</v>
      </c>
      <c r="AE28" s="16" t="n">
        <f aca="false">AD28/6</f>
        <v>75.6666666666667</v>
      </c>
      <c r="AF28" s="2" t="str">
        <f aca="false">IF(SUM(COUNTIF(M28,"RA"),COUNTIF(P28,"RA"),COUNTIF(S28,"RA"),COUNTIF(V28,"RA"),COUNTIF(Y28,"RA"),COUNTIF(AB28,"RA"))&gt;0,"FAIL","PASS")</f>
        <v>PASS</v>
      </c>
    </row>
    <row r="29" customFormat="false" ht="15" hidden="false" customHeight="false" outlineLevel="0" collapsed="false">
      <c r="A29" s="2" t="n">
        <v>28</v>
      </c>
      <c r="B29" s="3" t="s">
        <v>210</v>
      </c>
      <c r="C29" s="2" t="s">
        <v>33</v>
      </c>
      <c r="D29" s="2" t="s">
        <v>211</v>
      </c>
      <c r="E29" s="2" t="s">
        <v>57</v>
      </c>
      <c r="F29" s="2" t="s">
        <v>36</v>
      </c>
      <c r="G29" s="2" t="s">
        <v>48</v>
      </c>
      <c r="H29" s="2" t="s">
        <v>212</v>
      </c>
      <c r="I29" s="3" t="s">
        <v>213</v>
      </c>
      <c r="J29" s="2" t="s">
        <v>214</v>
      </c>
      <c r="K29" s="2" t="s">
        <v>215</v>
      </c>
      <c r="L29" s="4" t="n">
        <v>64</v>
      </c>
      <c r="M29" s="4" t="s">
        <v>44</v>
      </c>
      <c r="N29" s="5" t="n">
        <v>64</v>
      </c>
      <c r="O29" s="6" t="n">
        <v>68</v>
      </c>
      <c r="P29" s="6" t="s">
        <v>44</v>
      </c>
      <c r="Q29" s="7" t="n">
        <v>68</v>
      </c>
      <c r="R29" s="8" t="n">
        <v>100</v>
      </c>
      <c r="S29" s="8" t="s">
        <v>54</v>
      </c>
      <c r="T29" s="9" t="n">
        <v>100</v>
      </c>
      <c r="U29" s="10" t="n">
        <v>49</v>
      </c>
      <c r="V29" s="10" t="s">
        <v>45</v>
      </c>
      <c r="W29" s="11" t="n">
        <v>49</v>
      </c>
      <c r="X29" s="12" t="n">
        <v>87</v>
      </c>
      <c r="Y29" s="12" t="s">
        <v>42</v>
      </c>
      <c r="Z29" s="13" t="n">
        <v>87</v>
      </c>
      <c r="AA29" s="14" t="n">
        <v>81</v>
      </c>
      <c r="AB29" s="14" t="s">
        <v>42</v>
      </c>
      <c r="AC29" s="15" t="n">
        <v>81</v>
      </c>
      <c r="AD29" s="2" t="n">
        <f aca="false">SUM(L29,O29,R29,U29,X29,AA29)</f>
        <v>449</v>
      </c>
      <c r="AE29" s="16" t="n">
        <f aca="false">AD29/6</f>
        <v>74.8333333333333</v>
      </c>
      <c r="AF29" s="2" t="str">
        <f aca="false">IF(SUM(COUNTIF(M29,"RA"),COUNTIF(P29,"RA"),COUNTIF(S29,"RA"),COUNTIF(V29,"RA"),COUNTIF(Y29,"RA"),COUNTIF(AB29,"RA"))&gt;0,"FAIL","PASS")</f>
        <v>FAIL</v>
      </c>
    </row>
    <row r="30" customFormat="false" ht="15" hidden="false" customHeight="false" outlineLevel="0" collapsed="false">
      <c r="A30" s="2" t="n">
        <v>29</v>
      </c>
      <c r="B30" s="3" t="s">
        <v>216</v>
      </c>
      <c r="C30" s="2" t="s">
        <v>33</v>
      </c>
      <c r="D30" s="2" t="s">
        <v>217</v>
      </c>
      <c r="E30" s="2" t="s">
        <v>35</v>
      </c>
      <c r="F30" s="2" t="s">
        <v>36</v>
      </c>
      <c r="G30" s="2" t="s">
        <v>42</v>
      </c>
      <c r="H30" s="2" t="s">
        <v>218</v>
      </c>
      <c r="I30" s="3" t="s">
        <v>219</v>
      </c>
      <c r="J30" s="2" t="s">
        <v>220</v>
      </c>
      <c r="K30" s="2" t="s">
        <v>221</v>
      </c>
      <c r="L30" s="4" t="n">
        <v>73</v>
      </c>
      <c r="M30" s="4" t="s">
        <v>43</v>
      </c>
      <c r="N30" s="5" t="n">
        <v>73</v>
      </c>
      <c r="O30" s="6" t="n">
        <v>96</v>
      </c>
      <c r="P30" s="6" t="s">
        <v>54</v>
      </c>
      <c r="Q30" s="7" t="n">
        <v>96</v>
      </c>
      <c r="R30" s="8" t="n">
        <v>68</v>
      </c>
      <c r="S30" s="8" t="s">
        <v>44</v>
      </c>
      <c r="T30" s="9" t="n">
        <v>68</v>
      </c>
      <c r="U30" s="10" t="n">
        <v>89</v>
      </c>
      <c r="V30" s="10" t="s">
        <v>42</v>
      </c>
      <c r="W30" s="11" t="n">
        <v>89</v>
      </c>
      <c r="X30" s="12" t="n">
        <v>86</v>
      </c>
      <c r="Y30" s="12" t="s">
        <v>42</v>
      </c>
      <c r="Z30" s="13" t="n">
        <v>86</v>
      </c>
      <c r="AA30" s="14" t="n">
        <v>97</v>
      </c>
      <c r="AB30" s="14" t="s">
        <v>54</v>
      </c>
      <c r="AC30" s="15" t="n">
        <v>97</v>
      </c>
      <c r="AD30" s="2" t="n">
        <f aca="false">SUM(L30,O30,R30,U30,X30,AA30)</f>
        <v>509</v>
      </c>
      <c r="AE30" s="16" t="n">
        <f aca="false">AD30/6</f>
        <v>84.8333333333333</v>
      </c>
      <c r="AF30" s="2" t="str">
        <f aca="false">IF(SUM(COUNTIF(M30,"RA"),COUNTIF(P30,"RA"),COUNTIF(S30,"RA"),COUNTIF(V30,"RA"),COUNTIF(Y30,"RA"),COUNTIF(AB30,"RA"))&gt;0,"FAIL","PASS")</f>
        <v>PASS</v>
      </c>
    </row>
    <row r="31" customFormat="false" ht="15" hidden="false" customHeight="false" outlineLevel="0" collapsed="false">
      <c r="A31" s="2" t="n">
        <v>30</v>
      </c>
      <c r="B31" s="3" t="s">
        <v>222</v>
      </c>
      <c r="C31" s="2" t="s">
        <v>33</v>
      </c>
      <c r="D31" s="2" t="s">
        <v>223</v>
      </c>
      <c r="E31" s="2" t="s">
        <v>57</v>
      </c>
      <c r="F31" s="2" t="s">
        <v>36</v>
      </c>
      <c r="G31" s="2" t="s">
        <v>44</v>
      </c>
      <c r="H31" s="2" t="s">
        <v>224</v>
      </c>
      <c r="I31" s="3" t="s">
        <v>225</v>
      </c>
      <c r="J31" s="2" t="s">
        <v>226</v>
      </c>
      <c r="K31" s="2" t="s">
        <v>227</v>
      </c>
      <c r="L31" s="4" t="n">
        <v>97</v>
      </c>
      <c r="M31" s="4" t="s">
        <v>54</v>
      </c>
      <c r="N31" s="5" t="n">
        <v>97</v>
      </c>
      <c r="O31" s="6" t="n">
        <v>41</v>
      </c>
      <c r="P31" s="6" t="s">
        <v>45</v>
      </c>
      <c r="Q31" s="7" t="n">
        <v>41</v>
      </c>
      <c r="R31" s="8" t="n">
        <v>99</v>
      </c>
      <c r="S31" s="8" t="s">
        <v>54</v>
      </c>
      <c r="T31" s="9" t="n">
        <v>99</v>
      </c>
      <c r="U31" s="10" t="n">
        <v>82</v>
      </c>
      <c r="V31" s="10" t="s">
        <v>42</v>
      </c>
      <c r="W31" s="11" t="n">
        <v>82</v>
      </c>
      <c r="X31" s="12" t="n">
        <v>56</v>
      </c>
      <c r="Y31" s="12" t="s">
        <v>53</v>
      </c>
      <c r="Z31" s="13" t="n">
        <v>56</v>
      </c>
      <c r="AA31" s="14" t="n">
        <v>70</v>
      </c>
      <c r="AB31" s="14" t="s">
        <v>43</v>
      </c>
      <c r="AC31" s="15" t="n">
        <v>70</v>
      </c>
      <c r="AD31" s="2" t="n">
        <f aca="false">SUM(L31,O31,R31,U31,X31,AA31)</f>
        <v>445</v>
      </c>
      <c r="AE31" s="16" t="n">
        <f aca="false">AD31/6</f>
        <v>74.1666666666667</v>
      </c>
      <c r="AF31" s="2" t="str">
        <f aca="false">IF(SUM(COUNTIF(M31,"RA"),COUNTIF(P31,"RA"),COUNTIF(S31,"RA"),COUNTIF(V31,"RA"),COUNTIF(Y31,"RA"),COUNTIF(AB31,"RA"))&gt;0,"FAIL","PASS")</f>
        <v>FAIL</v>
      </c>
    </row>
    <row r="32" customFormat="false" ht="15" hidden="false" customHeight="false" outlineLevel="0" collapsed="false">
      <c r="A32" s="2" t="n">
        <v>31</v>
      </c>
      <c r="B32" s="3" t="s">
        <v>228</v>
      </c>
      <c r="C32" s="2" t="s">
        <v>33</v>
      </c>
      <c r="D32" s="2" t="s">
        <v>229</v>
      </c>
      <c r="E32" s="2" t="s">
        <v>35</v>
      </c>
      <c r="F32" s="2" t="s">
        <v>36</v>
      </c>
      <c r="G32" s="2" t="s">
        <v>44</v>
      </c>
      <c r="H32" s="2" t="s">
        <v>230</v>
      </c>
      <c r="I32" s="3" t="s">
        <v>231</v>
      </c>
      <c r="J32" s="2" t="s">
        <v>232</v>
      </c>
      <c r="K32" s="2" t="s">
        <v>233</v>
      </c>
      <c r="L32" s="4" t="n">
        <v>46</v>
      </c>
      <c r="M32" s="4" t="s">
        <v>45</v>
      </c>
      <c r="N32" s="5" t="n">
        <v>46</v>
      </c>
      <c r="O32" s="6" t="n">
        <v>85</v>
      </c>
      <c r="P32" s="6" t="s">
        <v>42</v>
      </c>
      <c r="Q32" s="7" t="n">
        <v>85</v>
      </c>
      <c r="R32" s="8" t="n">
        <v>93</v>
      </c>
      <c r="S32" s="8" t="s">
        <v>54</v>
      </c>
      <c r="T32" s="9" t="n">
        <v>93</v>
      </c>
      <c r="U32" s="10" t="n">
        <v>70</v>
      </c>
      <c r="V32" s="10" t="s">
        <v>43</v>
      </c>
      <c r="W32" s="11" t="n">
        <v>70</v>
      </c>
      <c r="X32" s="12" t="n">
        <v>50</v>
      </c>
      <c r="Y32" s="12" t="s">
        <v>53</v>
      </c>
      <c r="Z32" s="13" t="n">
        <v>50</v>
      </c>
      <c r="AA32" s="14" t="n">
        <v>58</v>
      </c>
      <c r="AB32" s="14" t="s">
        <v>53</v>
      </c>
      <c r="AC32" s="15" t="n">
        <v>58</v>
      </c>
      <c r="AD32" s="2" t="n">
        <f aca="false">SUM(L32,O32,R32,U32,X32,AA32)</f>
        <v>402</v>
      </c>
      <c r="AE32" s="16" t="n">
        <f aca="false">AD32/6</f>
        <v>67</v>
      </c>
      <c r="AF32" s="2" t="str">
        <f aca="false">IF(SUM(COUNTIF(M32,"RA"),COUNTIF(P32,"RA"),COUNTIF(S32,"RA"),COUNTIF(V32,"RA"),COUNTIF(Y32,"RA"),COUNTIF(AB32,"RA"))&gt;0,"FAIL","PASS")</f>
        <v>FAIL</v>
      </c>
    </row>
    <row r="33" customFormat="false" ht="15" hidden="false" customHeight="false" outlineLevel="0" collapsed="false">
      <c r="A33" s="2" t="n">
        <v>32</v>
      </c>
      <c r="B33" s="3" t="s">
        <v>234</v>
      </c>
      <c r="C33" s="2" t="s">
        <v>33</v>
      </c>
      <c r="D33" s="2" t="s">
        <v>235</v>
      </c>
      <c r="E33" s="2" t="s">
        <v>35</v>
      </c>
      <c r="F33" s="2" t="s">
        <v>36</v>
      </c>
      <c r="G33" s="2" t="s">
        <v>91</v>
      </c>
      <c r="H33" s="2" t="s">
        <v>236</v>
      </c>
      <c r="I33" s="3" t="s">
        <v>237</v>
      </c>
      <c r="J33" s="2" t="s">
        <v>238</v>
      </c>
      <c r="K33" s="2" t="s">
        <v>239</v>
      </c>
      <c r="L33" s="4" t="n">
        <v>66</v>
      </c>
      <c r="M33" s="4" t="s">
        <v>44</v>
      </c>
      <c r="N33" s="5" t="n">
        <v>66</v>
      </c>
      <c r="O33" s="6" t="n">
        <v>100</v>
      </c>
      <c r="P33" s="6" t="s">
        <v>54</v>
      </c>
      <c r="Q33" s="7" t="n">
        <v>100</v>
      </c>
      <c r="R33" s="8" t="n">
        <v>78</v>
      </c>
      <c r="S33" s="8" t="s">
        <v>43</v>
      </c>
      <c r="T33" s="9" t="n">
        <v>78</v>
      </c>
      <c r="U33" s="10" t="n">
        <v>98</v>
      </c>
      <c r="V33" s="10" t="s">
        <v>54</v>
      </c>
      <c r="W33" s="11" t="n">
        <v>98</v>
      </c>
      <c r="X33" s="12" t="n">
        <v>70</v>
      </c>
      <c r="Y33" s="12" t="s">
        <v>43</v>
      </c>
      <c r="Z33" s="13" t="n">
        <v>70</v>
      </c>
      <c r="AA33" s="14" t="n">
        <v>70</v>
      </c>
      <c r="AB33" s="14" t="s">
        <v>43</v>
      </c>
      <c r="AC33" s="15" t="n">
        <v>70</v>
      </c>
      <c r="AD33" s="2" t="n">
        <f aca="false">SUM(L33,O33,R33,U33,X33,AA33)</f>
        <v>482</v>
      </c>
      <c r="AE33" s="16" t="n">
        <f aca="false">AD33/6</f>
        <v>80.3333333333333</v>
      </c>
      <c r="AF33" s="2" t="str">
        <f aca="false">IF(SUM(COUNTIF(M33,"RA"),COUNTIF(P33,"RA"),COUNTIF(S33,"RA"),COUNTIF(V33,"RA"),COUNTIF(Y33,"RA"),COUNTIF(AB33,"RA"))&gt;0,"FAIL","PASS")</f>
        <v>PASS</v>
      </c>
    </row>
    <row r="34" customFormat="false" ht="15" hidden="false" customHeight="false" outlineLevel="0" collapsed="false">
      <c r="A34" s="2" t="n">
        <v>33</v>
      </c>
      <c r="B34" s="3" t="s">
        <v>240</v>
      </c>
      <c r="C34" s="2" t="s">
        <v>33</v>
      </c>
      <c r="D34" s="2" t="s">
        <v>241</v>
      </c>
      <c r="E34" s="2" t="s">
        <v>35</v>
      </c>
      <c r="F34" s="2" t="s">
        <v>36</v>
      </c>
      <c r="G34" s="2" t="s">
        <v>37</v>
      </c>
      <c r="H34" s="2" t="s">
        <v>242</v>
      </c>
      <c r="I34" s="3" t="s">
        <v>243</v>
      </c>
      <c r="J34" s="2" t="s">
        <v>244</v>
      </c>
      <c r="K34" s="2" t="s">
        <v>245</v>
      </c>
      <c r="L34" s="4" t="n">
        <v>76</v>
      </c>
      <c r="M34" s="4" t="s">
        <v>43</v>
      </c>
      <c r="N34" s="5" t="n">
        <v>76</v>
      </c>
      <c r="O34" s="6" t="n">
        <v>89</v>
      </c>
      <c r="P34" s="6" t="s">
        <v>42</v>
      </c>
      <c r="Q34" s="7" t="n">
        <v>89</v>
      </c>
      <c r="R34" s="8" t="n">
        <v>84</v>
      </c>
      <c r="S34" s="8" t="s">
        <v>42</v>
      </c>
      <c r="T34" s="9" t="n">
        <v>84</v>
      </c>
      <c r="U34" s="10" t="n">
        <v>76</v>
      </c>
      <c r="V34" s="10" t="s">
        <v>43</v>
      </c>
      <c r="W34" s="11" t="n">
        <v>76</v>
      </c>
      <c r="X34" s="12" t="n">
        <v>79</v>
      </c>
      <c r="Y34" s="12" t="s">
        <v>43</v>
      </c>
      <c r="Z34" s="13" t="n">
        <v>79</v>
      </c>
      <c r="AA34" s="14" t="n">
        <v>61</v>
      </c>
      <c r="AB34" s="14" t="s">
        <v>44</v>
      </c>
      <c r="AC34" s="15" t="n">
        <v>61</v>
      </c>
      <c r="AD34" s="2" t="n">
        <f aca="false">SUM(L34,O34,R34,U34,X34,AA34)</f>
        <v>465</v>
      </c>
      <c r="AE34" s="16" t="n">
        <f aca="false">AD34/6</f>
        <v>77.5</v>
      </c>
      <c r="AF34" s="2" t="str">
        <f aca="false">IF(SUM(COUNTIF(M34,"RA"),COUNTIF(P34,"RA"),COUNTIF(S34,"RA"),COUNTIF(V34,"RA"),COUNTIF(Y34,"RA"),COUNTIF(AB34,"RA"))&gt;0,"FAIL","PASS")</f>
        <v>PASS</v>
      </c>
    </row>
    <row r="35" customFormat="false" ht="15" hidden="false" customHeight="false" outlineLevel="0" collapsed="false">
      <c r="A35" s="2" t="n">
        <v>34</v>
      </c>
      <c r="B35" s="3" t="s">
        <v>246</v>
      </c>
      <c r="C35" s="2" t="s">
        <v>33</v>
      </c>
      <c r="D35" s="2" t="s">
        <v>247</v>
      </c>
      <c r="E35" s="2" t="s">
        <v>57</v>
      </c>
      <c r="F35" s="2" t="s">
        <v>36</v>
      </c>
      <c r="G35" s="2" t="s">
        <v>71</v>
      </c>
      <c r="H35" s="2" t="s">
        <v>248</v>
      </c>
      <c r="I35" s="3" t="s">
        <v>249</v>
      </c>
      <c r="J35" s="2" t="s">
        <v>250</v>
      </c>
      <c r="K35" s="2" t="s">
        <v>251</v>
      </c>
      <c r="L35" s="4" t="n">
        <v>78</v>
      </c>
      <c r="M35" s="4" t="s">
        <v>43</v>
      </c>
      <c r="N35" s="5" t="n">
        <v>78</v>
      </c>
      <c r="O35" s="6" t="n">
        <v>74</v>
      </c>
      <c r="P35" s="6" t="s">
        <v>43</v>
      </c>
      <c r="Q35" s="7" t="n">
        <v>74</v>
      </c>
      <c r="R35" s="8" t="n">
        <v>61</v>
      </c>
      <c r="S35" s="8" t="s">
        <v>44</v>
      </c>
      <c r="T35" s="9" t="n">
        <v>61</v>
      </c>
      <c r="U35" s="10" t="n">
        <v>44</v>
      </c>
      <c r="V35" s="10" t="s">
        <v>45</v>
      </c>
      <c r="W35" s="11" t="n">
        <v>44</v>
      </c>
      <c r="X35" s="12" t="n">
        <v>82</v>
      </c>
      <c r="Y35" s="12" t="s">
        <v>42</v>
      </c>
      <c r="Z35" s="13" t="n">
        <v>82</v>
      </c>
      <c r="AA35" s="14" t="n">
        <v>71</v>
      </c>
      <c r="AB35" s="14" t="s">
        <v>43</v>
      </c>
      <c r="AC35" s="15" t="n">
        <v>71</v>
      </c>
      <c r="AD35" s="2" t="n">
        <f aca="false">SUM(L35,O35,R35,U35,X35,AA35)</f>
        <v>410</v>
      </c>
      <c r="AE35" s="16" t="n">
        <f aca="false">AD35/6</f>
        <v>68.3333333333333</v>
      </c>
      <c r="AF35" s="2" t="str">
        <f aca="false">IF(SUM(COUNTIF(M35,"RA"),COUNTIF(P35,"RA"),COUNTIF(S35,"RA"),COUNTIF(V35,"RA"),COUNTIF(Y35,"RA"),COUNTIF(AB35,"RA"))&gt;0,"FAIL","PASS")</f>
        <v>FAIL</v>
      </c>
    </row>
    <row r="36" customFormat="false" ht="15" hidden="false" customHeight="false" outlineLevel="0" collapsed="false">
      <c r="A36" s="2" t="n">
        <v>35</v>
      </c>
      <c r="B36" s="3" t="s">
        <v>252</v>
      </c>
      <c r="C36" s="2" t="s">
        <v>33</v>
      </c>
      <c r="D36" s="2" t="s">
        <v>253</v>
      </c>
      <c r="E36" s="2" t="s">
        <v>35</v>
      </c>
      <c r="F36" s="2" t="s">
        <v>36</v>
      </c>
      <c r="G36" s="2" t="s">
        <v>48</v>
      </c>
      <c r="H36" s="2" t="s">
        <v>254</v>
      </c>
      <c r="I36" s="3" t="s">
        <v>255</v>
      </c>
      <c r="J36" s="2" t="s">
        <v>256</v>
      </c>
      <c r="K36" s="2" t="s">
        <v>257</v>
      </c>
      <c r="L36" s="4" t="n">
        <v>52</v>
      </c>
      <c r="M36" s="4" t="s">
        <v>53</v>
      </c>
      <c r="N36" s="5" t="n">
        <v>52</v>
      </c>
      <c r="O36" s="6" t="n">
        <v>76</v>
      </c>
      <c r="P36" s="6" t="s">
        <v>43</v>
      </c>
      <c r="Q36" s="7" t="n">
        <v>76</v>
      </c>
      <c r="R36" s="8" t="n">
        <v>87</v>
      </c>
      <c r="S36" s="8" t="s">
        <v>42</v>
      </c>
      <c r="T36" s="9" t="n">
        <v>87</v>
      </c>
      <c r="U36" s="10" t="n">
        <v>49</v>
      </c>
      <c r="V36" s="10" t="s">
        <v>45</v>
      </c>
      <c r="W36" s="11" t="n">
        <v>49</v>
      </c>
      <c r="X36" s="12" t="n">
        <v>78</v>
      </c>
      <c r="Y36" s="12" t="s">
        <v>43</v>
      </c>
      <c r="Z36" s="13" t="n">
        <v>78</v>
      </c>
      <c r="AA36" s="14" t="n">
        <v>53</v>
      </c>
      <c r="AB36" s="14" t="s">
        <v>53</v>
      </c>
      <c r="AC36" s="15" t="n">
        <v>53</v>
      </c>
      <c r="AD36" s="2" t="n">
        <f aca="false">SUM(L36,O36,R36,U36,X36,AA36)</f>
        <v>395</v>
      </c>
      <c r="AE36" s="16" t="n">
        <f aca="false">AD36/6</f>
        <v>65.8333333333333</v>
      </c>
      <c r="AF36" s="2" t="str">
        <f aca="false">IF(SUM(COUNTIF(M36,"RA"),COUNTIF(P36,"RA"),COUNTIF(S36,"RA"),COUNTIF(V36,"RA"),COUNTIF(Y36,"RA"),COUNTIF(AB36,"RA"))&gt;0,"FAIL","PASS")</f>
        <v>FAIL</v>
      </c>
    </row>
    <row r="37" customFormat="false" ht="15" hidden="false" customHeight="false" outlineLevel="0" collapsed="false">
      <c r="A37" s="2" t="n">
        <v>36</v>
      </c>
      <c r="B37" s="3" t="s">
        <v>258</v>
      </c>
      <c r="C37" s="2" t="s">
        <v>33</v>
      </c>
      <c r="D37" s="2" t="s">
        <v>259</v>
      </c>
      <c r="E37" s="2" t="s">
        <v>57</v>
      </c>
      <c r="F37" s="2" t="s">
        <v>36</v>
      </c>
      <c r="G37" s="2" t="s">
        <v>91</v>
      </c>
      <c r="H37" s="2" t="s">
        <v>260</v>
      </c>
      <c r="I37" s="3" t="s">
        <v>261</v>
      </c>
      <c r="J37" s="2" t="s">
        <v>262</v>
      </c>
      <c r="K37" s="2" t="s">
        <v>263</v>
      </c>
      <c r="L37" s="4" t="n">
        <v>79</v>
      </c>
      <c r="M37" s="4" t="s">
        <v>43</v>
      </c>
      <c r="N37" s="5" t="n">
        <v>79</v>
      </c>
      <c r="O37" s="6" t="n">
        <v>93</v>
      </c>
      <c r="P37" s="6" t="s">
        <v>54</v>
      </c>
      <c r="Q37" s="7" t="n">
        <v>93</v>
      </c>
      <c r="R37" s="8" t="n">
        <v>89</v>
      </c>
      <c r="S37" s="8" t="s">
        <v>42</v>
      </c>
      <c r="T37" s="9" t="n">
        <v>89</v>
      </c>
      <c r="U37" s="10" t="n">
        <v>96</v>
      </c>
      <c r="V37" s="10" t="s">
        <v>54</v>
      </c>
      <c r="W37" s="11" t="n">
        <v>96</v>
      </c>
      <c r="X37" s="12" t="n">
        <v>67</v>
      </c>
      <c r="Y37" s="12" t="s">
        <v>44</v>
      </c>
      <c r="Z37" s="13" t="n">
        <v>67</v>
      </c>
      <c r="AA37" s="14" t="n">
        <v>73</v>
      </c>
      <c r="AB37" s="14" t="s">
        <v>43</v>
      </c>
      <c r="AC37" s="15" t="n">
        <v>73</v>
      </c>
      <c r="AD37" s="2" t="n">
        <f aca="false">SUM(L37,O37,R37,U37,X37,AA37)</f>
        <v>497</v>
      </c>
      <c r="AE37" s="16" t="n">
        <f aca="false">AD37/6</f>
        <v>82.8333333333333</v>
      </c>
      <c r="AF37" s="2" t="str">
        <f aca="false">IF(SUM(COUNTIF(M37,"RA"),COUNTIF(P37,"RA"),COUNTIF(S37,"RA"),COUNTIF(V37,"RA"),COUNTIF(Y37,"RA"),COUNTIF(AB37,"RA"))&gt;0,"FAIL","PASS")</f>
        <v>PASS</v>
      </c>
    </row>
    <row r="38" customFormat="false" ht="15" hidden="false" customHeight="false" outlineLevel="0" collapsed="false">
      <c r="A38" s="2" t="n">
        <v>37</v>
      </c>
      <c r="B38" s="3" t="s">
        <v>264</v>
      </c>
      <c r="C38" s="2" t="s">
        <v>33</v>
      </c>
      <c r="D38" s="2" t="s">
        <v>265</v>
      </c>
      <c r="E38" s="2" t="s">
        <v>57</v>
      </c>
      <c r="F38" s="2" t="s">
        <v>36</v>
      </c>
      <c r="G38" s="2" t="s">
        <v>37</v>
      </c>
      <c r="H38" s="2" t="s">
        <v>266</v>
      </c>
      <c r="I38" s="3" t="s">
        <v>159</v>
      </c>
      <c r="J38" s="2" t="s">
        <v>267</v>
      </c>
      <c r="K38" s="2" t="s">
        <v>268</v>
      </c>
      <c r="L38" s="4" t="n">
        <v>63</v>
      </c>
      <c r="M38" s="4" t="s">
        <v>44</v>
      </c>
      <c r="N38" s="5" t="n">
        <v>63</v>
      </c>
      <c r="O38" s="6" t="n">
        <v>78</v>
      </c>
      <c r="P38" s="6" t="s">
        <v>43</v>
      </c>
      <c r="Q38" s="7" t="n">
        <v>78</v>
      </c>
      <c r="R38" s="8" t="n">
        <v>56</v>
      </c>
      <c r="S38" s="8" t="s">
        <v>53</v>
      </c>
      <c r="T38" s="9" t="n">
        <v>56</v>
      </c>
      <c r="U38" s="10" t="n">
        <v>86</v>
      </c>
      <c r="V38" s="10" t="s">
        <v>42</v>
      </c>
      <c r="W38" s="11" t="n">
        <v>86</v>
      </c>
      <c r="X38" s="12" t="n">
        <v>84</v>
      </c>
      <c r="Y38" s="12" t="s">
        <v>42</v>
      </c>
      <c r="Z38" s="13" t="n">
        <v>84</v>
      </c>
      <c r="AA38" s="14" t="n">
        <v>96</v>
      </c>
      <c r="AB38" s="14" t="s">
        <v>54</v>
      </c>
      <c r="AC38" s="15" t="n">
        <v>96</v>
      </c>
      <c r="AD38" s="2" t="n">
        <f aca="false">SUM(L38,O38,R38,U38,X38,AA38)</f>
        <v>463</v>
      </c>
      <c r="AE38" s="16" t="n">
        <f aca="false">AD38/6</f>
        <v>77.1666666666667</v>
      </c>
      <c r="AF38" s="2" t="str">
        <f aca="false">IF(SUM(COUNTIF(M38,"RA"),COUNTIF(P38,"RA"),COUNTIF(S38,"RA"),COUNTIF(V38,"RA"),COUNTIF(Y38,"RA"),COUNTIF(AB38,"RA"))&gt;0,"FAIL","PASS")</f>
        <v>PASS</v>
      </c>
    </row>
    <row r="39" customFormat="false" ht="15" hidden="false" customHeight="false" outlineLevel="0" collapsed="false">
      <c r="A39" s="2" t="n">
        <v>38</v>
      </c>
      <c r="B39" s="3" t="s">
        <v>269</v>
      </c>
      <c r="C39" s="2" t="s">
        <v>33</v>
      </c>
      <c r="D39" s="2" t="s">
        <v>270</v>
      </c>
      <c r="E39" s="2" t="s">
        <v>35</v>
      </c>
      <c r="F39" s="2" t="s">
        <v>36</v>
      </c>
      <c r="G39" s="2" t="s">
        <v>78</v>
      </c>
      <c r="H39" s="2" t="s">
        <v>271</v>
      </c>
      <c r="I39" s="3" t="s">
        <v>272</v>
      </c>
      <c r="J39" s="2" t="s">
        <v>273</v>
      </c>
      <c r="K39" s="2" t="s">
        <v>274</v>
      </c>
      <c r="L39" s="4" t="n">
        <v>76</v>
      </c>
      <c r="M39" s="4" t="s">
        <v>43</v>
      </c>
      <c r="N39" s="5" t="n">
        <v>76</v>
      </c>
      <c r="O39" s="6" t="n">
        <v>62</v>
      </c>
      <c r="P39" s="6" t="s">
        <v>44</v>
      </c>
      <c r="Q39" s="7" t="n">
        <v>62</v>
      </c>
      <c r="R39" s="8" t="n">
        <v>50</v>
      </c>
      <c r="S39" s="8" t="s">
        <v>53</v>
      </c>
      <c r="T39" s="9" t="n">
        <v>50</v>
      </c>
      <c r="U39" s="10" t="n">
        <v>67</v>
      </c>
      <c r="V39" s="10" t="s">
        <v>44</v>
      </c>
      <c r="W39" s="11" t="n">
        <v>67</v>
      </c>
      <c r="X39" s="12" t="n">
        <v>95</v>
      </c>
      <c r="Y39" s="12" t="s">
        <v>54</v>
      </c>
      <c r="Z39" s="13" t="n">
        <v>95</v>
      </c>
      <c r="AA39" s="14" t="n">
        <v>46</v>
      </c>
      <c r="AB39" s="14" t="s">
        <v>45</v>
      </c>
      <c r="AC39" s="15" t="n">
        <v>46</v>
      </c>
      <c r="AD39" s="2" t="n">
        <f aca="false">SUM(L39,O39,R39,U39,X39,AA39)</f>
        <v>396</v>
      </c>
      <c r="AE39" s="16" t="n">
        <f aca="false">AD39/6</f>
        <v>66</v>
      </c>
      <c r="AF39" s="2" t="str">
        <f aca="false">IF(SUM(COUNTIF(M39,"RA"),COUNTIF(P39,"RA"),COUNTIF(S39,"RA"),COUNTIF(V39,"RA"),COUNTIF(Y39,"RA"),COUNTIF(AB39,"RA"))&gt;0,"FAIL","PASS")</f>
        <v>FAIL</v>
      </c>
    </row>
    <row r="40" customFormat="false" ht="15" hidden="false" customHeight="false" outlineLevel="0" collapsed="false">
      <c r="A40" s="2" t="n">
        <v>39</v>
      </c>
      <c r="B40" s="3" t="s">
        <v>275</v>
      </c>
      <c r="C40" s="2" t="s">
        <v>33</v>
      </c>
      <c r="D40" s="2" t="s">
        <v>276</v>
      </c>
      <c r="E40" s="2" t="s">
        <v>35</v>
      </c>
      <c r="F40" s="2" t="s">
        <v>36</v>
      </c>
      <c r="G40" s="2" t="s">
        <v>37</v>
      </c>
      <c r="H40" s="2" t="s">
        <v>277</v>
      </c>
      <c r="I40" s="3" t="s">
        <v>278</v>
      </c>
      <c r="J40" s="2" t="s">
        <v>279</v>
      </c>
      <c r="K40" s="2" t="s">
        <v>280</v>
      </c>
      <c r="L40" s="4" t="n">
        <v>65</v>
      </c>
      <c r="M40" s="4" t="s">
        <v>44</v>
      </c>
      <c r="N40" s="5" t="n">
        <v>65</v>
      </c>
      <c r="O40" s="6" t="n">
        <v>92</v>
      </c>
      <c r="P40" s="6" t="s">
        <v>54</v>
      </c>
      <c r="Q40" s="7" t="n">
        <v>92</v>
      </c>
      <c r="R40" s="8" t="n">
        <v>93</v>
      </c>
      <c r="S40" s="8" t="s">
        <v>54</v>
      </c>
      <c r="T40" s="9" t="n">
        <v>93</v>
      </c>
      <c r="U40" s="10" t="n">
        <v>77</v>
      </c>
      <c r="V40" s="10" t="s">
        <v>43</v>
      </c>
      <c r="W40" s="11" t="n">
        <v>77</v>
      </c>
      <c r="X40" s="12" t="n">
        <v>53</v>
      </c>
      <c r="Y40" s="12" t="s">
        <v>53</v>
      </c>
      <c r="Z40" s="13" t="n">
        <v>53</v>
      </c>
      <c r="AA40" s="14" t="n">
        <v>48</v>
      </c>
      <c r="AB40" s="14" t="s">
        <v>45</v>
      </c>
      <c r="AC40" s="15" t="n">
        <v>48</v>
      </c>
      <c r="AD40" s="2" t="n">
        <f aca="false">SUM(L40,O40,R40,U40,X40,AA40)</f>
        <v>428</v>
      </c>
      <c r="AE40" s="16" t="n">
        <f aca="false">AD40/6</f>
        <v>71.3333333333333</v>
      </c>
      <c r="AF40" s="2" t="str">
        <f aca="false">IF(SUM(COUNTIF(M40,"RA"),COUNTIF(P40,"RA"),COUNTIF(S40,"RA"),COUNTIF(V40,"RA"),COUNTIF(Y40,"RA"),COUNTIF(AB40,"RA"))&gt;0,"FAIL","PASS")</f>
        <v>FAIL</v>
      </c>
    </row>
    <row r="41" customFormat="false" ht="15" hidden="false" customHeight="false" outlineLevel="0" collapsed="false">
      <c r="A41" s="2" t="n">
        <v>40</v>
      </c>
      <c r="B41" s="3" t="s">
        <v>281</v>
      </c>
      <c r="C41" s="2" t="s">
        <v>33</v>
      </c>
      <c r="D41" s="2" t="s">
        <v>282</v>
      </c>
      <c r="E41" s="2" t="s">
        <v>57</v>
      </c>
      <c r="F41" s="2" t="s">
        <v>36</v>
      </c>
      <c r="G41" s="2" t="s">
        <v>48</v>
      </c>
      <c r="H41" s="2" t="s">
        <v>283</v>
      </c>
      <c r="I41" s="3" t="s">
        <v>284</v>
      </c>
      <c r="J41" s="2" t="s">
        <v>285</v>
      </c>
      <c r="K41" s="2" t="s">
        <v>286</v>
      </c>
      <c r="L41" s="4" t="n">
        <v>71</v>
      </c>
      <c r="M41" s="4" t="s">
        <v>43</v>
      </c>
      <c r="N41" s="5" t="n">
        <v>71</v>
      </c>
      <c r="O41" s="6" t="n">
        <v>67</v>
      </c>
      <c r="P41" s="6" t="s">
        <v>44</v>
      </c>
      <c r="Q41" s="7" t="n">
        <v>67</v>
      </c>
      <c r="R41" s="8" t="n">
        <v>54</v>
      </c>
      <c r="S41" s="8" t="s">
        <v>53</v>
      </c>
      <c r="T41" s="9" t="n">
        <v>54</v>
      </c>
      <c r="U41" s="10" t="n">
        <v>63</v>
      </c>
      <c r="V41" s="10" t="s">
        <v>44</v>
      </c>
      <c r="W41" s="11" t="n">
        <v>63</v>
      </c>
      <c r="X41" s="12" t="n">
        <v>94</v>
      </c>
      <c r="Y41" s="12" t="s">
        <v>54</v>
      </c>
      <c r="Z41" s="13" t="n">
        <v>94</v>
      </c>
      <c r="AA41" s="14" t="n">
        <v>94</v>
      </c>
      <c r="AB41" s="14" t="s">
        <v>54</v>
      </c>
      <c r="AC41" s="15" t="n">
        <v>94</v>
      </c>
      <c r="AD41" s="2" t="n">
        <f aca="false">SUM(L41,O41,R41,U41,X41,AA41)</f>
        <v>443</v>
      </c>
      <c r="AE41" s="16" t="n">
        <f aca="false">AD41/6</f>
        <v>73.8333333333333</v>
      </c>
      <c r="AF41" s="2" t="str">
        <f aca="false">IF(SUM(COUNTIF(M41,"RA"),COUNTIF(P41,"RA"),COUNTIF(S41,"RA"),COUNTIF(V41,"RA"),COUNTIF(Y41,"RA"),COUNTIF(AB41,"RA"))&gt;0,"FAIL","PASS")</f>
        <v>PASS</v>
      </c>
    </row>
    <row r="42" customFormat="false" ht="15" hidden="false" customHeight="false" outlineLevel="0" collapsed="false">
      <c r="A42" s="2" t="n">
        <v>41</v>
      </c>
      <c r="B42" s="3" t="s">
        <v>287</v>
      </c>
      <c r="C42" s="2" t="s">
        <v>33</v>
      </c>
      <c r="D42" s="2" t="s">
        <v>288</v>
      </c>
      <c r="E42" s="2" t="s">
        <v>35</v>
      </c>
      <c r="F42" s="2" t="s">
        <v>36</v>
      </c>
      <c r="G42" s="2" t="s">
        <v>37</v>
      </c>
      <c r="H42" s="2" t="s">
        <v>289</v>
      </c>
      <c r="I42" s="3" t="s">
        <v>290</v>
      </c>
      <c r="J42" s="2" t="s">
        <v>291</v>
      </c>
      <c r="K42" s="2" t="s">
        <v>292</v>
      </c>
      <c r="L42" s="4" t="n">
        <v>56</v>
      </c>
      <c r="M42" s="4" t="s">
        <v>53</v>
      </c>
      <c r="N42" s="5" t="n">
        <v>56</v>
      </c>
      <c r="O42" s="6" t="n">
        <v>63</v>
      </c>
      <c r="P42" s="6" t="s">
        <v>44</v>
      </c>
      <c r="Q42" s="7" t="n">
        <v>63</v>
      </c>
      <c r="R42" s="8" t="n">
        <v>68</v>
      </c>
      <c r="S42" s="8" t="s">
        <v>44</v>
      </c>
      <c r="T42" s="9" t="n">
        <v>68</v>
      </c>
      <c r="U42" s="10" t="n">
        <v>86</v>
      </c>
      <c r="V42" s="10" t="s">
        <v>42</v>
      </c>
      <c r="W42" s="11" t="n">
        <v>86</v>
      </c>
      <c r="X42" s="12" t="n">
        <v>47</v>
      </c>
      <c r="Y42" s="12" t="s">
        <v>45</v>
      </c>
      <c r="Z42" s="13" t="n">
        <v>47</v>
      </c>
      <c r="AA42" s="14" t="n">
        <v>73</v>
      </c>
      <c r="AB42" s="14" t="s">
        <v>43</v>
      </c>
      <c r="AC42" s="15" t="n">
        <v>73</v>
      </c>
      <c r="AD42" s="2" t="n">
        <f aca="false">SUM(L42,O42,R42,U42,X42,AA42)</f>
        <v>393</v>
      </c>
      <c r="AE42" s="16" t="n">
        <f aca="false">AD42/6</f>
        <v>65.5</v>
      </c>
      <c r="AF42" s="2" t="str">
        <f aca="false">IF(SUM(COUNTIF(M42,"RA"),COUNTIF(P42,"RA"),COUNTIF(S42,"RA"),COUNTIF(V42,"RA"),COUNTIF(Y42,"RA"),COUNTIF(AB42,"RA"))&gt;0,"FAIL","PASS")</f>
        <v>FAIL</v>
      </c>
    </row>
    <row r="43" customFormat="false" ht="15" hidden="false" customHeight="false" outlineLevel="0" collapsed="false">
      <c r="A43" s="2" t="n">
        <v>42</v>
      </c>
      <c r="B43" s="3" t="s">
        <v>293</v>
      </c>
      <c r="C43" s="2" t="s">
        <v>33</v>
      </c>
      <c r="D43" s="2" t="s">
        <v>294</v>
      </c>
      <c r="E43" s="2" t="s">
        <v>57</v>
      </c>
      <c r="F43" s="2" t="s">
        <v>36</v>
      </c>
      <c r="G43" s="2" t="s">
        <v>44</v>
      </c>
      <c r="H43" s="2" t="s">
        <v>295</v>
      </c>
      <c r="I43" s="3" t="s">
        <v>296</v>
      </c>
      <c r="J43" s="2" t="s">
        <v>297</v>
      </c>
      <c r="K43" s="2" t="s">
        <v>298</v>
      </c>
      <c r="L43" s="4" t="n">
        <v>53</v>
      </c>
      <c r="M43" s="4" t="s">
        <v>53</v>
      </c>
      <c r="N43" s="5" t="n">
        <v>53</v>
      </c>
      <c r="O43" s="6" t="n">
        <v>42</v>
      </c>
      <c r="P43" s="6" t="s">
        <v>45</v>
      </c>
      <c r="Q43" s="7" t="n">
        <v>42</v>
      </c>
      <c r="R43" s="8" t="n">
        <v>84</v>
      </c>
      <c r="S43" s="8" t="s">
        <v>42</v>
      </c>
      <c r="T43" s="9" t="n">
        <v>84</v>
      </c>
      <c r="U43" s="10" t="n">
        <v>71</v>
      </c>
      <c r="V43" s="10" t="s">
        <v>43</v>
      </c>
      <c r="W43" s="11" t="n">
        <v>71</v>
      </c>
      <c r="X43" s="12" t="n">
        <v>97</v>
      </c>
      <c r="Y43" s="12" t="s">
        <v>54</v>
      </c>
      <c r="Z43" s="13" t="n">
        <v>97</v>
      </c>
      <c r="AA43" s="14" t="n">
        <v>74</v>
      </c>
      <c r="AB43" s="14" t="s">
        <v>43</v>
      </c>
      <c r="AC43" s="15" t="n">
        <v>74</v>
      </c>
      <c r="AD43" s="2" t="n">
        <f aca="false">SUM(L43,O43,R43,U43,X43,AA43)</f>
        <v>421</v>
      </c>
      <c r="AE43" s="16" t="n">
        <f aca="false">AD43/6</f>
        <v>70.1666666666667</v>
      </c>
      <c r="AF43" s="2" t="str">
        <f aca="false">IF(SUM(COUNTIF(M43,"RA"),COUNTIF(P43,"RA"),COUNTIF(S43,"RA"),COUNTIF(V43,"RA"),COUNTIF(Y43,"RA"),COUNTIF(AB43,"RA"))&gt;0,"FAIL","PASS")</f>
        <v>FAIL</v>
      </c>
    </row>
    <row r="44" customFormat="false" ht="15" hidden="false" customHeight="false" outlineLevel="0" collapsed="false">
      <c r="A44" s="2" t="n">
        <v>43</v>
      </c>
      <c r="B44" s="3" t="s">
        <v>299</v>
      </c>
      <c r="C44" s="2" t="s">
        <v>33</v>
      </c>
      <c r="D44" s="2" t="s">
        <v>300</v>
      </c>
      <c r="E44" s="2" t="s">
        <v>57</v>
      </c>
      <c r="F44" s="2" t="s">
        <v>36</v>
      </c>
      <c r="G44" s="2" t="s">
        <v>48</v>
      </c>
      <c r="H44" s="2" t="s">
        <v>301</v>
      </c>
      <c r="I44" s="3" t="s">
        <v>302</v>
      </c>
      <c r="J44" s="2" t="s">
        <v>303</v>
      </c>
      <c r="K44" s="2" t="s">
        <v>304</v>
      </c>
      <c r="L44" s="4" t="n">
        <v>95</v>
      </c>
      <c r="M44" s="4" t="s">
        <v>54</v>
      </c>
      <c r="N44" s="5" t="n">
        <v>95</v>
      </c>
      <c r="O44" s="6" t="n">
        <v>70</v>
      </c>
      <c r="P44" s="6" t="s">
        <v>43</v>
      </c>
      <c r="Q44" s="7" t="n">
        <v>70</v>
      </c>
      <c r="R44" s="8" t="n">
        <v>67</v>
      </c>
      <c r="S44" s="8" t="s">
        <v>44</v>
      </c>
      <c r="T44" s="9" t="n">
        <v>67</v>
      </c>
      <c r="U44" s="10" t="n">
        <v>66</v>
      </c>
      <c r="V44" s="10" t="s">
        <v>44</v>
      </c>
      <c r="W44" s="11" t="n">
        <v>66</v>
      </c>
      <c r="X44" s="12" t="n">
        <v>72</v>
      </c>
      <c r="Y44" s="12" t="s">
        <v>43</v>
      </c>
      <c r="Z44" s="13" t="n">
        <v>72</v>
      </c>
      <c r="AA44" s="14" t="n">
        <v>64</v>
      </c>
      <c r="AB44" s="14" t="s">
        <v>44</v>
      </c>
      <c r="AC44" s="15" t="n">
        <v>64</v>
      </c>
      <c r="AD44" s="2" t="n">
        <f aca="false">SUM(L44,O44,R44,U44,X44,AA44)</f>
        <v>434</v>
      </c>
      <c r="AE44" s="16" t="n">
        <f aca="false">AD44/6</f>
        <v>72.3333333333333</v>
      </c>
      <c r="AF44" s="2" t="str">
        <f aca="false">IF(SUM(COUNTIF(M44,"RA"),COUNTIF(P44,"RA"),COUNTIF(S44,"RA"),COUNTIF(V44,"RA"),COUNTIF(Y44,"RA"),COUNTIF(AB44,"RA"))&gt;0,"FAIL","PASS")</f>
        <v>PASS</v>
      </c>
    </row>
    <row r="45" customFormat="false" ht="15" hidden="false" customHeight="false" outlineLevel="0" collapsed="false">
      <c r="A45" s="2" t="n">
        <v>44</v>
      </c>
      <c r="B45" s="3" t="s">
        <v>305</v>
      </c>
      <c r="C45" s="2" t="s">
        <v>33</v>
      </c>
      <c r="D45" s="2" t="s">
        <v>306</v>
      </c>
      <c r="E45" s="2" t="s">
        <v>35</v>
      </c>
      <c r="F45" s="2" t="s">
        <v>36</v>
      </c>
      <c r="G45" s="2" t="s">
        <v>44</v>
      </c>
      <c r="H45" s="2" t="s">
        <v>307</v>
      </c>
      <c r="I45" s="3" t="s">
        <v>308</v>
      </c>
      <c r="J45" s="2" t="s">
        <v>309</v>
      </c>
      <c r="K45" s="2" t="s">
        <v>310</v>
      </c>
      <c r="L45" s="4" t="n">
        <v>73</v>
      </c>
      <c r="M45" s="4" t="s">
        <v>43</v>
      </c>
      <c r="N45" s="5" t="n">
        <v>73</v>
      </c>
      <c r="O45" s="6" t="n">
        <v>63</v>
      </c>
      <c r="P45" s="6" t="s">
        <v>44</v>
      </c>
      <c r="Q45" s="7" t="n">
        <v>63</v>
      </c>
      <c r="R45" s="8" t="n">
        <v>81</v>
      </c>
      <c r="S45" s="8" t="s">
        <v>42</v>
      </c>
      <c r="T45" s="9" t="n">
        <v>81</v>
      </c>
      <c r="U45" s="10" t="n">
        <v>76</v>
      </c>
      <c r="V45" s="10" t="s">
        <v>43</v>
      </c>
      <c r="W45" s="11" t="n">
        <v>76</v>
      </c>
      <c r="X45" s="12" t="n">
        <v>94</v>
      </c>
      <c r="Y45" s="12" t="s">
        <v>54</v>
      </c>
      <c r="Z45" s="13" t="n">
        <v>94</v>
      </c>
      <c r="AA45" s="14" t="n">
        <v>56</v>
      </c>
      <c r="AB45" s="14" t="s">
        <v>53</v>
      </c>
      <c r="AC45" s="15" t="n">
        <v>56</v>
      </c>
      <c r="AD45" s="2" t="n">
        <f aca="false">SUM(L45,O45,R45,U45,X45,AA45)</f>
        <v>443</v>
      </c>
      <c r="AE45" s="16" t="n">
        <f aca="false">AD45/6</f>
        <v>73.8333333333333</v>
      </c>
      <c r="AF45" s="2" t="str">
        <f aca="false">IF(SUM(COUNTIF(M45,"RA"),COUNTIF(P45,"RA"),COUNTIF(S45,"RA"),COUNTIF(V45,"RA"),COUNTIF(Y45,"RA"),COUNTIF(AB45,"RA"))&gt;0,"FAIL","PASS")</f>
        <v>PASS</v>
      </c>
    </row>
    <row r="46" customFormat="false" ht="15" hidden="false" customHeight="false" outlineLevel="0" collapsed="false">
      <c r="A46" s="2" t="n">
        <v>45</v>
      </c>
      <c r="B46" s="3" t="s">
        <v>311</v>
      </c>
      <c r="C46" s="2" t="s">
        <v>33</v>
      </c>
      <c r="D46" s="2" t="s">
        <v>312</v>
      </c>
      <c r="E46" s="2" t="s">
        <v>35</v>
      </c>
      <c r="F46" s="2" t="s">
        <v>36</v>
      </c>
      <c r="G46" s="2" t="s">
        <v>91</v>
      </c>
      <c r="H46" s="2" t="s">
        <v>134</v>
      </c>
      <c r="I46" s="3" t="s">
        <v>313</v>
      </c>
      <c r="J46" s="2" t="s">
        <v>314</v>
      </c>
      <c r="K46" s="2" t="s">
        <v>315</v>
      </c>
      <c r="L46" s="4" t="n">
        <v>80</v>
      </c>
      <c r="M46" s="4" t="s">
        <v>42</v>
      </c>
      <c r="N46" s="5" t="n">
        <v>80</v>
      </c>
      <c r="O46" s="6" t="n">
        <v>89</v>
      </c>
      <c r="P46" s="6" t="s">
        <v>42</v>
      </c>
      <c r="Q46" s="7" t="n">
        <v>89</v>
      </c>
      <c r="R46" s="8" t="n">
        <v>66</v>
      </c>
      <c r="S46" s="8" t="s">
        <v>44</v>
      </c>
      <c r="T46" s="9" t="n">
        <v>66</v>
      </c>
      <c r="U46" s="10" t="n">
        <v>96</v>
      </c>
      <c r="V46" s="10" t="s">
        <v>54</v>
      </c>
      <c r="W46" s="11" t="n">
        <v>96</v>
      </c>
      <c r="X46" s="12" t="n">
        <v>62</v>
      </c>
      <c r="Y46" s="12" t="s">
        <v>44</v>
      </c>
      <c r="Z46" s="13" t="n">
        <v>62</v>
      </c>
      <c r="AA46" s="14" t="n">
        <v>91</v>
      </c>
      <c r="AB46" s="14" t="s">
        <v>54</v>
      </c>
      <c r="AC46" s="15" t="n">
        <v>91</v>
      </c>
      <c r="AD46" s="2" t="n">
        <f aca="false">SUM(L46,O46,R46,U46,X46,AA46)</f>
        <v>484</v>
      </c>
      <c r="AE46" s="16" t="n">
        <f aca="false">AD46/6</f>
        <v>80.6666666666667</v>
      </c>
      <c r="AF46" s="2" t="str">
        <f aca="false">IF(SUM(COUNTIF(M46,"RA"),COUNTIF(P46,"RA"),COUNTIF(S46,"RA"),COUNTIF(V46,"RA"),COUNTIF(Y46,"RA"),COUNTIF(AB46,"RA"))&gt;0,"FAIL","PASS")</f>
        <v>PASS</v>
      </c>
    </row>
    <row r="47" customFormat="false" ht="15" hidden="false" customHeight="false" outlineLevel="0" collapsed="false">
      <c r="A47" s="2" t="n">
        <v>46</v>
      </c>
      <c r="B47" s="3" t="s">
        <v>316</v>
      </c>
      <c r="C47" s="2" t="s">
        <v>33</v>
      </c>
      <c r="D47" s="2" t="s">
        <v>317</v>
      </c>
      <c r="E47" s="2" t="s">
        <v>35</v>
      </c>
      <c r="F47" s="2" t="s">
        <v>36</v>
      </c>
      <c r="G47" s="2" t="s">
        <v>37</v>
      </c>
      <c r="H47" s="2" t="s">
        <v>318</v>
      </c>
      <c r="I47" s="3" t="s">
        <v>319</v>
      </c>
      <c r="J47" s="2" t="s">
        <v>320</v>
      </c>
      <c r="K47" s="2" t="s">
        <v>321</v>
      </c>
      <c r="L47" s="4" t="n">
        <v>45</v>
      </c>
      <c r="M47" s="4" t="s">
        <v>45</v>
      </c>
      <c r="N47" s="5" t="n">
        <v>45</v>
      </c>
      <c r="O47" s="6" t="n">
        <v>77</v>
      </c>
      <c r="P47" s="6" t="s">
        <v>43</v>
      </c>
      <c r="Q47" s="7" t="n">
        <v>77</v>
      </c>
      <c r="R47" s="8" t="n">
        <v>78</v>
      </c>
      <c r="S47" s="8" t="s">
        <v>43</v>
      </c>
      <c r="T47" s="9" t="n">
        <v>78</v>
      </c>
      <c r="U47" s="10" t="n">
        <v>63</v>
      </c>
      <c r="V47" s="10" t="s">
        <v>44</v>
      </c>
      <c r="W47" s="11" t="n">
        <v>63</v>
      </c>
      <c r="X47" s="12" t="n">
        <v>71</v>
      </c>
      <c r="Y47" s="12" t="s">
        <v>43</v>
      </c>
      <c r="Z47" s="13" t="n">
        <v>71</v>
      </c>
      <c r="AA47" s="14" t="n">
        <v>96</v>
      </c>
      <c r="AB47" s="14" t="s">
        <v>54</v>
      </c>
      <c r="AC47" s="15" t="n">
        <v>96</v>
      </c>
      <c r="AD47" s="2" t="n">
        <f aca="false">SUM(L47,O47,R47,U47,X47,AA47)</f>
        <v>430</v>
      </c>
      <c r="AE47" s="16" t="n">
        <f aca="false">AD47/6</f>
        <v>71.6666666666667</v>
      </c>
      <c r="AF47" s="2" t="str">
        <f aca="false">IF(SUM(COUNTIF(M47,"RA"),COUNTIF(P47,"RA"),COUNTIF(S47,"RA"),COUNTIF(V47,"RA"),COUNTIF(Y47,"RA"),COUNTIF(AB47,"RA"))&gt;0,"FAIL","PASS")</f>
        <v>FAIL</v>
      </c>
    </row>
    <row r="48" customFormat="false" ht="15" hidden="false" customHeight="false" outlineLevel="0" collapsed="false">
      <c r="A48" s="2" t="n">
        <v>47</v>
      </c>
      <c r="B48" s="3" t="s">
        <v>322</v>
      </c>
      <c r="C48" s="2" t="s">
        <v>33</v>
      </c>
      <c r="D48" s="2" t="s">
        <v>323</v>
      </c>
      <c r="E48" s="2" t="s">
        <v>35</v>
      </c>
      <c r="F48" s="2" t="s">
        <v>36</v>
      </c>
      <c r="G48" s="2" t="s">
        <v>71</v>
      </c>
      <c r="H48" s="2" t="s">
        <v>324</v>
      </c>
      <c r="I48" s="3" t="s">
        <v>325</v>
      </c>
      <c r="J48" s="2" t="s">
        <v>326</v>
      </c>
      <c r="K48" s="2" t="s">
        <v>327</v>
      </c>
      <c r="L48" s="4" t="n">
        <v>73</v>
      </c>
      <c r="M48" s="4" t="s">
        <v>43</v>
      </c>
      <c r="N48" s="5" t="n">
        <v>73</v>
      </c>
      <c r="O48" s="6" t="n">
        <v>62</v>
      </c>
      <c r="P48" s="6" t="s">
        <v>44</v>
      </c>
      <c r="Q48" s="7" t="n">
        <v>62</v>
      </c>
      <c r="R48" s="8" t="n">
        <v>91</v>
      </c>
      <c r="S48" s="8" t="s">
        <v>54</v>
      </c>
      <c r="T48" s="9" t="n">
        <v>91</v>
      </c>
      <c r="U48" s="10" t="n">
        <v>99</v>
      </c>
      <c r="V48" s="10" t="s">
        <v>54</v>
      </c>
      <c r="W48" s="11" t="n">
        <v>99</v>
      </c>
      <c r="X48" s="12" t="n">
        <v>65</v>
      </c>
      <c r="Y48" s="12" t="s">
        <v>44</v>
      </c>
      <c r="Z48" s="13" t="n">
        <v>65</v>
      </c>
      <c r="AA48" s="14" t="n">
        <v>43</v>
      </c>
      <c r="AB48" s="14" t="s">
        <v>45</v>
      </c>
      <c r="AC48" s="15" t="n">
        <v>43</v>
      </c>
      <c r="AD48" s="2" t="n">
        <f aca="false">SUM(L48,O48,R48,U48,X48,AA48)</f>
        <v>433</v>
      </c>
      <c r="AE48" s="16" t="n">
        <f aca="false">AD48/6</f>
        <v>72.1666666666667</v>
      </c>
      <c r="AF48" s="2" t="str">
        <f aca="false">IF(SUM(COUNTIF(M48,"RA"),COUNTIF(P48,"RA"),COUNTIF(S48,"RA"),COUNTIF(V48,"RA"),COUNTIF(Y48,"RA"),COUNTIF(AB48,"RA"))&gt;0,"FAIL","PASS")</f>
        <v>FAIL</v>
      </c>
    </row>
    <row r="49" customFormat="false" ht="15" hidden="false" customHeight="false" outlineLevel="0" collapsed="false">
      <c r="A49" s="2" t="n">
        <v>48</v>
      </c>
      <c r="B49" s="3" t="s">
        <v>328</v>
      </c>
      <c r="C49" s="2" t="s">
        <v>33</v>
      </c>
      <c r="D49" s="2" t="s">
        <v>329</v>
      </c>
      <c r="E49" s="2" t="s">
        <v>35</v>
      </c>
      <c r="F49" s="2" t="s">
        <v>36</v>
      </c>
      <c r="G49" s="2" t="s">
        <v>48</v>
      </c>
      <c r="H49" s="2" t="s">
        <v>330</v>
      </c>
      <c r="I49" s="3" t="s">
        <v>331</v>
      </c>
      <c r="J49" s="2" t="s">
        <v>332</v>
      </c>
      <c r="K49" s="2" t="s">
        <v>333</v>
      </c>
      <c r="L49" s="4" t="n">
        <v>77</v>
      </c>
      <c r="M49" s="4" t="s">
        <v>43</v>
      </c>
      <c r="N49" s="5" t="n">
        <v>77</v>
      </c>
      <c r="O49" s="6" t="n">
        <v>63</v>
      </c>
      <c r="P49" s="6" t="s">
        <v>44</v>
      </c>
      <c r="Q49" s="7" t="n">
        <v>63</v>
      </c>
      <c r="R49" s="8" t="n">
        <v>48</v>
      </c>
      <c r="S49" s="8" t="s">
        <v>45</v>
      </c>
      <c r="T49" s="9" t="n">
        <v>48</v>
      </c>
      <c r="U49" s="10" t="n">
        <v>57</v>
      </c>
      <c r="V49" s="10" t="s">
        <v>53</v>
      </c>
      <c r="W49" s="11" t="n">
        <v>57</v>
      </c>
      <c r="X49" s="12" t="n">
        <v>62</v>
      </c>
      <c r="Y49" s="12" t="s">
        <v>44</v>
      </c>
      <c r="Z49" s="13" t="n">
        <v>62</v>
      </c>
      <c r="AA49" s="14" t="n">
        <v>69</v>
      </c>
      <c r="AB49" s="14" t="s">
        <v>44</v>
      </c>
      <c r="AC49" s="15" t="n">
        <v>69</v>
      </c>
      <c r="AD49" s="2" t="n">
        <f aca="false">SUM(L49,O49,R49,U49,X49,AA49)</f>
        <v>376</v>
      </c>
      <c r="AE49" s="16" t="n">
        <f aca="false">AD49/6</f>
        <v>62.6666666666667</v>
      </c>
      <c r="AF49" s="2" t="str">
        <f aca="false">IF(SUM(COUNTIF(M49,"RA"),COUNTIF(P49,"RA"),COUNTIF(S49,"RA"),COUNTIF(V49,"RA"),COUNTIF(Y49,"RA"),COUNTIF(AB49,"RA"))&gt;0,"FAIL","PASS")</f>
        <v>FAIL</v>
      </c>
    </row>
    <row r="50" customFormat="false" ht="15" hidden="false" customHeight="false" outlineLevel="0" collapsed="false">
      <c r="A50" s="2" t="n">
        <v>49</v>
      </c>
      <c r="B50" s="3" t="s">
        <v>334</v>
      </c>
      <c r="C50" s="2" t="s">
        <v>33</v>
      </c>
      <c r="D50" s="2" t="s">
        <v>335</v>
      </c>
      <c r="E50" s="2" t="s">
        <v>57</v>
      </c>
      <c r="F50" s="2" t="s">
        <v>36</v>
      </c>
      <c r="G50" s="2" t="s">
        <v>44</v>
      </c>
      <c r="H50" s="2" t="s">
        <v>336</v>
      </c>
      <c r="I50" s="3" t="s">
        <v>337</v>
      </c>
      <c r="J50" s="2" t="s">
        <v>338</v>
      </c>
      <c r="K50" s="2" t="s">
        <v>339</v>
      </c>
      <c r="L50" s="4" t="n">
        <v>76</v>
      </c>
      <c r="M50" s="4" t="s">
        <v>43</v>
      </c>
      <c r="N50" s="5" t="n">
        <v>76</v>
      </c>
      <c r="O50" s="6" t="n">
        <v>84</v>
      </c>
      <c r="P50" s="6" t="s">
        <v>42</v>
      </c>
      <c r="Q50" s="7" t="n">
        <v>84</v>
      </c>
      <c r="R50" s="8" t="n">
        <v>84</v>
      </c>
      <c r="S50" s="8" t="s">
        <v>42</v>
      </c>
      <c r="T50" s="9" t="n">
        <v>84</v>
      </c>
      <c r="U50" s="10" t="n">
        <v>63</v>
      </c>
      <c r="V50" s="10" t="s">
        <v>44</v>
      </c>
      <c r="W50" s="11" t="n">
        <v>63</v>
      </c>
      <c r="X50" s="12" t="n">
        <v>59</v>
      </c>
      <c r="Y50" s="12" t="s">
        <v>53</v>
      </c>
      <c r="Z50" s="13" t="n">
        <v>59</v>
      </c>
      <c r="AA50" s="14" t="n">
        <v>97</v>
      </c>
      <c r="AB50" s="14" t="s">
        <v>54</v>
      </c>
      <c r="AC50" s="15" t="n">
        <v>97</v>
      </c>
      <c r="AD50" s="2" t="n">
        <f aca="false">SUM(L50,O50,R50,U50,X50,AA50)</f>
        <v>463</v>
      </c>
      <c r="AE50" s="16" t="n">
        <f aca="false">AD50/6</f>
        <v>77.1666666666667</v>
      </c>
      <c r="AF50" s="2" t="str">
        <f aca="false">IF(SUM(COUNTIF(M50,"RA"),COUNTIF(P50,"RA"),COUNTIF(S50,"RA"),COUNTIF(V50,"RA"),COUNTIF(Y50,"RA"),COUNTIF(AB50,"RA"))&gt;0,"FAIL","PASS")</f>
        <v>PASS</v>
      </c>
    </row>
    <row r="51" customFormat="false" ht="15" hidden="false" customHeight="false" outlineLevel="0" collapsed="false">
      <c r="A51" s="2" t="n">
        <v>50</v>
      </c>
      <c r="B51" s="3" t="s">
        <v>340</v>
      </c>
      <c r="C51" s="2" t="s">
        <v>33</v>
      </c>
      <c r="D51" s="2" t="s">
        <v>341</v>
      </c>
      <c r="E51" s="2" t="s">
        <v>57</v>
      </c>
      <c r="F51" s="2" t="s">
        <v>36</v>
      </c>
      <c r="G51" s="2" t="s">
        <v>78</v>
      </c>
      <c r="H51" s="2" t="s">
        <v>342</v>
      </c>
      <c r="I51" s="3" t="s">
        <v>343</v>
      </c>
      <c r="J51" s="2" t="s">
        <v>344</v>
      </c>
      <c r="K51" s="2" t="s">
        <v>345</v>
      </c>
      <c r="L51" s="4" t="n">
        <v>81</v>
      </c>
      <c r="M51" s="4" t="s">
        <v>42</v>
      </c>
      <c r="N51" s="5" t="n">
        <v>81</v>
      </c>
      <c r="O51" s="6" t="n">
        <v>96</v>
      </c>
      <c r="P51" s="6" t="s">
        <v>54</v>
      </c>
      <c r="Q51" s="7" t="n">
        <v>96</v>
      </c>
      <c r="R51" s="8" t="n">
        <v>82</v>
      </c>
      <c r="S51" s="8" t="s">
        <v>42</v>
      </c>
      <c r="T51" s="9" t="n">
        <v>82</v>
      </c>
      <c r="U51" s="10" t="n">
        <v>71</v>
      </c>
      <c r="V51" s="10" t="s">
        <v>43</v>
      </c>
      <c r="W51" s="11" t="n">
        <v>71</v>
      </c>
      <c r="X51" s="12" t="n">
        <v>65</v>
      </c>
      <c r="Y51" s="12" t="s">
        <v>44</v>
      </c>
      <c r="Z51" s="13" t="n">
        <v>65</v>
      </c>
      <c r="AA51" s="14" t="n">
        <v>67</v>
      </c>
      <c r="AB51" s="14" t="s">
        <v>44</v>
      </c>
      <c r="AC51" s="15" t="n">
        <v>67</v>
      </c>
      <c r="AD51" s="2" t="n">
        <f aca="false">SUM(L51,O51,R51,U51,X51,AA51)</f>
        <v>462</v>
      </c>
      <c r="AE51" s="16" t="n">
        <f aca="false">AD51/6</f>
        <v>77</v>
      </c>
      <c r="AF51" s="2" t="str">
        <f aca="false">IF(SUM(COUNTIF(M51,"RA"),COUNTIF(P51,"RA"),COUNTIF(S51,"RA"),COUNTIF(V51,"RA"),COUNTIF(Y51,"RA"),COUNTIF(AB51,"RA"))&gt;0,"FAIL","PASS")</f>
        <v>PASS</v>
      </c>
    </row>
    <row r="52" customFormat="false" ht="15" hidden="false" customHeight="false" outlineLevel="0" collapsed="false">
      <c r="A52" s="2" t="n">
        <v>51</v>
      </c>
      <c r="B52" s="3" t="s">
        <v>346</v>
      </c>
      <c r="C52" s="2" t="s">
        <v>33</v>
      </c>
      <c r="D52" s="2" t="s">
        <v>347</v>
      </c>
      <c r="E52" s="2" t="s">
        <v>35</v>
      </c>
      <c r="F52" s="2" t="s">
        <v>36</v>
      </c>
      <c r="G52" s="2" t="s">
        <v>64</v>
      </c>
      <c r="H52" s="2" t="s">
        <v>348</v>
      </c>
      <c r="I52" s="3" t="s">
        <v>349</v>
      </c>
      <c r="J52" s="2" t="s">
        <v>350</v>
      </c>
      <c r="K52" s="2" t="s">
        <v>351</v>
      </c>
      <c r="L52" s="4" t="n">
        <v>83</v>
      </c>
      <c r="M52" s="4" t="s">
        <v>42</v>
      </c>
      <c r="N52" s="5" t="n">
        <v>83</v>
      </c>
      <c r="O52" s="6" t="n">
        <v>68</v>
      </c>
      <c r="P52" s="6" t="s">
        <v>44</v>
      </c>
      <c r="Q52" s="7" t="n">
        <v>68</v>
      </c>
      <c r="R52" s="8" t="n">
        <v>79</v>
      </c>
      <c r="S52" s="8" t="s">
        <v>43</v>
      </c>
      <c r="T52" s="9" t="n">
        <v>79</v>
      </c>
      <c r="U52" s="10" t="n">
        <v>55</v>
      </c>
      <c r="V52" s="10" t="s">
        <v>53</v>
      </c>
      <c r="W52" s="11" t="n">
        <v>55</v>
      </c>
      <c r="X52" s="12" t="n">
        <v>90</v>
      </c>
      <c r="Y52" s="12" t="s">
        <v>54</v>
      </c>
      <c r="Z52" s="13" t="n">
        <v>90</v>
      </c>
      <c r="AA52" s="14" t="n">
        <v>96</v>
      </c>
      <c r="AB52" s="14" t="s">
        <v>54</v>
      </c>
      <c r="AC52" s="15" t="n">
        <v>96</v>
      </c>
      <c r="AD52" s="2" t="n">
        <f aca="false">SUM(L52,O52,R52,U52,X52,AA52)</f>
        <v>471</v>
      </c>
      <c r="AE52" s="16" t="n">
        <f aca="false">AD52/6</f>
        <v>78.5</v>
      </c>
      <c r="AF52" s="2" t="str">
        <f aca="false">IF(SUM(COUNTIF(M52,"RA"),COUNTIF(P52,"RA"),COUNTIF(S52,"RA"),COUNTIF(V52,"RA"),COUNTIF(Y52,"RA"),COUNTIF(AB52,"RA"))&gt;0,"FAIL","PASS")</f>
        <v>PASS</v>
      </c>
    </row>
    <row r="53" customFormat="false" ht="15" hidden="false" customHeight="false" outlineLevel="0" collapsed="false">
      <c r="A53" s="2" t="n">
        <v>52</v>
      </c>
      <c r="B53" s="3" t="s">
        <v>352</v>
      </c>
      <c r="C53" s="2" t="s">
        <v>33</v>
      </c>
      <c r="D53" s="2" t="s">
        <v>353</v>
      </c>
      <c r="E53" s="2" t="s">
        <v>57</v>
      </c>
      <c r="F53" s="2" t="s">
        <v>36</v>
      </c>
      <c r="G53" s="2" t="s">
        <v>44</v>
      </c>
      <c r="H53" s="2" t="s">
        <v>354</v>
      </c>
      <c r="I53" s="3" t="s">
        <v>355</v>
      </c>
      <c r="J53" s="2" t="s">
        <v>356</v>
      </c>
      <c r="K53" s="2" t="s">
        <v>357</v>
      </c>
      <c r="L53" s="4" t="n">
        <v>73</v>
      </c>
      <c r="M53" s="4" t="s">
        <v>43</v>
      </c>
      <c r="N53" s="5" t="n">
        <v>73</v>
      </c>
      <c r="O53" s="6" t="n">
        <v>98</v>
      </c>
      <c r="P53" s="6" t="s">
        <v>54</v>
      </c>
      <c r="Q53" s="7" t="n">
        <v>98</v>
      </c>
      <c r="R53" s="8" t="n">
        <v>50</v>
      </c>
      <c r="S53" s="8" t="s">
        <v>53</v>
      </c>
      <c r="T53" s="9" t="n">
        <v>50</v>
      </c>
      <c r="U53" s="10" t="n">
        <v>44</v>
      </c>
      <c r="V53" s="10" t="s">
        <v>45</v>
      </c>
      <c r="W53" s="11" t="n">
        <v>44</v>
      </c>
      <c r="X53" s="12" t="n">
        <v>86</v>
      </c>
      <c r="Y53" s="12" t="s">
        <v>42</v>
      </c>
      <c r="Z53" s="13" t="n">
        <v>86</v>
      </c>
      <c r="AA53" s="14" t="n">
        <v>50</v>
      </c>
      <c r="AB53" s="14" t="s">
        <v>53</v>
      </c>
      <c r="AC53" s="15" t="n">
        <v>50</v>
      </c>
      <c r="AD53" s="2" t="n">
        <f aca="false">SUM(L53,O53,R53,U53,X53,AA53)</f>
        <v>401</v>
      </c>
      <c r="AE53" s="16" t="n">
        <f aca="false">AD53/6</f>
        <v>66.8333333333333</v>
      </c>
      <c r="AF53" s="2" t="str">
        <f aca="false">IF(SUM(COUNTIF(M53,"RA"),COUNTIF(P53,"RA"),COUNTIF(S53,"RA"),COUNTIF(V53,"RA"),COUNTIF(Y53,"RA"),COUNTIF(AB53,"RA"))&gt;0,"FAIL","PASS")</f>
        <v>FAIL</v>
      </c>
    </row>
    <row r="54" customFormat="false" ht="15" hidden="false" customHeight="false" outlineLevel="0" collapsed="false">
      <c r="A54" s="2" t="n">
        <v>53</v>
      </c>
      <c r="B54" s="3" t="s">
        <v>358</v>
      </c>
      <c r="C54" s="2" t="s">
        <v>33</v>
      </c>
      <c r="D54" s="2" t="s">
        <v>359</v>
      </c>
      <c r="E54" s="2" t="s">
        <v>35</v>
      </c>
      <c r="F54" s="2" t="s">
        <v>36</v>
      </c>
      <c r="G54" s="2" t="s">
        <v>78</v>
      </c>
      <c r="H54" s="2" t="s">
        <v>360</v>
      </c>
      <c r="I54" s="3" t="s">
        <v>361</v>
      </c>
      <c r="J54" s="2" t="s">
        <v>362</v>
      </c>
      <c r="K54" s="2" t="s">
        <v>363</v>
      </c>
      <c r="L54" s="4" t="n">
        <v>99</v>
      </c>
      <c r="M54" s="4" t="s">
        <v>54</v>
      </c>
      <c r="N54" s="5" t="n">
        <v>99</v>
      </c>
      <c r="O54" s="6" t="n">
        <v>71</v>
      </c>
      <c r="P54" s="6" t="s">
        <v>43</v>
      </c>
      <c r="Q54" s="7" t="n">
        <v>71</v>
      </c>
      <c r="R54" s="8" t="n">
        <v>93</v>
      </c>
      <c r="S54" s="8" t="s">
        <v>54</v>
      </c>
      <c r="T54" s="9" t="n">
        <v>93</v>
      </c>
      <c r="U54" s="10" t="n">
        <v>65</v>
      </c>
      <c r="V54" s="10" t="s">
        <v>44</v>
      </c>
      <c r="W54" s="11" t="n">
        <v>65</v>
      </c>
      <c r="X54" s="12" t="n">
        <v>81</v>
      </c>
      <c r="Y54" s="12" t="s">
        <v>42</v>
      </c>
      <c r="Z54" s="13" t="n">
        <v>81</v>
      </c>
      <c r="AA54" s="14" t="n">
        <v>96</v>
      </c>
      <c r="AB54" s="14" t="s">
        <v>54</v>
      </c>
      <c r="AC54" s="15" t="n">
        <v>96</v>
      </c>
      <c r="AD54" s="2" t="n">
        <f aca="false">SUM(L54,O54,R54,U54,X54,AA54)</f>
        <v>505</v>
      </c>
      <c r="AE54" s="16" t="n">
        <f aca="false">AD54/6</f>
        <v>84.1666666666667</v>
      </c>
      <c r="AF54" s="2" t="str">
        <f aca="false">IF(SUM(COUNTIF(M54,"RA"),COUNTIF(P54,"RA"),COUNTIF(S54,"RA"),COUNTIF(V54,"RA"),COUNTIF(Y54,"RA"),COUNTIF(AB54,"RA"))&gt;0,"FAIL","PASS")</f>
        <v>PASS</v>
      </c>
    </row>
    <row r="55" customFormat="false" ht="15" hidden="false" customHeight="false" outlineLevel="0" collapsed="false">
      <c r="A55" s="2" t="n">
        <v>54</v>
      </c>
      <c r="B55" s="3" t="s">
        <v>364</v>
      </c>
      <c r="C55" s="2" t="s">
        <v>33</v>
      </c>
      <c r="D55" s="2" t="s">
        <v>365</v>
      </c>
      <c r="E55" s="2" t="s">
        <v>57</v>
      </c>
      <c r="F55" s="2" t="s">
        <v>36</v>
      </c>
      <c r="G55" s="2" t="s">
        <v>64</v>
      </c>
      <c r="H55" s="2" t="s">
        <v>366</v>
      </c>
      <c r="I55" s="3" t="s">
        <v>367</v>
      </c>
      <c r="J55" s="2" t="s">
        <v>368</v>
      </c>
      <c r="K55" s="2" t="s">
        <v>369</v>
      </c>
      <c r="L55" s="4" t="n">
        <v>77</v>
      </c>
      <c r="M55" s="4" t="s">
        <v>43</v>
      </c>
      <c r="N55" s="5" t="n">
        <v>77</v>
      </c>
      <c r="O55" s="6" t="n">
        <v>77</v>
      </c>
      <c r="P55" s="6" t="s">
        <v>43</v>
      </c>
      <c r="Q55" s="7" t="n">
        <v>77</v>
      </c>
      <c r="R55" s="8" t="n">
        <v>80</v>
      </c>
      <c r="S55" s="8" t="s">
        <v>42</v>
      </c>
      <c r="T55" s="9" t="n">
        <v>80</v>
      </c>
      <c r="U55" s="10" t="n">
        <v>72</v>
      </c>
      <c r="V55" s="10" t="s">
        <v>43</v>
      </c>
      <c r="W55" s="11" t="n">
        <v>72</v>
      </c>
      <c r="X55" s="12" t="n">
        <v>82</v>
      </c>
      <c r="Y55" s="12" t="s">
        <v>42</v>
      </c>
      <c r="Z55" s="13" t="n">
        <v>82</v>
      </c>
      <c r="AA55" s="14" t="n">
        <v>70</v>
      </c>
      <c r="AB55" s="14" t="s">
        <v>43</v>
      </c>
      <c r="AC55" s="15" t="n">
        <v>70</v>
      </c>
      <c r="AD55" s="2" t="n">
        <f aca="false">SUM(L55,O55,R55,U55,X55,AA55)</f>
        <v>458</v>
      </c>
      <c r="AE55" s="16" t="n">
        <f aca="false">AD55/6</f>
        <v>76.3333333333333</v>
      </c>
      <c r="AF55" s="2" t="str">
        <f aca="false">IF(SUM(COUNTIF(M55,"RA"),COUNTIF(P55,"RA"),COUNTIF(S55,"RA"),COUNTIF(V55,"RA"),COUNTIF(Y55,"RA"),COUNTIF(AB55,"RA"))&gt;0,"FAIL","PASS")</f>
        <v>PASS</v>
      </c>
    </row>
    <row r="56" customFormat="false" ht="15" hidden="false" customHeight="false" outlineLevel="0" collapsed="false">
      <c r="A56" s="2" t="n">
        <v>55</v>
      </c>
      <c r="B56" s="3" t="s">
        <v>370</v>
      </c>
      <c r="C56" s="2" t="s">
        <v>33</v>
      </c>
      <c r="D56" s="2" t="s">
        <v>371</v>
      </c>
      <c r="E56" s="2" t="s">
        <v>57</v>
      </c>
      <c r="F56" s="2" t="s">
        <v>36</v>
      </c>
      <c r="G56" s="2" t="s">
        <v>71</v>
      </c>
      <c r="H56" s="2" t="s">
        <v>372</v>
      </c>
      <c r="I56" s="3" t="s">
        <v>373</v>
      </c>
      <c r="J56" s="2" t="s">
        <v>374</v>
      </c>
      <c r="K56" s="2" t="s">
        <v>375</v>
      </c>
      <c r="L56" s="4" t="n">
        <v>42</v>
      </c>
      <c r="M56" s="4" t="s">
        <v>45</v>
      </c>
      <c r="N56" s="5" t="n">
        <v>42</v>
      </c>
      <c r="O56" s="6" t="n">
        <v>89</v>
      </c>
      <c r="P56" s="6" t="s">
        <v>42</v>
      </c>
      <c r="Q56" s="7" t="n">
        <v>89</v>
      </c>
      <c r="R56" s="8" t="n">
        <v>70</v>
      </c>
      <c r="S56" s="8" t="s">
        <v>43</v>
      </c>
      <c r="T56" s="9" t="n">
        <v>70</v>
      </c>
      <c r="U56" s="10" t="n">
        <v>85</v>
      </c>
      <c r="V56" s="10" t="s">
        <v>42</v>
      </c>
      <c r="W56" s="11" t="n">
        <v>85</v>
      </c>
      <c r="X56" s="12" t="n">
        <v>60</v>
      </c>
      <c r="Y56" s="12" t="s">
        <v>44</v>
      </c>
      <c r="Z56" s="13" t="n">
        <v>60</v>
      </c>
      <c r="AA56" s="14" t="n">
        <v>98</v>
      </c>
      <c r="AB56" s="14" t="s">
        <v>54</v>
      </c>
      <c r="AC56" s="15" t="n">
        <v>98</v>
      </c>
      <c r="AD56" s="2" t="n">
        <f aca="false">SUM(L56,O56,R56,U56,X56,AA56)</f>
        <v>444</v>
      </c>
      <c r="AE56" s="16" t="n">
        <f aca="false">AD56/6</f>
        <v>74</v>
      </c>
      <c r="AF56" s="2" t="str">
        <f aca="false">IF(SUM(COUNTIF(M56,"RA"),COUNTIF(P56,"RA"),COUNTIF(S56,"RA"),COUNTIF(V56,"RA"),COUNTIF(Y56,"RA"),COUNTIF(AB56,"RA"))&gt;0,"FAIL","PASS")</f>
        <v>FAIL</v>
      </c>
    </row>
    <row r="57" customFormat="false" ht="15" hidden="false" customHeight="false" outlineLevel="0" collapsed="false">
      <c r="A57" s="2" t="n">
        <v>56</v>
      </c>
      <c r="B57" s="3" t="s">
        <v>376</v>
      </c>
      <c r="C57" s="2" t="s">
        <v>33</v>
      </c>
      <c r="D57" s="2" t="s">
        <v>377</v>
      </c>
      <c r="E57" s="2" t="s">
        <v>57</v>
      </c>
      <c r="F57" s="2" t="s">
        <v>36</v>
      </c>
      <c r="G57" s="2" t="s">
        <v>44</v>
      </c>
      <c r="H57" s="2" t="s">
        <v>378</v>
      </c>
      <c r="I57" s="3" t="s">
        <v>379</v>
      </c>
      <c r="J57" s="2" t="s">
        <v>380</v>
      </c>
      <c r="K57" s="2" t="s">
        <v>381</v>
      </c>
      <c r="L57" s="4" t="n">
        <v>65</v>
      </c>
      <c r="M57" s="4" t="s">
        <v>44</v>
      </c>
      <c r="N57" s="5" t="n">
        <v>65</v>
      </c>
      <c r="O57" s="6" t="n">
        <v>98</v>
      </c>
      <c r="P57" s="6" t="s">
        <v>54</v>
      </c>
      <c r="Q57" s="7" t="n">
        <v>98</v>
      </c>
      <c r="R57" s="8" t="n">
        <v>75</v>
      </c>
      <c r="S57" s="8" t="s">
        <v>43</v>
      </c>
      <c r="T57" s="9" t="n">
        <v>75</v>
      </c>
      <c r="U57" s="10" t="n">
        <v>65</v>
      </c>
      <c r="V57" s="10" t="s">
        <v>44</v>
      </c>
      <c r="W57" s="11" t="n">
        <v>65</v>
      </c>
      <c r="X57" s="12" t="n">
        <v>67</v>
      </c>
      <c r="Y57" s="12" t="s">
        <v>44</v>
      </c>
      <c r="Z57" s="13" t="n">
        <v>67</v>
      </c>
      <c r="AA57" s="14" t="n">
        <v>98</v>
      </c>
      <c r="AB57" s="14" t="s">
        <v>54</v>
      </c>
      <c r="AC57" s="15" t="n">
        <v>98</v>
      </c>
      <c r="AD57" s="2" t="n">
        <f aca="false">SUM(L57,O57,R57,U57,X57,AA57)</f>
        <v>468</v>
      </c>
      <c r="AE57" s="16" t="n">
        <f aca="false">AD57/6</f>
        <v>78</v>
      </c>
      <c r="AF57" s="2" t="str">
        <f aca="false">IF(SUM(COUNTIF(M57,"RA"),COUNTIF(P57,"RA"),COUNTIF(S57,"RA"),COUNTIF(V57,"RA"),COUNTIF(Y57,"RA"),COUNTIF(AB57,"RA"))&gt;0,"FAIL","PASS")</f>
        <v>PASS</v>
      </c>
    </row>
    <row r="58" customFormat="false" ht="15" hidden="false" customHeight="false" outlineLevel="0" collapsed="false">
      <c r="A58" s="2" t="n">
        <v>57</v>
      </c>
      <c r="B58" s="3" t="s">
        <v>382</v>
      </c>
      <c r="C58" s="2" t="s">
        <v>33</v>
      </c>
      <c r="D58" s="2" t="s">
        <v>383</v>
      </c>
      <c r="E58" s="2" t="s">
        <v>57</v>
      </c>
      <c r="F58" s="2" t="s">
        <v>36</v>
      </c>
      <c r="G58" s="2" t="s">
        <v>37</v>
      </c>
      <c r="H58" s="2" t="s">
        <v>372</v>
      </c>
      <c r="I58" s="3" t="s">
        <v>384</v>
      </c>
      <c r="J58" s="2" t="s">
        <v>385</v>
      </c>
      <c r="K58" s="2" t="s">
        <v>386</v>
      </c>
      <c r="L58" s="4" t="n">
        <v>99</v>
      </c>
      <c r="M58" s="4" t="s">
        <v>54</v>
      </c>
      <c r="N58" s="5" t="n">
        <v>99</v>
      </c>
      <c r="O58" s="6" t="n">
        <v>45</v>
      </c>
      <c r="P58" s="6" t="s">
        <v>45</v>
      </c>
      <c r="Q58" s="7" t="n">
        <v>45</v>
      </c>
      <c r="R58" s="8" t="n">
        <v>84</v>
      </c>
      <c r="S58" s="8" t="s">
        <v>42</v>
      </c>
      <c r="T58" s="9" t="n">
        <v>84</v>
      </c>
      <c r="U58" s="10" t="n">
        <v>75</v>
      </c>
      <c r="V58" s="10" t="s">
        <v>43</v>
      </c>
      <c r="W58" s="11" t="n">
        <v>75</v>
      </c>
      <c r="X58" s="12" t="n">
        <v>81</v>
      </c>
      <c r="Y58" s="12" t="s">
        <v>42</v>
      </c>
      <c r="Z58" s="13" t="n">
        <v>81</v>
      </c>
      <c r="AA58" s="14" t="n">
        <v>63</v>
      </c>
      <c r="AB58" s="14" t="s">
        <v>44</v>
      </c>
      <c r="AC58" s="15" t="n">
        <v>63</v>
      </c>
      <c r="AD58" s="2" t="n">
        <f aca="false">SUM(L58,O58,R58,U58,X58,AA58)</f>
        <v>447</v>
      </c>
      <c r="AE58" s="16" t="n">
        <f aca="false">AD58/6</f>
        <v>74.5</v>
      </c>
      <c r="AF58" s="2" t="str">
        <f aca="false">IF(SUM(COUNTIF(M58,"RA"),COUNTIF(P58,"RA"),COUNTIF(S58,"RA"),COUNTIF(V58,"RA"),COUNTIF(Y58,"RA"),COUNTIF(AB58,"RA"))&gt;0,"FAIL","PASS")</f>
        <v>FAIL</v>
      </c>
    </row>
    <row r="59" customFormat="false" ht="15" hidden="false" customHeight="false" outlineLevel="0" collapsed="false">
      <c r="A59" s="2" t="n">
        <v>58</v>
      </c>
      <c r="B59" s="3" t="s">
        <v>387</v>
      </c>
      <c r="C59" s="2" t="s">
        <v>33</v>
      </c>
      <c r="D59" s="2" t="s">
        <v>388</v>
      </c>
      <c r="E59" s="2" t="s">
        <v>35</v>
      </c>
      <c r="F59" s="2" t="s">
        <v>36</v>
      </c>
      <c r="G59" s="2" t="s">
        <v>48</v>
      </c>
      <c r="H59" s="2" t="s">
        <v>389</v>
      </c>
      <c r="I59" s="3" t="s">
        <v>390</v>
      </c>
      <c r="J59" s="2" t="s">
        <v>391</v>
      </c>
      <c r="K59" s="2" t="s">
        <v>392</v>
      </c>
      <c r="L59" s="4" t="n">
        <v>84</v>
      </c>
      <c r="M59" s="4" t="s">
        <v>42</v>
      </c>
      <c r="N59" s="5" t="n">
        <v>84</v>
      </c>
      <c r="O59" s="6" t="n">
        <v>67</v>
      </c>
      <c r="P59" s="6" t="s">
        <v>44</v>
      </c>
      <c r="Q59" s="7" t="n">
        <v>67</v>
      </c>
      <c r="R59" s="8" t="n">
        <v>67</v>
      </c>
      <c r="S59" s="8" t="s">
        <v>44</v>
      </c>
      <c r="T59" s="9" t="n">
        <v>67</v>
      </c>
      <c r="U59" s="10" t="n">
        <v>71</v>
      </c>
      <c r="V59" s="10" t="s">
        <v>43</v>
      </c>
      <c r="W59" s="11" t="n">
        <v>71</v>
      </c>
      <c r="X59" s="12" t="n">
        <v>94</v>
      </c>
      <c r="Y59" s="12" t="s">
        <v>54</v>
      </c>
      <c r="Z59" s="13" t="n">
        <v>94</v>
      </c>
      <c r="AA59" s="14" t="n">
        <v>87</v>
      </c>
      <c r="AB59" s="14" t="s">
        <v>42</v>
      </c>
      <c r="AC59" s="15" t="n">
        <v>87</v>
      </c>
      <c r="AD59" s="2" t="n">
        <f aca="false">SUM(L59,O59,R59,U59,X59,AA59)</f>
        <v>470</v>
      </c>
      <c r="AE59" s="16" t="n">
        <f aca="false">AD59/6</f>
        <v>78.3333333333333</v>
      </c>
      <c r="AF59" s="2" t="str">
        <f aca="false">IF(SUM(COUNTIF(M59,"RA"),COUNTIF(P59,"RA"),COUNTIF(S59,"RA"),COUNTIF(V59,"RA"),COUNTIF(Y59,"RA"),COUNTIF(AB59,"RA"))&gt;0,"FAIL","PASS")</f>
        <v>PASS</v>
      </c>
    </row>
    <row r="60" customFormat="false" ht="15" hidden="false" customHeight="false" outlineLevel="0" collapsed="false">
      <c r="A60" s="2" t="n">
        <v>59</v>
      </c>
      <c r="B60" s="3" t="s">
        <v>393</v>
      </c>
      <c r="C60" s="2" t="s">
        <v>33</v>
      </c>
      <c r="D60" s="2" t="s">
        <v>394</v>
      </c>
      <c r="E60" s="2" t="s">
        <v>35</v>
      </c>
      <c r="F60" s="2" t="s">
        <v>36</v>
      </c>
      <c r="G60" s="2" t="s">
        <v>48</v>
      </c>
      <c r="H60" s="2" t="s">
        <v>395</v>
      </c>
      <c r="I60" s="3" t="s">
        <v>396</v>
      </c>
      <c r="J60" s="2" t="s">
        <v>397</v>
      </c>
      <c r="K60" s="2" t="s">
        <v>398</v>
      </c>
      <c r="L60" s="4" t="n">
        <v>83</v>
      </c>
      <c r="M60" s="4" t="s">
        <v>42</v>
      </c>
      <c r="N60" s="5" t="n">
        <v>83</v>
      </c>
      <c r="O60" s="6" t="n">
        <v>78</v>
      </c>
      <c r="P60" s="6" t="s">
        <v>43</v>
      </c>
      <c r="Q60" s="7" t="n">
        <v>78</v>
      </c>
      <c r="R60" s="8" t="n">
        <v>63</v>
      </c>
      <c r="S60" s="8" t="s">
        <v>44</v>
      </c>
      <c r="T60" s="9" t="n">
        <v>63</v>
      </c>
      <c r="U60" s="10" t="n">
        <v>83</v>
      </c>
      <c r="V60" s="10" t="s">
        <v>42</v>
      </c>
      <c r="W60" s="11" t="n">
        <v>83</v>
      </c>
      <c r="X60" s="12" t="n">
        <v>95</v>
      </c>
      <c r="Y60" s="12" t="s">
        <v>54</v>
      </c>
      <c r="Z60" s="13" t="n">
        <v>95</v>
      </c>
      <c r="AA60" s="14" t="n">
        <v>93</v>
      </c>
      <c r="AB60" s="14" t="s">
        <v>54</v>
      </c>
      <c r="AC60" s="15" t="n">
        <v>93</v>
      </c>
      <c r="AD60" s="2" t="n">
        <f aca="false">SUM(L60,O60,R60,U60,X60,AA60)</f>
        <v>495</v>
      </c>
      <c r="AE60" s="16" t="n">
        <f aca="false">AD60/6</f>
        <v>82.5</v>
      </c>
      <c r="AF60" s="2" t="str">
        <f aca="false">IF(SUM(COUNTIF(M60,"RA"),COUNTIF(P60,"RA"),COUNTIF(S60,"RA"),COUNTIF(V60,"RA"),COUNTIF(Y60,"RA"),COUNTIF(AB60,"RA"))&gt;0,"FAIL","PASS")</f>
        <v>PASS</v>
      </c>
    </row>
    <row r="61" customFormat="false" ht="15" hidden="false" customHeight="false" outlineLevel="0" collapsed="false">
      <c r="A61" s="2" t="n">
        <v>60</v>
      </c>
      <c r="B61" s="3" t="s">
        <v>399</v>
      </c>
      <c r="C61" s="2" t="s">
        <v>33</v>
      </c>
      <c r="D61" s="2" t="s">
        <v>400</v>
      </c>
      <c r="E61" s="2" t="s">
        <v>35</v>
      </c>
      <c r="F61" s="2" t="s">
        <v>36</v>
      </c>
      <c r="G61" s="2" t="s">
        <v>71</v>
      </c>
      <c r="H61" s="2" t="s">
        <v>401</v>
      </c>
      <c r="I61" s="3" t="s">
        <v>402</v>
      </c>
      <c r="J61" s="2" t="s">
        <v>403</v>
      </c>
      <c r="K61" s="2" t="s">
        <v>404</v>
      </c>
      <c r="L61" s="4" t="n">
        <v>78</v>
      </c>
      <c r="M61" s="4" t="s">
        <v>43</v>
      </c>
      <c r="N61" s="5" t="n">
        <v>78</v>
      </c>
      <c r="O61" s="6" t="n">
        <v>76</v>
      </c>
      <c r="P61" s="6" t="s">
        <v>43</v>
      </c>
      <c r="Q61" s="7" t="n">
        <v>76</v>
      </c>
      <c r="R61" s="8" t="n">
        <v>72</v>
      </c>
      <c r="S61" s="8" t="s">
        <v>43</v>
      </c>
      <c r="T61" s="9" t="n">
        <v>72</v>
      </c>
      <c r="U61" s="10" t="n">
        <v>52</v>
      </c>
      <c r="V61" s="10" t="s">
        <v>53</v>
      </c>
      <c r="W61" s="11" t="n">
        <v>52</v>
      </c>
      <c r="X61" s="12" t="n">
        <v>54</v>
      </c>
      <c r="Y61" s="12" t="s">
        <v>53</v>
      </c>
      <c r="Z61" s="13" t="n">
        <v>54</v>
      </c>
      <c r="AA61" s="14" t="n">
        <v>99</v>
      </c>
      <c r="AB61" s="14" t="s">
        <v>54</v>
      </c>
      <c r="AC61" s="15" t="n">
        <v>99</v>
      </c>
      <c r="AD61" s="2" t="n">
        <f aca="false">SUM(L61,O61,R61,U61,X61,AA61)</f>
        <v>431</v>
      </c>
      <c r="AE61" s="16" t="n">
        <f aca="false">AD61/6</f>
        <v>71.8333333333333</v>
      </c>
      <c r="AF61" s="2" t="str">
        <f aca="false">IF(SUM(COUNTIF(M61,"RA"),COUNTIF(P61,"RA"),COUNTIF(S61,"RA"),COUNTIF(V61,"RA"),COUNTIF(Y61,"RA"),COUNTIF(AB61,"RA"))&gt;0,"FAIL","PASS")</f>
        <v>PASS</v>
      </c>
    </row>
    <row r="62" customFormat="false" ht="15" hidden="false" customHeight="false" outlineLevel="0" collapsed="false">
      <c r="A62" s="2" t="n">
        <v>61</v>
      </c>
      <c r="B62" s="3" t="s">
        <v>405</v>
      </c>
      <c r="C62" s="2" t="s">
        <v>33</v>
      </c>
      <c r="D62" s="2" t="s">
        <v>406</v>
      </c>
      <c r="E62" s="2" t="s">
        <v>57</v>
      </c>
      <c r="F62" s="2" t="s">
        <v>36</v>
      </c>
      <c r="G62" s="2" t="s">
        <v>37</v>
      </c>
      <c r="H62" s="2" t="s">
        <v>407</v>
      </c>
      <c r="I62" s="3" t="s">
        <v>408</v>
      </c>
      <c r="J62" s="2" t="s">
        <v>409</v>
      </c>
      <c r="K62" s="2" t="s">
        <v>410</v>
      </c>
      <c r="L62" s="4" t="n">
        <v>89</v>
      </c>
      <c r="M62" s="4" t="s">
        <v>42</v>
      </c>
      <c r="N62" s="5" t="n">
        <v>89</v>
      </c>
      <c r="O62" s="6" t="n">
        <v>81</v>
      </c>
      <c r="P62" s="6" t="s">
        <v>42</v>
      </c>
      <c r="Q62" s="7" t="n">
        <v>81</v>
      </c>
      <c r="R62" s="8" t="n">
        <v>88</v>
      </c>
      <c r="S62" s="8" t="s">
        <v>42</v>
      </c>
      <c r="T62" s="9" t="n">
        <v>88</v>
      </c>
      <c r="U62" s="10" t="n">
        <v>73</v>
      </c>
      <c r="V62" s="10" t="s">
        <v>43</v>
      </c>
      <c r="W62" s="11" t="n">
        <v>73</v>
      </c>
      <c r="X62" s="12" t="n">
        <v>75</v>
      </c>
      <c r="Y62" s="12" t="s">
        <v>43</v>
      </c>
      <c r="Z62" s="13" t="n">
        <v>75</v>
      </c>
      <c r="AA62" s="14" t="n">
        <v>89</v>
      </c>
      <c r="AB62" s="14" t="s">
        <v>42</v>
      </c>
      <c r="AC62" s="15" t="n">
        <v>89</v>
      </c>
      <c r="AD62" s="2" t="n">
        <f aca="false">SUM(L62,O62,R62,U62,X62,AA62)</f>
        <v>495</v>
      </c>
      <c r="AE62" s="16" t="n">
        <f aca="false">AD62/6</f>
        <v>82.5</v>
      </c>
      <c r="AF62" s="2" t="str">
        <f aca="false">IF(SUM(COUNTIF(M62,"RA"),COUNTIF(P62,"RA"),COUNTIF(S62,"RA"),COUNTIF(V62,"RA"),COUNTIF(Y62,"RA"),COUNTIF(AB62,"RA"))&gt;0,"FAIL","PASS")</f>
        <v>PASS</v>
      </c>
    </row>
    <row r="63" customFormat="false" ht="15" hidden="false" customHeight="false" outlineLevel="0" collapsed="false">
      <c r="A63" s="2" t="n">
        <v>62</v>
      </c>
      <c r="B63" s="3" t="s">
        <v>411</v>
      </c>
      <c r="C63" s="2" t="s">
        <v>33</v>
      </c>
      <c r="D63" s="2" t="s">
        <v>412</v>
      </c>
      <c r="E63" s="2" t="s">
        <v>57</v>
      </c>
      <c r="F63" s="2" t="s">
        <v>36</v>
      </c>
      <c r="G63" s="2" t="s">
        <v>78</v>
      </c>
      <c r="H63" s="2" t="s">
        <v>413</v>
      </c>
      <c r="I63" s="3" t="s">
        <v>414</v>
      </c>
      <c r="J63" s="2" t="s">
        <v>415</v>
      </c>
      <c r="K63" s="2" t="s">
        <v>416</v>
      </c>
      <c r="L63" s="4" t="n">
        <v>62</v>
      </c>
      <c r="M63" s="4" t="s">
        <v>44</v>
      </c>
      <c r="N63" s="5" t="n">
        <v>62</v>
      </c>
      <c r="O63" s="6" t="n">
        <v>85</v>
      </c>
      <c r="P63" s="6" t="s">
        <v>42</v>
      </c>
      <c r="Q63" s="7" t="n">
        <v>85</v>
      </c>
      <c r="R63" s="8" t="n">
        <v>51</v>
      </c>
      <c r="S63" s="8" t="s">
        <v>53</v>
      </c>
      <c r="T63" s="9" t="n">
        <v>51</v>
      </c>
      <c r="U63" s="10" t="n">
        <v>69</v>
      </c>
      <c r="V63" s="10" t="s">
        <v>44</v>
      </c>
      <c r="W63" s="11" t="n">
        <v>69</v>
      </c>
      <c r="X63" s="12" t="n">
        <v>77</v>
      </c>
      <c r="Y63" s="12" t="s">
        <v>43</v>
      </c>
      <c r="Z63" s="13" t="n">
        <v>77</v>
      </c>
      <c r="AA63" s="14" t="n">
        <v>73</v>
      </c>
      <c r="AB63" s="14" t="s">
        <v>43</v>
      </c>
      <c r="AC63" s="15" t="n">
        <v>73</v>
      </c>
      <c r="AD63" s="2" t="n">
        <f aca="false">SUM(L63,O63,R63,U63,X63,AA63)</f>
        <v>417</v>
      </c>
      <c r="AE63" s="16" t="n">
        <f aca="false">AD63/6</f>
        <v>69.5</v>
      </c>
      <c r="AF63" s="2" t="str">
        <f aca="false">IF(SUM(COUNTIF(M63,"RA"),COUNTIF(P63,"RA"),COUNTIF(S63,"RA"),COUNTIF(V63,"RA"),COUNTIF(Y63,"RA"),COUNTIF(AB63,"RA"))&gt;0,"FAIL","PASS")</f>
        <v>PASS</v>
      </c>
    </row>
    <row r="64" customFormat="false" ht="15" hidden="false" customHeight="false" outlineLevel="0" collapsed="false">
      <c r="A64" s="2" t="n">
        <v>63</v>
      </c>
      <c r="B64" s="3" t="s">
        <v>417</v>
      </c>
      <c r="C64" s="2" t="s">
        <v>33</v>
      </c>
      <c r="D64" s="2" t="s">
        <v>418</v>
      </c>
      <c r="E64" s="2" t="s">
        <v>57</v>
      </c>
      <c r="F64" s="2" t="s">
        <v>36</v>
      </c>
      <c r="G64" s="2" t="s">
        <v>91</v>
      </c>
      <c r="H64" s="2" t="s">
        <v>419</v>
      </c>
      <c r="I64" s="3" t="s">
        <v>420</v>
      </c>
      <c r="J64" s="2" t="s">
        <v>421</v>
      </c>
      <c r="K64" s="2" t="s">
        <v>422</v>
      </c>
      <c r="L64" s="4" t="n">
        <v>79</v>
      </c>
      <c r="M64" s="4" t="s">
        <v>43</v>
      </c>
      <c r="N64" s="5" t="n">
        <v>79</v>
      </c>
      <c r="O64" s="6" t="n">
        <v>80</v>
      </c>
      <c r="P64" s="6" t="s">
        <v>42</v>
      </c>
      <c r="Q64" s="7" t="n">
        <v>80</v>
      </c>
      <c r="R64" s="8" t="n">
        <v>89</v>
      </c>
      <c r="S64" s="8" t="s">
        <v>42</v>
      </c>
      <c r="T64" s="9" t="n">
        <v>89</v>
      </c>
      <c r="U64" s="10" t="n">
        <v>69</v>
      </c>
      <c r="V64" s="10" t="s">
        <v>44</v>
      </c>
      <c r="W64" s="11" t="n">
        <v>69</v>
      </c>
      <c r="X64" s="12" t="n">
        <v>68</v>
      </c>
      <c r="Y64" s="12" t="s">
        <v>44</v>
      </c>
      <c r="Z64" s="13" t="n">
        <v>68</v>
      </c>
      <c r="AA64" s="14" t="n">
        <v>93</v>
      </c>
      <c r="AB64" s="14" t="s">
        <v>54</v>
      </c>
      <c r="AC64" s="15" t="n">
        <v>93</v>
      </c>
      <c r="AD64" s="2" t="n">
        <f aca="false">SUM(L64,O64,R64,U64,X64,AA64)</f>
        <v>478</v>
      </c>
      <c r="AE64" s="16" t="n">
        <f aca="false">AD64/6</f>
        <v>79.6666666666667</v>
      </c>
      <c r="AF64" s="2" t="str">
        <f aca="false">IF(SUM(COUNTIF(M64,"RA"),COUNTIF(P64,"RA"),COUNTIF(S64,"RA"),COUNTIF(V64,"RA"),COUNTIF(Y64,"RA"),COUNTIF(AB64,"RA"))&gt;0,"FAIL","PASS")</f>
        <v>PASS</v>
      </c>
    </row>
    <row r="65" customFormat="false" ht="15" hidden="false" customHeight="false" outlineLevel="0" collapsed="false">
      <c r="A65" s="2" t="n">
        <v>64</v>
      </c>
      <c r="B65" s="3" t="s">
        <v>423</v>
      </c>
      <c r="C65" s="2" t="s">
        <v>33</v>
      </c>
      <c r="D65" s="2" t="s">
        <v>424</v>
      </c>
      <c r="E65" s="2" t="s">
        <v>35</v>
      </c>
      <c r="F65" s="2" t="s">
        <v>36</v>
      </c>
      <c r="G65" s="2" t="s">
        <v>71</v>
      </c>
      <c r="H65" s="2" t="s">
        <v>425</v>
      </c>
      <c r="I65" s="3" t="s">
        <v>426</v>
      </c>
      <c r="J65" s="2" t="s">
        <v>427</v>
      </c>
      <c r="K65" s="2" t="s">
        <v>428</v>
      </c>
      <c r="L65" s="4" t="n">
        <v>60</v>
      </c>
      <c r="M65" s="4" t="s">
        <v>44</v>
      </c>
      <c r="N65" s="5" t="n">
        <v>60</v>
      </c>
      <c r="O65" s="6" t="n">
        <v>99</v>
      </c>
      <c r="P65" s="6" t="s">
        <v>54</v>
      </c>
      <c r="Q65" s="7" t="n">
        <v>99</v>
      </c>
      <c r="R65" s="8" t="n">
        <v>87</v>
      </c>
      <c r="S65" s="8" t="s">
        <v>42</v>
      </c>
      <c r="T65" s="9" t="n">
        <v>87</v>
      </c>
      <c r="U65" s="10" t="n">
        <v>48</v>
      </c>
      <c r="V65" s="10" t="s">
        <v>45</v>
      </c>
      <c r="W65" s="11" t="n">
        <v>48</v>
      </c>
      <c r="X65" s="12" t="n">
        <v>90</v>
      </c>
      <c r="Y65" s="12" t="s">
        <v>54</v>
      </c>
      <c r="Z65" s="13" t="n">
        <v>90</v>
      </c>
      <c r="AA65" s="14" t="n">
        <v>63</v>
      </c>
      <c r="AB65" s="14" t="s">
        <v>44</v>
      </c>
      <c r="AC65" s="15" t="n">
        <v>63</v>
      </c>
      <c r="AD65" s="2" t="n">
        <f aca="false">SUM(L65,O65,R65,U65,X65,AA65)</f>
        <v>447</v>
      </c>
      <c r="AE65" s="16" t="n">
        <f aca="false">AD65/6</f>
        <v>74.5</v>
      </c>
      <c r="AF65" s="2" t="str">
        <f aca="false">IF(SUM(COUNTIF(M65,"RA"),COUNTIF(P65,"RA"),COUNTIF(S65,"RA"),COUNTIF(V65,"RA"),COUNTIF(Y65,"RA"),COUNTIF(AB65,"RA"))&gt;0,"FAIL","PASS")</f>
        <v>FAIL</v>
      </c>
    </row>
    <row r="66" customFormat="false" ht="15" hidden="false" customHeight="false" outlineLevel="0" collapsed="false">
      <c r="A66" s="2" t="n">
        <v>65</v>
      </c>
      <c r="B66" s="3" t="s">
        <v>429</v>
      </c>
      <c r="C66" s="2" t="s">
        <v>33</v>
      </c>
      <c r="D66" s="2" t="s">
        <v>430</v>
      </c>
      <c r="E66" s="2" t="s">
        <v>57</v>
      </c>
      <c r="F66" s="2" t="s">
        <v>36</v>
      </c>
      <c r="G66" s="2" t="s">
        <v>64</v>
      </c>
      <c r="H66" s="2" t="s">
        <v>431</v>
      </c>
      <c r="I66" s="3" t="s">
        <v>432</v>
      </c>
      <c r="J66" s="2" t="s">
        <v>433</v>
      </c>
      <c r="K66" s="2" t="s">
        <v>434</v>
      </c>
      <c r="L66" s="4" t="n">
        <v>96</v>
      </c>
      <c r="M66" s="4" t="s">
        <v>54</v>
      </c>
      <c r="N66" s="5" t="n">
        <v>96</v>
      </c>
      <c r="O66" s="6" t="n">
        <v>72</v>
      </c>
      <c r="P66" s="6" t="s">
        <v>43</v>
      </c>
      <c r="Q66" s="7" t="n">
        <v>72</v>
      </c>
      <c r="R66" s="8" t="n">
        <v>98</v>
      </c>
      <c r="S66" s="8" t="s">
        <v>54</v>
      </c>
      <c r="T66" s="9" t="n">
        <v>98</v>
      </c>
      <c r="U66" s="10" t="n">
        <v>86</v>
      </c>
      <c r="V66" s="10" t="s">
        <v>42</v>
      </c>
      <c r="W66" s="11" t="n">
        <v>86</v>
      </c>
      <c r="X66" s="12" t="n">
        <v>91</v>
      </c>
      <c r="Y66" s="12" t="s">
        <v>54</v>
      </c>
      <c r="Z66" s="13" t="n">
        <v>91</v>
      </c>
      <c r="AA66" s="14" t="n">
        <v>87</v>
      </c>
      <c r="AB66" s="14" t="s">
        <v>42</v>
      </c>
      <c r="AC66" s="15" t="n">
        <v>87</v>
      </c>
      <c r="AD66" s="2" t="n">
        <f aca="false">SUM(L66,O66,R66,U66,X66,AA66)</f>
        <v>530</v>
      </c>
      <c r="AE66" s="16" t="n">
        <f aca="false">AD66/6</f>
        <v>88.3333333333333</v>
      </c>
      <c r="AF66" s="2" t="str">
        <f aca="false">IF(SUM(COUNTIF(M66,"RA"),COUNTIF(P66,"RA"),COUNTIF(S66,"RA"),COUNTIF(V66,"RA"),COUNTIF(Y66,"RA"),COUNTIF(AB66,"RA"))&gt;0,"FAIL","PASS")</f>
        <v>PASS</v>
      </c>
    </row>
    <row r="67" customFormat="false" ht="15" hidden="false" customHeight="false" outlineLevel="0" collapsed="false">
      <c r="A67" s="2" t="n">
        <v>66</v>
      </c>
      <c r="B67" s="3" t="s">
        <v>435</v>
      </c>
      <c r="C67" s="2" t="s">
        <v>33</v>
      </c>
      <c r="D67" s="2" t="s">
        <v>436</v>
      </c>
      <c r="E67" s="2" t="s">
        <v>35</v>
      </c>
      <c r="F67" s="2" t="s">
        <v>36</v>
      </c>
      <c r="G67" s="2" t="s">
        <v>91</v>
      </c>
      <c r="H67" s="2" t="s">
        <v>437</v>
      </c>
      <c r="I67" s="3" t="s">
        <v>438</v>
      </c>
      <c r="J67" s="2" t="s">
        <v>439</v>
      </c>
      <c r="K67" s="2" t="s">
        <v>440</v>
      </c>
      <c r="L67" s="4" t="n">
        <v>76</v>
      </c>
      <c r="M67" s="4" t="s">
        <v>43</v>
      </c>
      <c r="N67" s="5" t="n">
        <v>76</v>
      </c>
      <c r="O67" s="6" t="n">
        <v>87</v>
      </c>
      <c r="P67" s="6" t="s">
        <v>42</v>
      </c>
      <c r="Q67" s="7" t="n">
        <v>87</v>
      </c>
      <c r="R67" s="8" t="n">
        <v>47</v>
      </c>
      <c r="S67" s="8" t="s">
        <v>45</v>
      </c>
      <c r="T67" s="9" t="n">
        <v>47</v>
      </c>
      <c r="U67" s="10" t="n">
        <v>66</v>
      </c>
      <c r="V67" s="10" t="s">
        <v>44</v>
      </c>
      <c r="W67" s="11" t="n">
        <v>66</v>
      </c>
      <c r="X67" s="12" t="n">
        <v>81</v>
      </c>
      <c r="Y67" s="12" t="s">
        <v>42</v>
      </c>
      <c r="Z67" s="13" t="n">
        <v>81</v>
      </c>
      <c r="AA67" s="14" t="n">
        <v>87</v>
      </c>
      <c r="AB67" s="14" t="s">
        <v>42</v>
      </c>
      <c r="AC67" s="15" t="n">
        <v>87</v>
      </c>
      <c r="AD67" s="2" t="n">
        <f aca="false">SUM(L67,O67,R67,U67,X67,AA67)</f>
        <v>444</v>
      </c>
      <c r="AE67" s="16" t="n">
        <f aca="false">AD67/6</f>
        <v>74</v>
      </c>
      <c r="AF67" s="2" t="str">
        <f aca="false">IF(SUM(COUNTIF(M67,"RA"),COUNTIF(P67,"RA"),COUNTIF(S67,"RA"),COUNTIF(V67,"RA"),COUNTIF(Y67,"RA"),COUNTIF(AB67,"RA"))&gt;0,"FAIL","PASS")</f>
        <v>FAIL</v>
      </c>
    </row>
    <row r="68" customFormat="false" ht="15" hidden="false" customHeight="false" outlineLevel="0" collapsed="false">
      <c r="A68" s="2" t="n">
        <v>67</v>
      </c>
      <c r="B68" s="3" t="s">
        <v>441</v>
      </c>
      <c r="C68" s="2" t="s">
        <v>33</v>
      </c>
      <c r="D68" s="2" t="s">
        <v>442</v>
      </c>
      <c r="E68" s="2" t="s">
        <v>57</v>
      </c>
      <c r="F68" s="2" t="s">
        <v>36</v>
      </c>
      <c r="G68" s="2" t="s">
        <v>71</v>
      </c>
      <c r="H68" s="2" t="s">
        <v>443</v>
      </c>
      <c r="I68" s="3" t="s">
        <v>444</v>
      </c>
      <c r="J68" s="2" t="s">
        <v>445</v>
      </c>
      <c r="K68" s="2" t="s">
        <v>446</v>
      </c>
      <c r="L68" s="4" t="n">
        <v>53</v>
      </c>
      <c r="M68" s="4" t="s">
        <v>53</v>
      </c>
      <c r="N68" s="5" t="n">
        <v>53</v>
      </c>
      <c r="O68" s="6" t="n">
        <v>42</v>
      </c>
      <c r="P68" s="6" t="s">
        <v>45</v>
      </c>
      <c r="Q68" s="7" t="n">
        <v>42</v>
      </c>
      <c r="R68" s="8" t="n">
        <v>81</v>
      </c>
      <c r="S68" s="8" t="s">
        <v>42</v>
      </c>
      <c r="T68" s="9" t="n">
        <v>81</v>
      </c>
      <c r="U68" s="10" t="n">
        <v>82</v>
      </c>
      <c r="V68" s="10" t="s">
        <v>42</v>
      </c>
      <c r="W68" s="11" t="n">
        <v>82</v>
      </c>
      <c r="X68" s="12" t="n">
        <v>88</v>
      </c>
      <c r="Y68" s="12" t="s">
        <v>42</v>
      </c>
      <c r="Z68" s="13" t="n">
        <v>88</v>
      </c>
      <c r="AA68" s="14" t="n">
        <v>85</v>
      </c>
      <c r="AB68" s="14" t="s">
        <v>42</v>
      </c>
      <c r="AC68" s="15" t="n">
        <v>85</v>
      </c>
      <c r="AD68" s="2" t="n">
        <f aca="false">SUM(L68,O68,R68,U68,X68,AA68)</f>
        <v>431</v>
      </c>
      <c r="AE68" s="16" t="n">
        <f aca="false">AD68/6</f>
        <v>71.8333333333333</v>
      </c>
      <c r="AF68" s="2" t="str">
        <f aca="false">IF(SUM(COUNTIF(M68,"RA"),COUNTIF(P68,"RA"),COUNTIF(S68,"RA"),COUNTIF(V68,"RA"),COUNTIF(Y68,"RA"),COUNTIF(AB68,"RA"))&gt;0,"FAIL","PASS")</f>
        <v>FAIL</v>
      </c>
    </row>
    <row r="69" customFormat="false" ht="15" hidden="false" customHeight="false" outlineLevel="0" collapsed="false">
      <c r="A69" s="2" t="n">
        <v>68</v>
      </c>
      <c r="B69" s="3" t="s">
        <v>447</v>
      </c>
      <c r="C69" s="2" t="s">
        <v>33</v>
      </c>
      <c r="D69" s="2" t="s">
        <v>448</v>
      </c>
      <c r="E69" s="2" t="s">
        <v>57</v>
      </c>
      <c r="F69" s="2" t="s">
        <v>36</v>
      </c>
      <c r="G69" s="2" t="s">
        <v>48</v>
      </c>
      <c r="H69" s="2" t="s">
        <v>449</v>
      </c>
      <c r="I69" s="3" t="s">
        <v>450</v>
      </c>
      <c r="J69" s="2" t="s">
        <v>451</v>
      </c>
      <c r="K69" s="2" t="s">
        <v>452</v>
      </c>
      <c r="L69" s="4" t="n">
        <v>82</v>
      </c>
      <c r="M69" s="4" t="s">
        <v>42</v>
      </c>
      <c r="N69" s="5" t="n">
        <v>82</v>
      </c>
      <c r="O69" s="6" t="n">
        <v>63</v>
      </c>
      <c r="P69" s="6" t="s">
        <v>44</v>
      </c>
      <c r="Q69" s="7" t="n">
        <v>63</v>
      </c>
      <c r="R69" s="8" t="n">
        <v>95</v>
      </c>
      <c r="S69" s="8" t="s">
        <v>54</v>
      </c>
      <c r="T69" s="9" t="n">
        <v>95</v>
      </c>
      <c r="U69" s="10" t="n">
        <v>87</v>
      </c>
      <c r="V69" s="10" t="s">
        <v>42</v>
      </c>
      <c r="W69" s="11" t="n">
        <v>87</v>
      </c>
      <c r="X69" s="12" t="n">
        <v>50</v>
      </c>
      <c r="Y69" s="12" t="s">
        <v>53</v>
      </c>
      <c r="Z69" s="13" t="n">
        <v>50</v>
      </c>
      <c r="AA69" s="14" t="n">
        <v>82</v>
      </c>
      <c r="AB69" s="14" t="s">
        <v>42</v>
      </c>
      <c r="AC69" s="15" t="n">
        <v>82</v>
      </c>
      <c r="AD69" s="2" t="n">
        <f aca="false">SUM(L69,O69,R69,U69,X69,AA69)</f>
        <v>459</v>
      </c>
      <c r="AE69" s="16" t="n">
        <f aca="false">AD69/6</f>
        <v>76.5</v>
      </c>
      <c r="AF69" s="2" t="str">
        <f aca="false">IF(SUM(COUNTIF(M69,"RA"),COUNTIF(P69,"RA"),COUNTIF(S69,"RA"),COUNTIF(V69,"RA"),COUNTIF(Y69,"RA"),COUNTIF(AB69,"RA"))&gt;0,"FAIL","PASS")</f>
        <v>PASS</v>
      </c>
    </row>
    <row r="70" customFormat="false" ht="15" hidden="false" customHeight="false" outlineLevel="0" collapsed="false">
      <c r="A70" s="2" t="n">
        <v>69</v>
      </c>
      <c r="B70" s="3" t="s">
        <v>453</v>
      </c>
      <c r="C70" s="2" t="s">
        <v>33</v>
      </c>
      <c r="D70" s="2" t="s">
        <v>454</v>
      </c>
      <c r="E70" s="2" t="s">
        <v>35</v>
      </c>
      <c r="F70" s="2" t="s">
        <v>36</v>
      </c>
      <c r="G70" s="2" t="s">
        <v>42</v>
      </c>
      <c r="H70" s="2" t="s">
        <v>455</v>
      </c>
      <c r="I70" s="3" t="s">
        <v>456</v>
      </c>
      <c r="J70" s="2" t="s">
        <v>457</v>
      </c>
      <c r="K70" s="2" t="s">
        <v>458</v>
      </c>
      <c r="L70" s="4" t="n">
        <v>94</v>
      </c>
      <c r="M70" s="4" t="s">
        <v>54</v>
      </c>
      <c r="N70" s="5" t="n">
        <v>94</v>
      </c>
      <c r="O70" s="6" t="n">
        <v>63</v>
      </c>
      <c r="P70" s="6" t="s">
        <v>44</v>
      </c>
      <c r="Q70" s="7" t="n">
        <v>63</v>
      </c>
      <c r="R70" s="8" t="n">
        <v>78</v>
      </c>
      <c r="S70" s="8" t="s">
        <v>43</v>
      </c>
      <c r="T70" s="9" t="n">
        <v>78</v>
      </c>
      <c r="U70" s="10" t="n">
        <v>91</v>
      </c>
      <c r="V70" s="10" t="s">
        <v>54</v>
      </c>
      <c r="W70" s="11" t="n">
        <v>91</v>
      </c>
      <c r="X70" s="12" t="n">
        <v>62</v>
      </c>
      <c r="Y70" s="12" t="s">
        <v>44</v>
      </c>
      <c r="Z70" s="13" t="n">
        <v>62</v>
      </c>
      <c r="AA70" s="14" t="n">
        <v>83</v>
      </c>
      <c r="AB70" s="14" t="s">
        <v>42</v>
      </c>
      <c r="AC70" s="15" t="n">
        <v>83</v>
      </c>
      <c r="AD70" s="2" t="n">
        <f aca="false">SUM(L70,O70,R70,U70,X70,AA70)</f>
        <v>471</v>
      </c>
      <c r="AE70" s="16" t="n">
        <f aca="false">AD70/6</f>
        <v>78.5</v>
      </c>
      <c r="AF70" s="2" t="str">
        <f aca="false">IF(SUM(COUNTIF(M70,"RA"),COUNTIF(P70,"RA"),COUNTIF(S70,"RA"),COUNTIF(V70,"RA"),COUNTIF(Y70,"RA"),COUNTIF(AB70,"RA"))&gt;0,"FAIL","PASS")</f>
        <v>PASS</v>
      </c>
    </row>
    <row r="71" customFormat="false" ht="15" hidden="false" customHeight="false" outlineLevel="0" collapsed="false">
      <c r="A71" s="2" t="n">
        <v>70</v>
      </c>
      <c r="B71" s="3" t="s">
        <v>459</v>
      </c>
      <c r="C71" s="2" t="s">
        <v>33</v>
      </c>
      <c r="D71" s="2" t="s">
        <v>460</v>
      </c>
      <c r="E71" s="2" t="s">
        <v>57</v>
      </c>
      <c r="F71" s="2" t="s">
        <v>36</v>
      </c>
      <c r="G71" s="2" t="s">
        <v>64</v>
      </c>
      <c r="H71" s="2" t="s">
        <v>461</v>
      </c>
      <c r="I71" s="3" t="s">
        <v>462</v>
      </c>
      <c r="J71" s="2" t="s">
        <v>463</v>
      </c>
      <c r="K71" s="2" t="s">
        <v>464</v>
      </c>
      <c r="L71" s="4" t="n">
        <v>76</v>
      </c>
      <c r="M71" s="4" t="s">
        <v>43</v>
      </c>
      <c r="N71" s="5" t="n">
        <v>76</v>
      </c>
      <c r="O71" s="6" t="n">
        <v>79</v>
      </c>
      <c r="P71" s="6" t="s">
        <v>43</v>
      </c>
      <c r="Q71" s="7" t="n">
        <v>79</v>
      </c>
      <c r="R71" s="8" t="n">
        <v>82</v>
      </c>
      <c r="S71" s="8" t="s">
        <v>42</v>
      </c>
      <c r="T71" s="9" t="n">
        <v>82</v>
      </c>
      <c r="U71" s="10" t="n">
        <v>68</v>
      </c>
      <c r="V71" s="10" t="s">
        <v>44</v>
      </c>
      <c r="W71" s="11" t="n">
        <v>68</v>
      </c>
      <c r="X71" s="12" t="n">
        <v>69</v>
      </c>
      <c r="Y71" s="12" t="s">
        <v>44</v>
      </c>
      <c r="Z71" s="13" t="n">
        <v>69</v>
      </c>
      <c r="AA71" s="14" t="n">
        <v>57</v>
      </c>
      <c r="AB71" s="14" t="s">
        <v>53</v>
      </c>
      <c r="AC71" s="15" t="n">
        <v>57</v>
      </c>
      <c r="AD71" s="2" t="n">
        <f aca="false">SUM(L71,O71,R71,U71,X71,AA71)</f>
        <v>431</v>
      </c>
      <c r="AE71" s="16" t="n">
        <f aca="false">AD71/6</f>
        <v>71.8333333333333</v>
      </c>
      <c r="AF71" s="2" t="str">
        <f aca="false">IF(SUM(COUNTIF(M71,"RA"),COUNTIF(P71,"RA"),COUNTIF(S71,"RA"),COUNTIF(V71,"RA"),COUNTIF(Y71,"RA"),COUNTIF(AB71,"RA"))&gt;0,"FAIL","PASS")</f>
        <v>PASS</v>
      </c>
    </row>
    <row r="72" customFormat="false" ht="15" hidden="false" customHeight="false" outlineLevel="0" collapsed="false">
      <c r="A72" s="2" t="n">
        <v>71</v>
      </c>
      <c r="B72" s="3" t="s">
        <v>465</v>
      </c>
      <c r="C72" s="2" t="s">
        <v>33</v>
      </c>
      <c r="D72" s="2" t="s">
        <v>466</v>
      </c>
      <c r="E72" s="2" t="s">
        <v>57</v>
      </c>
      <c r="F72" s="2" t="s">
        <v>36</v>
      </c>
      <c r="G72" s="2" t="s">
        <v>78</v>
      </c>
      <c r="H72" s="2" t="s">
        <v>467</v>
      </c>
      <c r="I72" s="3" t="s">
        <v>468</v>
      </c>
      <c r="J72" s="2" t="s">
        <v>469</v>
      </c>
      <c r="K72" s="2" t="s">
        <v>470</v>
      </c>
      <c r="L72" s="4" t="n">
        <v>76</v>
      </c>
      <c r="M72" s="4" t="s">
        <v>43</v>
      </c>
      <c r="N72" s="5" t="n">
        <v>76</v>
      </c>
      <c r="O72" s="6" t="n">
        <v>85</v>
      </c>
      <c r="P72" s="6" t="s">
        <v>42</v>
      </c>
      <c r="Q72" s="7" t="n">
        <v>85</v>
      </c>
      <c r="R72" s="8" t="n">
        <v>51</v>
      </c>
      <c r="S72" s="8" t="s">
        <v>53</v>
      </c>
      <c r="T72" s="9" t="n">
        <v>51</v>
      </c>
      <c r="U72" s="10" t="n">
        <v>89</v>
      </c>
      <c r="V72" s="10" t="s">
        <v>42</v>
      </c>
      <c r="W72" s="11" t="n">
        <v>89</v>
      </c>
      <c r="X72" s="12" t="n">
        <v>73</v>
      </c>
      <c r="Y72" s="12" t="s">
        <v>43</v>
      </c>
      <c r="Z72" s="13" t="n">
        <v>73</v>
      </c>
      <c r="AA72" s="14" t="n">
        <v>49</v>
      </c>
      <c r="AB72" s="14" t="s">
        <v>45</v>
      </c>
      <c r="AC72" s="15" t="n">
        <v>49</v>
      </c>
      <c r="AD72" s="2" t="n">
        <f aca="false">SUM(L72,O72,R72,U72,X72,AA72)</f>
        <v>423</v>
      </c>
      <c r="AE72" s="16" t="n">
        <f aca="false">AD72/6</f>
        <v>70.5</v>
      </c>
      <c r="AF72" s="2" t="str">
        <f aca="false">IF(SUM(COUNTIF(M72,"RA"),COUNTIF(P72,"RA"),COUNTIF(S72,"RA"),COUNTIF(V72,"RA"),COUNTIF(Y72,"RA"),COUNTIF(AB72,"RA"))&gt;0,"FAIL","PASS")</f>
        <v>FAIL</v>
      </c>
    </row>
    <row r="73" customFormat="false" ht="15" hidden="false" customHeight="false" outlineLevel="0" collapsed="false">
      <c r="A73" s="2" t="n">
        <v>72</v>
      </c>
      <c r="B73" s="3" t="s">
        <v>471</v>
      </c>
      <c r="C73" s="2" t="s">
        <v>33</v>
      </c>
      <c r="D73" s="2" t="s">
        <v>472</v>
      </c>
      <c r="E73" s="2" t="s">
        <v>57</v>
      </c>
      <c r="F73" s="2" t="s">
        <v>36</v>
      </c>
      <c r="G73" s="2" t="s">
        <v>48</v>
      </c>
      <c r="H73" s="2" t="s">
        <v>473</v>
      </c>
      <c r="I73" s="3" t="s">
        <v>474</v>
      </c>
      <c r="J73" s="2" t="s">
        <v>475</v>
      </c>
      <c r="K73" s="2" t="s">
        <v>476</v>
      </c>
      <c r="L73" s="4" t="n">
        <v>75</v>
      </c>
      <c r="M73" s="4" t="s">
        <v>43</v>
      </c>
      <c r="N73" s="5" t="n">
        <v>75</v>
      </c>
      <c r="O73" s="6" t="n">
        <v>75</v>
      </c>
      <c r="P73" s="6" t="s">
        <v>43</v>
      </c>
      <c r="Q73" s="7" t="n">
        <v>75</v>
      </c>
      <c r="R73" s="8" t="n">
        <v>79</v>
      </c>
      <c r="S73" s="8" t="s">
        <v>43</v>
      </c>
      <c r="T73" s="9" t="n">
        <v>79</v>
      </c>
      <c r="U73" s="10" t="n">
        <v>88</v>
      </c>
      <c r="V73" s="10" t="s">
        <v>42</v>
      </c>
      <c r="W73" s="11" t="n">
        <v>88</v>
      </c>
      <c r="X73" s="12" t="n">
        <v>79</v>
      </c>
      <c r="Y73" s="12" t="s">
        <v>43</v>
      </c>
      <c r="Z73" s="13" t="n">
        <v>79</v>
      </c>
      <c r="AA73" s="14" t="n">
        <v>86</v>
      </c>
      <c r="AB73" s="14" t="s">
        <v>42</v>
      </c>
      <c r="AC73" s="15" t="n">
        <v>86</v>
      </c>
      <c r="AD73" s="2" t="n">
        <f aca="false">SUM(L73,O73,R73,U73,X73,AA73)</f>
        <v>482</v>
      </c>
      <c r="AE73" s="16" t="n">
        <f aca="false">AD73/6</f>
        <v>80.3333333333333</v>
      </c>
      <c r="AF73" s="2" t="str">
        <f aca="false">IF(SUM(COUNTIF(M73,"RA"),COUNTIF(P73,"RA"),COUNTIF(S73,"RA"),COUNTIF(V73,"RA"),COUNTIF(Y73,"RA"),COUNTIF(AB73,"RA"))&gt;0,"FAIL","PASS")</f>
        <v>PASS</v>
      </c>
    </row>
    <row r="74" customFormat="false" ht="15" hidden="false" customHeight="false" outlineLevel="0" collapsed="false">
      <c r="A74" s="2" t="n">
        <v>73</v>
      </c>
      <c r="B74" s="3" t="s">
        <v>477</v>
      </c>
      <c r="C74" s="2" t="s">
        <v>33</v>
      </c>
      <c r="D74" s="2" t="s">
        <v>478</v>
      </c>
      <c r="E74" s="2" t="s">
        <v>57</v>
      </c>
      <c r="F74" s="2" t="s">
        <v>36</v>
      </c>
      <c r="G74" s="2" t="s">
        <v>91</v>
      </c>
      <c r="H74" s="2" t="s">
        <v>98</v>
      </c>
      <c r="I74" s="3" t="s">
        <v>479</v>
      </c>
      <c r="J74" s="2" t="s">
        <v>480</v>
      </c>
      <c r="K74" s="2" t="s">
        <v>481</v>
      </c>
      <c r="L74" s="4" t="n">
        <v>53</v>
      </c>
      <c r="M74" s="4" t="s">
        <v>53</v>
      </c>
      <c r="N74" s="5" t="n">
        <v>53</v>
      </c>
      <c r="O74" s="6" t="n">
        <v>72</v>
      </c>
      <c r="P74" s="6" t="s">
        <v>43</v>
      </c>
      <c r="Q74" s="7" t="n">
        <v>72</v>
      </c>
      <c r="R74" s="8" t="n">
        <v>82</v>
      </c>
      <c r="S74" s="8" t="s">
        <v>42</v>
      </c>
      <c r="T74" s="9" t="n">
        <v>82</v>
      </c>
      <c r="U74" s="10" t="n">
        <v>54</v>
      </c>
      <c r="V74" s="10" t="s">
        <v>53</v>
      </c>
      <c r="W74" s="11" t="n">
        <v>54</v>
      </c>
      <c r="X74" s="12" t="n">
        <v>91</v>
      </c>
      <c r="Y74" s="12" t="s">
        <v>54</v>
      </c>
      <c r="Z74" s="13" t="n">
        <v>91</v>
      </c>
      <c r="AA74" s="14" t="n">
        <v>91</v>
      </c>
      <c r="AB74" s="14" t="s">
        <v>54</v>
      </c>
      <c r="AC74" s="15" t="n">
        <v>91</v>
      </c>
      <c r="AD74" s="2" t="n">
        <f aca="false">SUM(L74,O74,R74,U74,X74,AA74)</f>
        <v>443</v>
      </c>
      <c r="AE74" s="16" t="n">
        <f aca="false">AD74/6</f>
        <v>73.8333333333333</v>
      </c>
      <c r="AF74" s="2" t="str">
        <f aca="false">IF(SUM(COUNTIF(M74,"RA"),COUNTIF(P74,"RA"),COUNTIF(S74,"RA"),COUNTIF(V74,"RA"),COUNTIF(Y74,"RA"),COUNTIF(AB74,"RA"))&gt;0,"FAIL","PASS")</f>
        <v>PASS</v>
      </c>
    </row>
    <row r="75" customFormat="false" ht="15" hidden="false" customHeight="false" outlineLevel="0" collapsed="false">
      <c r="A75" s="2" t="n">
        <v>74</v>
      </c>
      <c r="B75" s="3" t="s">
        <v>482</v>
      </c>
      <c r="C75" s="2" t="s">
        <v>33</v>
      </c>
      <c r="D75" s="2" t="s">
        <v>483</v>
      </c>
      <c r="E75" s="2" t="s">
        <v>57</v>
      </c>
      <c r="F75" s="2" t="s">
        <v>36</v>
      </c>
      <c r="G75" s="2" t="s">
        <v>37</v>
      </c>
      <c r="H75" s="2" t="s">
        <v>484</v>
      </c>
      <c r="I75" s="3" t="s">
        <v>485</v>
      </c>
      <c r="J75" s="2" t="s">
        <v>486</v>
      </c>
      <c r="K75" s="2" t="s">
        <v>487</v>
      </c>
      <c r="L75" s="4" t="n">
        <v>72</v>
      </c>
      <c r="M75" s="4" t="s">
        <v>43</v>
      </c>
      <c r="N75" s="5" t="n">
        <v>72</v>
      </c>
      <c r="O75" s="6" t="n">
        <v>74</v>
      </c>
      <c r="P75" s="6" t="s">
        <v>43</v>
      </c>
      <c r="Q75" s="7" t="n">
        <v>74</v>
      </c>
      <c r="R75" s="8" t="n">
        <v>100</v>
      </c>
      <c r="S75" s="8" t="s">
        <v>54</v>
      </c>
      <c r="T75" s="9" t="n">
        <v>100</v>
      </c>
      <c r="U75" s="10" t="n">
        <v>83</v>
      </c>
      <c r="V75" s="10" t="s">
        <v>42</v>
      </c>
      <c r="W75" s="11" t="n">
        <v>83</v>
      </c>
      <c r="X75" s="12" t="n">
        <v>49</v>
      </c>
      <c r="Y75" s="12" t="s">
        <v>45</v>
      </c>
      <c r="Z75" s="13" t="n">
        <v>49</v>
      </c>
      <c r="AA75" s="14" t="n">
        <v>75</v>
      </c>
      <c r="AB75" s="14" t="s">
        <v>43</v>
      </c>
      <c r="AC75" s="15" t="n">
        <v>75</v>
      </c>
      <c r="AD75" s="2" t="n">
        <f aca="false">SUM(L75,O75,R75,U75,X75,AA75)</f>
        <v>453</v>
      </c>
      <c r="AE75" s="16" t="n">
        <f aca="false">AD75/6</f>
        <v>75.5</v>
      </c>
      <c r="AF75" s="2" t="str">
        <f aca="false">IF(SUM(COUNTIF(M75,"RA"),COUNTIF(P75,"RA"),COUNTIF(S75,"RA"),COUNTIF(V75,"RA"),COUNTIF(Y75,"RA"),COUNTIF(AB75,"RA"))&gt;0,"FAIL","PASS")</f>
        <v>FAIL</v>
      </c>
    </row>
    <row r="76" customFormat="false" ht="15" hidden="false" customHeight="false" outlineLevel="0" collapsed="false">
      <c r="A76" s="2" t="n">
        <v>75</v>
      </c>
      <c r="B76" s="3" t="s">
        <v>488</v>
      </c>
      <c r="C76" s="2" t="s">
        <v>33</v>
      </c>
      <c r="D76" s="2" t="s">
        <v>489</v>
      </c>
      <c r="E76" s="2" t="s">
        <v>35</v>
      </c>
      <c r="F76" s="2" t="s">
        <v>36</v>
      </c>
      <c r="G76" s="2" t="s">
        <v>78</v>
      </c>
      <c r="H76" s="2" t="s">
        <v>490</v>
      </c>
      <c r="I76" s="3" t="s">
        <v>491</v>
      </c>
      <c r="J76" s="2" t="s">
        <v>492</v>
      </c>
      <c r="K76" s="2" t="s">
        <v>493</v>
      </c>
      <c r="L76" s="4" t="n">
        <v>71</v>
      </c>
      <c r="M76" s="4" t="s">
        <v>43</v>
      </c>
      <c r="N76" s="5" t="n">
        <v>71</v>
      </c>
      <c r="O76" s="6" t="n">
        <v>44</v>
      </c>
      <c r="P76" s="6" t="s">
        <v>45</v>
      </c>
      <c r="Q76" s="7" t="n">
        <v>44</v>
      </c>
      <c r="R76" s="8" t="n">
        <v>93</v>
      </c>
      <c r="S76" s="8" t="s">
        <v>54</v>
      </c>
      <c r="T76" s="9" t="n">
        <v>93</v>
      </c>
      <c r="U76" s="10" t="n">
        <v>89</v>
      </c>
      <c r="V76" s="10" t="s">
        <v>42</v>
      </c>
      <c r="W76" s="11" t="n">
        <v>89</v>
      </c>
      <c r="X76" s="12" t="n">
        <v>77</v>
      </c>
      <c r="Y76" s="12" t="s">
        <v>43</v>
      </c>
      <c r="Z76" s="13" t="n">
        <v>77</v>
      </c>
      <c r="AA76" s="14" t="n">
        <v>67</v>
      </c>
      <c r="AB76" s="14" t="s">
        <v>44</v>
      </c>
      <c r="AC76" s="15" t="n">
        <v>67</v>
      </c>
      <c r="AD76" s="2" t="n">
        <f aca="false">SUM(L76,O76,R76,U76,X76,AA76)</f>
        <v>441</v>
      </c>
      <c r="AE76" s="16" t="n">
        <f aca="false">AD76/6</f>
        <v>73.5</v>
      </c>
      <c r="AF76" s="2" t="str">
        <f aca="false">IF(SUM(COUNTIF(M76,"RA"),COUNTIF(P76,"RA"),COUNTIF(S76,"RA"),COUNTIF(V76,"RA"),COUNTIF(Y76,"RA"),COUNTIF(AB76,"RA"))&gt;0,"FAIL","PASS")</f>
        <v>FAIL</v>
      </c>
    </row>
    <row r="77" customFormat="false" ht="15" hidden="false" customHeight="false" outlineLevel="0" collapsed="false">
      <c r="A77" s="2" t="n">
        <v>76</v>
      </c>
      <c r="B77" s="3" t="s">
        <v>494</v>
      </c>
      <c r="C77" s="2" t="s">
        <v>33</v>
      </c>
      <c r="D77" s="2" t="s">
        <v>495</v>
      </c>
      <c r="E77" s="2" t="s">
        <v>57</v>
      </c>
      <c r="F77" s="2" t="s">
        <v>36</v>
      </c>
      <c r="G77" s="2" t="s">
        <v>71</v>
      </c>
      <c r="H77" s="2" t="s">
        <v>496</v>
      </c>
      <c r="I77" s="3" t="s">
        <v>497</v>
      </c>
      <c r="J77" s="2" t="s">
        <v>498</v>
      </c>
      <c r="K77" s="2" t="s">
        <v>499</v>
      </c>
      <c r="L77" s="4" t="n">
        <v>80</v>
      </c>
      <c r="M77" s="4" t="s">
        <v>42</v>
      </c>
      <c r="N77" s="5" t="n">
        <v>80</v>
      </c>
      <c r="O77" s="6" t="n">
        <v>89</v>
      </c>
      <c r="P77" s="6" t="s">
        <v>42</v>
      </c>
      <c r="Q77" s="7" t="n">
        <v>89</v>
      </c>
      <c r="R77" s="8" t="n">
        <v>80</v>
      </c>
      <c r="S77" s="8" t="s">
        <v>42</v>
      </c>
      <c r="T77" s="9" t="n">
        <v>80</v>
      </c>
      <c r="U77" s="10" t="n">
        <v>71</v>
      </c>
      <c r="V77" s="10" t="s">
        <v>43</v>
      </c>
      <c r="W77" s="11" t="n">
        <v>71</v>
      </c>
      <c r="X77" s="12" t="n">
        <v>72</v>
      </c>
      <c r="Y77" s="12" t="s">
        <v>43</v>
      </c>
      <c r="Z77" s="13" t="n">
        <v>72</v>
      </c>
      <c r="AA77" s="14" t="n">
        <v>75</v>
      </c>
      <c r="AB77" s="14" t="s">
        <v>43</v>
      </c>
      <c r="AC77" s="15" t="n">
        <v>75</v>
      </c>
      <c r="AD77" s="2" t="n">
        <f aca="false">SUM(L77,O77,R77,U77,X77,AA77)</f>
        <v>467</v>
      </c>
      <c r="AE77" s="16" t="n">
        <f aca="false">AD77/6</f>
        <v>77.8333333333333</v>
      </c>
      <c r="AF77" s="2" t="str">
        <f aca="false">IF(SUM(COUNTIF(M77,"RA"),COUNTIF(P77,"RA"),COUNTIF(S77,"RA"),COUNTIF(V77,"RA"),COUNTIF(Y77,"RA"),COUNTIF(AB77,"RA"))&gt;0,"FAIL","PASS")</f>
        <v>PASS</v>
      </c>
    </row>
    <row r="78" customFormat="false" ht="15" hidden="false" customHeight="false" outlineLevel="0" collapsed="false">
      <c r="A78" s="2" t="n">
        <v>77</v>
      </c>
      <c r="B78" s="3" t="s">
        <v>500</v>
      </c>
      <c r="C78" s="2" t="s">
        <v>33</v>
      </c>
      <c r="D78" s="2" t="s">
        <v>501</v>
      </c>
      <c r="E78" s="2" t="s">
        <v>35</v>
      </c>
      <c r="F78" s="2" t="s">
        <v>36</v>
      </c>
      <c r="G78" s="2" t="s">
        <v>37</v>
      </c>
      <c r="H78" s="2" t="s">
        <v>502</v>
      </c>
      <c r="I78" s="3" t="s">
        <v>503</v>
      </c>
      <c r="J78" s="2" t="s">
        <v>504</v>
      </c>
      <c r="K78" s="2" t="s">
        <v>505</v>
      </c>
      <c r="L78" s="4" t="n">
        <v>90</v>
      </c>
      <c r="M78" s="4" t="s">
        <v>54</v>
      </c>
      <c r="N78" s="5" t="n">
        <v>90</v>
      </c>
      <c r="O78" s="6" t="n">
        <v>93</v>
      </c>
      <c r="P78" s="6" t="s">
        <v>54</v>
      </c>
      <c r="Q78" s="7" t="n">
        <v>93</v>
      </c>
      <c r="R78" s="8" t="n">
        <v>79</v>
      </c>
      <c r="S78" s="8" t="s">
        <v>43</v>
      </c>
      <c r="T78" s="9" t="n">
        <v>79</v>
      </c>
      <c r="U78" s="10" t="n">
        <v>78</v>
      </c>
      <c r="V78" s="10" t="s">
        <v>43</v>
      </c>
      <c r="W78" s="11" t="n">
        <v>78</v>
      </c>
      <c r="X78" s="12" t="n">
        <v>97</v>
      </c>
      <c r="Y78" s="12" t="s">
        <v>54</v>
      </c>
      <c r="Z78" s="13" t="n">
        <v>97</v>
      </c>
      <c r="AA78" s="14" t="n">
        <v>98</v>
      </c>
      <c r="AB78" s="14" t="s">
        <v>54</v>
      </c>
      <c r="AC78" s="15" t="n">
        <v>98</v>
      </c>
      <c r="AD78" s="2" t="n">
        <f aca="false">SUM(L78,O78,R78,U78,X78,AA78)</f>
        <v>535</v>
      </c>
      <c r="AE78" s="16" t="n">
        <f aca="false">AD78/6</f>
        <v>89.1666666666667</v>
      </c>
      <c r="AF78" s="2" t="str">
        <f aca="false">IF(SUM(COUNTIF(M78,"RA"),COUNTIF(P78,"RA"),COUNTIF(S78,"RA"),COUNTIF(V78,"RA"),COUNTIF(Y78,"RA"),COUNTIF(AB78,"RA"))&gt;0,"FAIL","PASS")</f>
        <v>PASS</v>
      </c>
    </row>
    <row r="79" customFormat="false" ht="15" hidden="false" customHeight="false" outlineLevel="0" collapsed="false">
      <c r="A79" s="2" t="n">
        <v>78</v>
      </c>
      <c r="B79" s="3" t="s">
        <v>506</v>
      </c>
      <c r="C79" s="2" t="s">
        <v>33</v>
      </c>
      <c r="D79" s="2" t="s">
        <v>507</v>
      </c>
      <c r="E79" s="2" t="s">
        <v>57</v>
      </c>
      <c r="F79" s="2" t="s">
        <v>36</v>
      </c>
      <c r="G79" s="2" t="s">
        <v>42</v>
      </c>
      <c r="H79" s="2" t="s">
        <v>508</v>
      </c>
      <c r="I79" s="3" t="s">
        <v>509</v>
      </c>
      <c r="J79" s="2" t="s">
        <v>510</v>
      </c>
      <c r="K79" s="2" t="s">
        <v>511</v>
      </c>
      <c r="L79" s="4" t="n">
        <v>52</v>
      </c>
      <c r="M79" s="4" t="s">
        <v>53</v>
      </c>
      <c r="N79" s="5" t="n">
        <v>52</v>
      </c>
      <c r="O79" s="6" t="n">
        <v>64</v>
      </c>
      <c r="P79" s="6" t="s">
        <v>44</v>
      </c>
      <c r="Q79" s="7" t="n">
        <v>64</v>
      </c>
      <c r="R79" s="8" t="n">
        <v>89</v>
      </c>
      <c r="S79" s="8" t="s">
        <v>42</v>
      </c>
      <c r="T79" s="9" t="n">
        <v>89</v>
      </c>
      <c r="U79" s="10" t="n">
        <v>76</v>
      </c>
      <c r="V79" s="10" t="s">
        <v>43</v>
      </c>
      <c r="W79" s="11" t="n">
        <v>76</v>
      </c>
      <c r="X79" s="12" t="n">
        <v>82</v>
      </c>
      <c r="Y79" s="12" t="s">
        <v>42</v>
      </c>
      <c r="Z79" s="13" t="n">
        <v>82</v>
      </c>
      <c r="AA79" s="14" t="n">
        <v>94</v>
      </c>
      <c r="AB79" s="14" t="s">
        <v>54</v>
      </c>
      <c r="AC79" s="15" t="n">
        <v>94</v>
      </c>
      <c r="AD79" s="2" t="n">
        <f aca="false">SUM(L79,O79,R79,U79,X79,AA79)</f>
        <v>457</v>
      </c>
      <c r="AE79" s="16" t="n">
        <f aca="false">AD79/6</f>
        <v>76.1666666666667</v>
      </c>
      <c r="AF79" s="2" t="str">
        <f aca="false">IF(SUM(COUNTIF(M79,"RA"),COUNTIF(P79,"RA"),COUNTIF(S79,"RA"),COUNTIF(V79,"RA"),COUNTIF(Y79,"RA"),COUNTIF(AB79,"RA"))&gt;0,"FAIL","PASS")</f>
        <v>PASS</v>
      </c>
    </row>
    <row r="80" customFormat="false" ht="15" hidden="false" customHeight="false" outlineLevel="0" collapsed="false">
      <c r="A80" s="2" t="n">
        <v>79</v>
      </c>
      <c r="B80" s="3" t="s">
        <v>512</v>
      </c>
      <c r="C80" s="2" t="s">
        <v>33</v>
      </c>
      <c r="D80" s="2" t="s">
        <v>513</v>
      </c>
      <c r="E80" s="2" t="s">
        <v>35</v>
      </c>
      <c r="F80" s="2" t="s">
        <v>36</v>
      </c>
      <c r="G80" s="2" t="s">
        <v>44</v>
      </c>
      <c r="H80" s="2" t="s">
        <v>514</v>
      </c>
      <c r="I80" s="3" t="s">
        <v>515</v>
      </c>
      <c r="J80" s="2" t="s">
        <v>516</v>
      </c>
      <c r="K80" s="2" t="s">
        <v>517</v>
      </c>
      <c r="L80" s="4" t="n">
        <v>43</v>
      </c>
      <c r="M80" s="4" t="s">
        <v>45</v>
      </c>
      <c r="N80" s="5" t="n">
        <v>43</v>
      </c>
      <c r="O80" s="6" t="n">
        <v>70</v>
      </c>
      <c r="P80" s="6" t="s">
        <v>43</v>
      </c>
      <c r="Q80" s="7" t="n">
        <v>70</v>
      </c>
      <c r="R80" s="8" t="n">
        <v>76</v>
      </c>
      <c r="S80" s="8" t="s">
        <v>43</v>
      </c>
      <c r="T80" s="9" t="n">
        <v>76</v>
      </c>
      <c r="U80" s="10" t="n">
        <v>43</v>
      </c>
      <c r="V80" s="10" t="s">
        <v>45</v>
      </c>
      <c r="W80" s="11" t="n">
        <v>43</v>
      </c>
      <c r="X80" s="12" t="n">
        <v>94</v>
      </c>
      <c r="Y80" s="12" t="s">
        <v>54</v>
      </c>
      <c r="Z80" s="13" t="n">
        <v>94</v>
      </c>
      <c r="AA80" s="14" t="n">
        <v>62</v>
      </c>
      <c r="AB80" s="14" t="s">
        <v>44</v>
      </c>
      <c r="AC80" s="15" t="n">
        <v>62</v>
      </c>
      <c r="AD80" s="2" t="n">
        <f aca="false">SUM(L80,O80,R80,U80,X80,AA80)</f>
        <v>388</v>
      </c>
      <c r="AE80" s="16" t="n">
        <f aca="false">AD80/6</f>
        <v>64.6666666666667</v>
      </c>
      <c r="AF80" s="2" t="str">
        <f aca="false">IF(SUM(COUNTIF(M80,"RA"),COUNTIF(P80,"RA"),COUNTIF(S80,"RA"),COUNTIF(V80,"RA"),COUNTIF(Y80,"RA"),COUNTIF(AB80,"RA"))&gt;0,"FAIL","PASS")</f>
        <v>FAIL</v>
      </c>
    </row>
    <row r="81" customFormat="false" ht="15" hidden="false" customHeight="false" outlineLevel="0" collapsed="false">
      <c r="A81" s="2" t="n">
        <v>80</v>
      </c>
      <c r="B81" s="3" t="s">
        <v>518</v>
      </c>
      <c r="C81" s="2" t="s">
        <v>33</v>
      </c>
      <c r="D81" s="2" t="s">
        <v>519</v>
      </c>
      <c r="E81" s="2" t="s">
        <v>35</v>
      </c>
      <c r="F81" s="2" t="s">
        <v>36</v>
      </c>
      <c r="G81" s="2" t="s">
        <v>48</v>
      </c>
      <c r="H81" s="2" t="s">
        <v>520</v>
      </c>
      <c r="I81" s="3" t="s">
        <v>521</v>
      </c>
      <c r="J81" s="2" t="s">
        <v>522</v>
      </c>
      <c r="K81" s="2" t="s">
        <v>523</v>
      </c>
      <c r="L81" s="4" t="n">
        <v>73</v>
      </c>
      <c r="M81" s="4" t="s">
        <v>43</v>
      </c>
      <c r="N81" s="5" t="n">
        <v>73</v>
      </c>
      <c r="O81" s="6" t="n">
        <v>80</v>
      </c>
      <c r="P81" s="6" t="s">
        <v>42</v>
      </c>
      <c r="Q81" s="7" t="n">
        <v>80</v>
      </c>
      <c r="R81" s="8" t="n">
        <v>56</v>
      </c>
      <c r="S81" s="8" t="s">
        <v>53</v>
      </c>
      <c r="T81" s="9" t="n">
        <v>56</v>
      </c>
      <c r="U81" s="10" t="n">
        <v>54</v>
      </c>
      <c r="V81" s="10" t="s">
        <v>53</v>
      </c>
      <c r="W81" s="11" t="n">
        <v>54</v>
      </c>
      <c r="X81" s="12" t="n">
        <v>85</v>
      </c>
      <c r="Y81" s="12" t="s">
        <v>42</v>
      </c>
      <c r="Z81" s="13" t="n">
        <v>85</v>
      </c>
      <c r="AA81" s="14" t="n">
        <v>77</v>
      </c>
      <c r="AB81" s="14" t="s">
        <v>43</v>
      </c>
      <c r="AC81" s="15" t="n">
        <v>77</v>
      </c>
      <c r="AD81" s="2" t="n">
        <f aca="false">SUM(L81,O81,R81,U81,X81,AA81)</f>
        <v>425</v>
      </c>
      <c r="AE81" s="16" t="n">
        <f aca="false">AD81/6</f>
        <v>70.8333333333333</v>
      </c>
      <c r="AF81" s="2" t="str">
        <f aca="false">IF(SUM(COUNTIF(M81,"RA"),COUNTIF(P81,"RA"),COUNTIF(S81,"RA"),COUNTIF(V81,"RA"),COUNTIF(Y81,"RA"),COUNTIF(AB81,"RA"))&gt;0,"FAIL","PASS")</f>
        <v>PASS</v>
      </c>
    </row>
    <row r="82" customFormat="false" ht="15" hidden="false" customHeight="false" outlineLevel="0" collapsed="false">
      <c r="A82" s="2" t="n">
        <v>81</v>
      </c>
      <c r="B82" s="3" t="s">
        <v>524</v>
      </c>
      <c r="C82" s="2" t="s">
        <v>33</v>
      </c>
      <c r="D82" s="2" t="s">
        <v>525</v>
      </c>
      <c r="E82" s="2" t="s">
        <v>35</v>
      </c>
      <c r="F82" s="2" t="s">
        <v>36</v>
      </c>
      <c r="G82" s="2" t="s">
        <v>78</v>
      </c>
      <c r="H82" s="2" t="s">
        <v>526</v>
      </c>
      <c r="I82" s="3" t="s">
        <v>527</v>
      </c>
      <c r="J82" s="2" t="s">
        <v>528</v>
      </c>
      <c r="K82" s="2" t="s">
        <v>529</v>
      </c>
      <c r="L82" s="4" t="n">
        <v>75</v>
      </c>
      <c r="M82" s="4" t="s">
        <v>43</v>
      </c>
      <c r="N82" s="5" t="n">
        <v>75</v>
      </c>
      <c r="O82" s="6" t="n">
        <v>76</v>
      </c>
      <c r="P82" s="6" t="s">
        <v>43</v>
      </c>
      <c r="Q82" s="7" t="n">
        <v>76</v>
      </c>
      <c r="R82" s="8" t="n">
        <v>79</v>
      </c>
      <c r="S82" s="8" t="s">
        <v>43</v>
      </c>
      <c r="T82" s="9" t="n">
        <v>79</v>
      </c>
      <c r="U82" s="10" t="n">
        <v>79</v>
      </c>
      <c r="V82" s="10" t="s">
        <v>43</v>
      </c>
      <c r="W82" s="11" t="n">
        <v>79</v>
      </c>
      <c r="X82" s="12" t="n">
        <v>69</v>
      </c>
      <c r="Y82" s="12" t="s">
        <v>44</v>
      </c>
      <c r="Z82" s="13" t="n">
        <v>69</v>
      </c>
      <c r="AA82" s="14" t="n">
        <v>78</v>
      </c>
      <c r="AB82" s="14" t="s">
        <v>43</v>
      </c>
      <c r="AC82" s="15" t="n">
        <v>78</v>
      </c>
      <c r="AD82" s="2" t="n">
        <f aca="false">SUM(L82,O82,R82,U82,X82,AA82)</f>
        <v>456</v>
      </c>
      <c r="AE82" s="16" t="n">
        <f aca="false">AD82/6</f>
        <v>76</v>
      </c>
      <c r="AF82" s="2" t="str">
        <f aca="false">IF(SUM(COUNTIF(M82,"RA"),COUNTIF(P82,"RA"),COUNTIF(S82,"RA"),COUNTIF(V82,"RA"),COUNTIF(Y82,"RA"),COUNTIF(AB82,"RA"))&gt;0,"FAIL","PASS")</f>
        <v>PASS</v>
      </c>
    </row>
    <row r="83" customFormat="false" ht="15" hidden="false" customHeight="false" outlineLevel="0" collapsed="false">
      <c r="A83" s="2" t="n">
        <v>82</v>
      </c>
      <c r="B83" s="3" t="s">
        <v>530</v>
      </c>
      <c r="C83" s="2" t="s">
        <v>33</v>
      </c>
      <c r="D83" s="2" t="s">
        <v>531</v>
      </c>
      <c r="E83" s="2" t="s">
        <v>57</v>
      </c>
      <c r="F83" s="2" t="s">
        <v>36</v>
      </c>
      <c r="G83" s="2" t="s">
        <v>71</v>
      </c>
      <c r="H83" s="2" t="s">
        <v>532</v>
      </c>
      <c r="I83" s="3" t="s">
        <v>533</v>
      </c>
      <c r="J83" s="2" t="s">
        <v>534</v>
      </c>
      <c r="K83" s="2" t="s">
        <v>535</v>
      </c>
      <c r="L83" s="4" t="n">
        <v>71</v>
      </c>
      <c r="M83" s="4" t="s">
        <v>43</v>
      </c>
      <c r="N83" s="5" t="n">
        <v>71</v>
      </c>
      <c r="O83" s="6" t="n">
        <v>76</v>
      </c>
      <c r="P83" s="6" t="s">
        <v>43</v>
      </c>
      <c r="Q83" s="7" t="n">
        <v>76</v>
      </c>
      <c r="R83" s="8" t="n">
        <v>73</v>
      </c>
      <c r="S83" s="8" t="s">
        <v>43</v>
      </c>
      <c r="T83" s="9" t="n">
        <v>73</v>
      </c>
      <c r="U83" s="10" t="n">
        <v>65</v>
      </c>
      <c r="V83" s="10" t="s">
        <v>44</v>
      </c>
      <c r="W83" s="11" t="n">
        <v>65</v>
      </c>
      <c r="X83" s="12" t="n">
        <v>66</v>
      </c>
      <c r="Y83" s="12" t="s">
        <v>44</v>
      </c>
      <c r="Z83" s="13" t="n">
        <v>66</v>
      </c>
      <c r="AA83" s="14" t="n">
        <v>68</v>
      </c>
      <c r="AB83" s="14" t="s">
        <v>44</v>
      </c>
      <c r="AC83" s="15" t="n">
        <v>68</v>
      </c>
      <c r="AD83" s="2" t="n">
        <f aca="false">SUM(L83,O83,R83,U83,X83,AA83)</f>
        <v>419</v>
      </c>
      <c r="AE83" s="16" t="n">
        <f aca="false">AD83/6</f>
        <v>69.8333333333333</v>
      </c>
      <c r="AF83" s="2" t="str">
        <f aca="false">IF(SUM(COUNTIF(M83,"RA"),COUNTIF(P83,"RA"),COUNTIF(S83,"RA"),COUNTIF(V83,"RA"),COUNTIF(Y83,"RA"),COUNTIF(AB83,"RA"))&gt;0,"FAIL","PASS")</f>
        <v>PASS</v>
      </c>
    </row>
    <row r="84" customFormat="false" ht="15" hidden="false" customHeight="false" outlineLevel="0" collapsed="false">
      <c r="A84" s="2" t="n">
        <v>83</v>
      </c>
      <c r="B84" s="3" t="s">
        <v>536</v>
      </c>
      <c r="C84" s="2" t="s">
        <v>33</v>
      </c>
      <c r="D84" s="2" t="s">
        <v>537</v>
      </c>
      <c r="E84" s="2" t="s">
        <v>57</v>
      </c>
      <c r="F84" s="2" t="s">
        <v>36</v>
      </c>
      <c r="G84" s="2" t="s">
        <v>91</v>
      </c>
      <c r="H84" s="2" t="s">
        <v>538</v>
      </c>
      <c r="I84" s="3" t="s">
        <v>539</v>
      </c>
      <c r="J84" s="2" t="s">
        <v>540</v>
      </c>
      <c r="K84" s="2" t="s">
        <v>541</v>
      </c>
      <c r="L84" s="4" t="n">
        <v>85</v>
      </c>
      <c r="M84" s="4" t="s">
        <v>42</v>
      </c>
      <c r="N84" s="5" t="n">
        <v>85</v>
      </c>
      <c r="O84" s="6" t="n">
        <v>77</v>
      </c>
      <c r="P84" s="6" t="s">
        <v>43</v>
      </c>
      <c r="Q84" s="7" t="n">
        <v>77</v>
      </c>
      <c r="R84" s="8" t="n">
        <v>46</v>
      </c>
      <c r="S84" s="8" t="s">
        <v>45</v>
      </c>
      <c r="T84" s="9" t="n">
        <v>46</v>
      </c>
      <c r="U84" s="10" t="n">
        <v>91</v>
      </c>
      <c r="V84" s="10" t="s">
        <v>54</v>
      </c>
      <c r="W84" s="11" t="n">
        <v>91</v>
      </c>
      <c r="X84" s="12" t="n">
        <v>77</v>
      </c>
      <c r="Y84" s="12" t="s">
        <v>43</v>
      </c>
      <c r="Z84" s="13" t="n">
        <v>77</v>
      </c>
      <c r="AA84" s="14" t="n">
        <v>74</v>
      </c>
      <c r="AB84" s="14" t="s">
        <v>43</v>
      </c>
      <c r="AC84" s="15" t="n">
        <v>74</v>
      </c>
      <c r="AD84" s="2" t="n">
        <f aca="false">SUM(L84,O84,R84,U84,X84,AA84)</f>
        <v>450</v>
      </c>
      <c r="AE84" s="16" t="n">
        <f aca="false">AD84/6</f>
        <v>75</v>
      </c>
      <c r="AF84" s="2" t="str">
        <f aca="false">IF(SUM(COUNTIF(M84,"RA"),COUNTIF(P84,"RA"),COUNTIF(S84,"RA"),COUNTIF(V84,"RA"),COUNTIF(Y84,"RA"),COUNTIF(AB84,"RA"))&gt;0,"FAIL","PASS")</f>
        <v>FAIL</v>
      </c>
    </row>
    <row r="85" customFormat="false" ht="15" hidden="false" customHeight="false" outlineLevel="0" collapsed="false">
      <c r="A85" s="2" t="n">
        <v>84</v>
      </c>
      <c r="B85" s="3" t="s">
        <v>542</v>
      </c>
      <c r="C85" s="2" t="s">
        <v>33</v>
      </c>
      <c r="D85" s="2" t="s">
        <v>543</v>
      </c>
      <c r="E85" s="2" t="s">
        <v>35</v>
      </c>
      <c r="F85" s="2" t="s">
        <v>36</v>
      </c>
      <c r="G85" s="2" t="s">
        <v>48</v>
      </c>
      <c r="H85" s="2" t="s">
        <v>544</v>
      </c>
      <c r="I85" s="3" t="s">
        <v>545</v>
      </c>
      <c r="J85" s="2" t="s">
        <v>546</v>
      </c>
      <c r="K85" s="2" t="s">
        <v>547</v>
      </c>
      <c r="L85" s="4" t="n">
        <v>62</v>
      </c>
      <c r="M85" s="4" t="s">
        <v>44</v>
      </c>
      <c r="N85" s="5" t="n">
        <v>62</v>
      </c>
      <c r="O85" s="6" t="n">
        <v>99</v>
      </c>
      <c r="P85" s="6" t="s">
        <v>54</v>
      </c>
      <c r="Q85" s="7" t="n">
        <v>99</v>
      </c>
      <c r="R85" s="8" t="n">
        <v>54</v>
      </c>
      <c r="S85" s="8" t="s">
        <v>53</v>
      </c>
      <c r="T85" s="9" t="n">
        <v>54</v>
      </c>
      <c r="U85" s="10" t="n">
        <v>90</v>
      </c>
      <c r="V85" s="10" t="s">
        <v>54</v>
      </c>
      <c r="W85" s="11" t="n">
        <v>90</v>
      </c>
      <c r="X85" s="12" t="n">
        <v>77</v>
      </c>
      <c r="Y85" s="12" t="s">
        <v>43</v>
      </c>
      <c r="Z85" s="13" t="n">
        <v>77</v>
      </c>
      <c r="AA85" s="14" t="n">
        <v>60</v>
      </c>
      <c r="AB85" s="14" t="s">
        <v>44</v>
      </c>
      <c r="AC85" s="15" t="n">
        <v>60</v>
      </c>
      <c r="AD85" s="2" t="n">
        <f aca="false">SUM(L85,O85,R85,U85,X85,AA85)</f>
        <v>442</v>
      </c>
      <c r="AE85" s="16" t="n">
        <f aca="false">AD85/6</f>
        <v>73.6666666666667</v>
      </c>
      <c r="AF85" s="2" t="str">
        <f aca="false">IF(SUM(COUNTIF(M85,"RA"),COUNTIF(P85,"RA"),COUNTIF(S85,"RA"),COUNTIF(V85,"RA"),COUNTIF(Y85,"RA"),COUNTIF(AB85,"RA"))&gt;0,"FAIL","PASS")</f>
        <v>PASS</v>
      </c>
    </row>
    <row r="86" customFormat="false" ht="15" hidden="false" customHeight="false" outlineLevel="0" collapsed="false">
      <c r="A86" s="2" t="n">
        <v>85</v>
      </c>
      <c r="B86" s="3" t="s">
        <v>548</v>
      </c>
      <c r="C86" s="2" t="s">
        <v>33</v>
      </c>
      <c r="D86" s="2" t="s">
        <v>549</v>
      </c>
      <c r="E86" s="2" t="s">
        <v>35</v>
      </c>
      <c r="F86" s="2" t="s">
        <v>36</v>
      </c>
      <c r="G86" s="2" t="s">
        <v>44</v>
      </c>
      <c r="H86" s="2" t="s">
        <v>550</v>
      </c>
      <c r="I86" s="3" t="s">
        <v>159</v>
      </c>
      <c r="J86" s="2" t="s">
        <v>551</v>
      </c>
      <c r="K86" s="2" t="s">
        <v>552</v>
      </c>
      <c r="L86" s="4" t="n">
        <v>97</v>
      </c>
      <c r="M86" s="4" t="s">
        <v>54</v>
      </c>
      <c r="N86" s="5" t="n">
        <v>97</v>
      </c>
      <c r="O86" s="6" t="n">
        <v>50</v>
      </c>
      <c r="P86" s="6" t="s">
        <v>53</v>
      </c>
      <c r="Q86" s="7" t="n">
        <v>50</v>
      </c>
      <c r="R86" s="8" t="n">
        <v>68</v>
      </c>
      <c r="S86" s="8" t="s">
        <v>44</v>
      </c>
      <c r="T86" s="9" t="n">
        <v>68</v>
      </c>
      <c r="U86" s="10" t="n">
        <v>88</v>
      </c>
      <c r="V86" s="10" t="s">
        <v>42</v>
      </c>
      <c r="W86" s="11" t="n">
        <v>88</v>
      </c>
      <c r="X86" s="12" t="n">
        <v>45</v>
      </c>
      <c r="Y86" s="12" t="s">
        <v>45</v>
      </c>
      <c r="Z86" s="13" t="n">
        <v>45</v>
      </c>
      <c r="AA86" s="14" t="n">
        <v>81</v>
      </c>
      <c r="AB86" s="14" t="s">
        <v>42</v>
      </c>
      <c r="AC86" s="15" t="n">
        <v>81</v>
      </c>
      <c r="AD86" s="2" t="n">
        <f aca="false">SUM(L86,O86,R86,U86,X86,AA86)</f>
        <v>429</v>
      </c>
      <c r="AE86" s="16" t="n">
        <f aca="false">AD86/6</f>
        <v>71.5</v>
      </c>
      <c r="AF86" s="2" t="str">
        <f aca="false">IF(SUM(COUNTIF(M86,"RA"),COUNTIF(P86,"RA"),COUNTIF(S86,"RA"),COUNTIF(V86,"RA"),COUNTIF(Y86,"RA"),COUNTIF(AB86,"RA"))&gt;0,"FAIL","PASS")</f>
        <v>FAIL</v>
      </c>
    </row>
    <row r="87" customFormat="false" ht="15" hidden="false" customHeight="false" outlineLevel="0" collapsed="false">
      <c r="A87" s="2" t="n">
        <v>86</v>
      </c>
      <c r="B87" s="3" t="s">
        <v>553</v>
      </c>
      <c r="C87" s="2" t="s">
        <v>33</v>
      </c>
      <c r="D87" s="2" t="s">
        <v>554</v>
      </c>
      <c r="E87" s="2" t="s">
        <v>57</v>
      </c>
      <c r="F87" s="2" t="s">
        <v>36</v>
      </c>
      <c r="G87" s="2" t="s">
        <v>71</v>
      </c>
      <c r="H87" s="2" t="s">
        <v>555</v>
      </c>
      <c r="I87" s="3" t="s">
        <v>556</v>
      </c>
      <c r="J87" s="2" t="s">
        <v>557</v>
      </c>
      <c r="K87" s="2" t="s">
        <v>558</v>
      </c>
      <c r="L87" s="4" t="n">
        <v>81</v>
      </c>
      <c r="M87" s="4" t="s">
        <v>42</v>
      </c>
      <c r="N87" s="5" t="n">
        <v>81</v>
      </c>
      <c r="O87" s="6" t="n">
        <v>52</v>
      </c>
      <c r="P87" s="6" t="s">
        <v>53</v>
      </c>
      <c r="Q87" s="7" t="n">
        <v>52</v>
      </c>
      <c r="R87" s="8" t="n">
        <v>83</v>
      </c>
      <c r="S87" s="8" t="s">
        <v>42</v>
      </c>
      <c r="T87" s="9" t="n">
        <v>83</v>
      </c>
      <c r="U87" s="10" t="n">
        <v>89</v>
      </c>
      <c r="V87" s="10" t="s">
        <v>42</v>
      </c>
      <c r="W87" s="11" t="n">
        <v>89</v>
      </c>
      <c r="X87" s="12" t="n">
        <v>79</v>
      </c>
      <c r="Y87" s="12" t="s">
        <v>43</v>
      </c>
      <c r="Z87" s="13" t="n">
        <v>79</v>
      </c>
      <c r="AA87" s="14" t="n">
        <v>55</v>
      </c>
      <c r="AB87" s="14" t="s">
        <v>53</v>
      </c>
      <c r="AC87" s="15" t="n">
        <v>55</v>
      </c>
      <c r="AD87" s="2" t="n">
        <f aca="false">SUM(L87,O87,R87,U87,X87,AA87)</f>
        <v>439</v>
      </c>
      <c r="AE87" s="16" t="n">
        <f aca="false">AD87/6</f>
        <v>73.1666666666667</v>
      </c>
      <c r="AF87" s="2" t="str">
        <f aca="false">IF(SUM(COUNTIF(M87,"RA"),COUNTIF(P87,"RA"),COUNTIF(S87,"RA"),COUNTIF(V87,"RA"),COUNTIF(Y87,"RA"),COUNTIF(AB87,"RA"))&gt;0,"FAIL","PASS")</f>
        <v>PASS</v>
      </c>
    </row>
    <row r="88" customFormat="false" ht="15" hidden="false" customHeight="false" outlineLevel="0" collapsed="false">
      <c r="A88" s="2" t="n">
        <v>87</v>
      </c>
      <c r="B88" s="3" t="s">
        <v>559</v>
      </c>
      <c r="C88" s="2" t="s">
        <v>33</v>
      </c>
      <c r="D88" s="2" t="s">
        <v>560</v>
      </c>
      <c r="E88" s="2" t="s">
        <v>57</v>
      </c>
      <c r="F88" s="2" t="s">
        <v>36</v>
      </c>
      <c r="G88" s="2" t="s">
        <v>48</v>
      </c>
      <c r="H88" s="2" t="s">
        <v>561</v>
      </c>
      <c r="I88" s="3" t="s">
        <v>129</v>
      </c>
      <c r="J88" s="2" t="s">
        <v>562</v>
      </c>
      <c r="K88" s="2" t="s">
        <v>563</v>
      </c>
      <c r="L88" s="4" t="n">
        <v>95</v>
      </c>
      <c r="M88" s="4" t="s">
        <v>54</v>
      </c>
      <c r="N88" s="5" t="n">
        <v>95</v>
      </c>
      <c r="O88" s="6" t="n">
        <v>98</v>
      </c>
      <c r="P88" s="6" t="s">
        <v>54</v>
      </c>
      <c r="Q88" s="7" t="n">
        <v>98</v>
      </c>
      <c r="R88" s="8" t="n">
        <v>81</v>
      </c>
      <c r="S88" s="8" t="s">
        <v>42</v>
      </c>
      <c r="T88" s="9" t="n">
        <v>81</v>
      </c>
      <c r="U88" s="10" t="n">
        <v>79</v>
      </c>
      <c r="V88" s="10" t="s">
        <v>43</v>
      </c>
      <c r="W88" s="11" t="n">
        <v>79</v>
      </c>
      <c r="X88" s="12" t="n">
        <v>59</v>
      </c>
      <c r="Y88" s="12" t="s">
        <v>53</v>
      </c>
      <c r="Z88" s="13" t="n">
        <v>59</v>
      </c>
      <c r="AA88" s="14" t="n">
        <v>91</v>
      </c>
      <c r="AB88" s="14" t="s">
        <v>54</v>
      </c>
      <c r="AC88" s="15" t="n">
        <v>91</v>
      </c>
      <c r="AD88" s="2" t="n">
        <f aca="false">SUM(L88,O88,R88,U88,X88,AA88)</f>
        <v>503</v>
      </c>
      <c r="AE88" s="16" t="n">
        <f aca="false">AD88/6</f>
        <v>83.8333333333333</v>
      </c>
      <c r="AF88" s="2" t="str">
        <f aca="false">IF(SUM(COUNTIF(M88,"RA"),COUNTIF(P88,"RA"),COUNTIF(S88,"RA"),COUNTIF(V88,"RA"),COUNTIF(Y88,"RA"),COUNTIF(AB88,"RA"))&gt;0,"FAIL","PASS")</f>
        <v>PASS</v>
      </c>
    </row>
    <row r="89" customFormat="false" ht="15" hidden="false" customHeight="false" outlineLevel="0" collapsed="false">
      <c r="A89" s="2" t="n">
        <v>88</v>
      </c>
      <c r="B89" s="3" t="s">
        <v>564</v>
      </c>
      <c r="C89" s="2" t="s">
        <v>33</v>
      </c>
      <c r="D89" s="2" t="s">
        <v>565</v>
      </c>
      <c r="E89" s="2" t="s">
        <v>35</v>
      </c>
      <c r="F89" s="2" t="s">
        <v>36</v>
      </c>
      <c r="G89" s="2" t="s">
        <v>71</v>
      </c>
      <c r="H89" s="2" t="s">
        <v>566</v>
      </c>
      <c r="I89" s="3" t="s">
        <v>567</v>
      </c>
      <c r="J89" s="2" t="s">
        <v>568</v>
      </c>
      <c r="K89" s="2" t="s">
        <v>569</v>
      </c>
      <c r="L89" s="4" t="n">
        <v>94</v>
      </c>
      <c r="M89" s="4" t="s">
        <v>54</v>
      </c>
      <c r="N89" s="5" t="n">
        <v>94</v>
      </c>
      <c r="O89" s="6" t="n">
        <v>69</v>
      </c>
      <c r="P89" s="6" t="s">
        <v>44</v>
      </c>
      <c r="Q89" s="7" t="n">
        <v>69</v>
      </c>
      <c r="R89" s="8" t="n">
        <v>95</v>
      </c>
      <c r="S89" s="8" t="s">
        <v>54</v>
      </c>
      <c r="T89" s="9" t="n">
        <v>95</v>
      </c>
      <c r="U89" s="10" t="n">
        <v>64</v>
      </c>
      <c r="V89" s="10" t="s">
        <v>44</v>
      </c>
      <c r="W89" s="11" t="n">
        <v>64</v>
      </c>
      <c r="X89" s="12" t="n">
        <v>56</v>
      </c>
      <c r="Y89" s="12" t="s">
        <v>53</v>
      </c>
      <c r="Z89" s="13" t="n">
        <v>56</v>
      </c>
      <c r="AA89" s="14" t="n">
        <v>87</v>
      </c>
      <c r="AB89" s="14" t="s">
        <v>42</v>
      </c>
      <c r="AC89" s="15" t="n">
        <v>87</v>
      </c>
      <c r="AD89" s="2" t="n">
        <f aca="false">SUM(L89,O89,R89,U89,X89,AA89)</f>
        <v>465</v>
      </c>
      <c r="AE89" s="16" t="n">
        <f aca="false">AD89/6</f>
        <v>77.5</v>
      </c>
      <c r="AF89" s="2" t="str">
        <f aca="false">IF(SUM(COUNTIF(M89,"RA"),COUNTIF(P89,"RA"),COUNTIF(S89,"RA"),COUNTIF(V89,"RA"),COUNTIF(Y89,"RA"),COUNTIF(AB89,"RA"))&gt;0,"FAIL","PASS")</f>
        <v>PASS</v>
      </c>
    </row>
    <row r="90" customFormat="false" ht="15" hidden="false" customHeight="false" outlineLevel="0" collapsed="false">
      <c r="A90" s="2" t="n">
        <v>89</v>
      </c>
      <c r="B90" s="3" t="s">
        <v>570</v>
      </c>
      <c r="C90" s="2" t="s">
        <v>33</v>
      </c>
      <c r="D90" s="2" t="s">
        <v>571</v>
      </c>
      <c r="E90" s="2" t="s">
        <v>35</v>
      </c>
      <c r="F90" s="2" t="s">
        <v>36</v>
      </c>
      <c r="G90" s="2" t="s">
        <v>91</v>
      </c>
      <c r="H90" s="2" t="s">
        <v>572</v>
      </c>
      <c r="I90" s="3" t="s">
        <v>573</v>
      </c>
      <c r="J90" s="2" t="s">
        <v>574</v>
      </c>
      <c r="K90" s="2" t="s">
        <v>575</v>
      </c>
      <c r="L90" s="4" t="n">
        <v>85</v>
      </c>
      <c r="M90" s="4" t="s">
        <v>42</v>
      </c>
      <c r="N90" s="5" t="n">
        <v>85</v>
      </c>
      <c r="O90" s="6" t="n">
        <v>66</v>
      </c>
      <c r="P90" s="6" t="s">
        <v>44</v>
      </c>
      <c r="Q90" s="7" t="n">
        <v>66</v>
      </c>
      <c r="R90" s="8" t="n">
        <v>85</v>
      </c>
      <c r="S90" s="8" t="s">
        <v>42</v>
      </c>
      <c r="T90" s="9" t="n">
        <v>85</v>
      </c>
      <c r="U90" s="10" t="n">
        <v>88</v>
      </c>
      <c r="V90" s="10" t="s">
        <v>42</v>
      </c>
      <c r="W90" s="11" t="n">
        <v>88</v>
      </c>
      <c r="X90" s="12" t="n">
        <v>78</v>
      </c>
      <c r="Y90" s="12" t="s">
        <v>43</v>
      </c>
      <c r="Z90" s="13" t="n">
        <v>78</v>
      </c>
      <c r="AA90" s="14" t="n">
        <v>88</v>
      </c>
      <c r="AB90" s="14" t="s">
        <v>42</v>
      </c>
      <c r="AC90" s="15" t="n">
        <v>88</v>
      </c>
      <c r="AD90" s="2" t="n">
        <f aca="false">SUM(L90,O90,R90,U90,X90,AA90)</f>
        <v>490</v>
      </c>
      <c r="AE90" s="16" t="n">
        <f aca="false">AD90/6</f>
        <v>81.6666666666667</v>
      </c>
      <c r="AF90" s="2" t="str">
        <f aca="false">IF(SUM(COUNTIF(M90,"RA"),COUNTIF(P90,"RA"),COUNTIF(S90,"RA"),COUNTIF(V90,"RA"),COUNTIF(Y90,"RA"),COUNTIF(AB90,"RA"))&gt;0,"FAIL","PASS")</f>
        <v>PASS</v>
      </c>
    </row>
    <row r="91" customFormat="false" ht="15" hidden="false" customHeight="false" outlineLevel="0" collapsed="false">
      <c r="A91" s="2" t="n">
        <v>90</v>
      </c>
      <c r="B91" s="3" t="s">
        <v>576</v>
      </c>
      <c r="C91" s="2" t="s">
        <v>33</v>
      </c>
      <c r="D91" s="2" t="s">
        <v>577</v>
      </c>
      <c r="E91" s="2" t="s">
        <v>35</v>
      </c>
      <c r="F91" s="2" t="s">
        <v>36</v>
      </c>
      <c r="G91" s="2" t="s">
        <v>44</v>
      </c>
      <c r="H91" s="2" t="s">
        <v>578</v>
      </c>
      <c r="I91" s="3" t="s">
        <v>579</v>
      </c>
      <c r="J91" s="2" t="s">
        <v>580</v>
      </c>
      <c r="K91" s="2" t="s">
        <v>581</v>
      </c>
      <c r="L91" s="4" t="n">
        <v>54</v>
      </c>
      <c r="M91" s="4" t="s">
        <v>53</v>
      </c>
      <c r="N91" s="5" t="n">
        <v>54</v>
      </c>
      <c r="O91" s="6" t="n">
        <v>68</v>
      </c>
      <c r="P91" s="6" t="s">
        <v>44</v>
      </c>
      <c r="Q91" s="7" t="n">
        <v>68</v>
      </c>
      <c r="R91" s="8" t="n">
        <v>62</v>
      </c>
      <c r="S91" s="8" t="s">
        <v>44</v>
      </c>
      <c r="T91" s="9" t="n">
        <v>62</v>
      </c>
      <c r="U91" s="10" t="n">
        <v>45</v>
      </c>
      <c r="V91" s="10" t="s">
        <v>45</v>
      </c>
      <c r="W91" s="11" t="n">
        <v>45</v>
      </c>
      <c r="X91" s="12" t="n">
        <v>65</v>
      </c>
      <c r="Y91" s="12" t="s">
        <v>44</v>
      </c>
      <c r="Z91" s="13" t="n">
        <v>65</v>
      </c>
      <c r="AA91" s="14" t="n">
        <v>87</v>
      </c>
      <c r="AB91" s="14" t="s">
        <v>42</v>
      </c>
      <c r="AC91" s="15" t="n">
        <v>87</v>
      </c>
      <c r="AD91" s="2" t="n">
        <f aca="false">SUM(L91,O91,R91,U91,X91,AA91)</f>
        <v>381</v>
      </c>
      <c r="AE91" s="16" t="n">
        <f aca="false">AD91/6</f>
        <v>63.5</v>
      </c>
      <c r="AF91" s="2" t="str">
        <f aca="false">IF(SUM(COUNTIF(M91,"RA"),COUNTIF(P91,"RA"),COUNTIF(S91,"RA"),COUNTIF(V91,"RA"),COUNTIF(Y91,"RA"),COUNTIF(AB91,"RA"))&gt;0,"FAIL","PASS")</f>
        <v>FAIL</v>
      </c>
    </row>
    <row r="92" customFormat="false" ht="15" hidden="false" customHeight="false" outlineLevel="0" collapsed="false">
      <c r="A92" s="2" t="n">
        <v>91</v>
      </c>
      <c r="B92" s="3" t="s">
        <v>582</v>
      </c>
      <c r="C92" s="2" t="s">
        <v>33</v>
      </c>
      <c r="D92" s="2" t="s">
        <v>583</v>
      </c>
      <c r="E92" s="2" t="s">
        <v>57</v>
      </c>
      <c r="F92" s="2" t="s">
        <v>36</v>
      </c>
      <c r="G92" s="2" t="s">
        <v>44</v>
      </c>
      <c r="H92" s="2" t="s">
        <v>584</v>
      </c>
      <c r="I92" s="3" t="s">
        <v>585</v>
      </c>
      <c r="J92" s="2" t="s">
        <v>586</v>
      </c>
      <c r="K92" s="2" t="s">
        <v>587</v>
      </c>
      <c r="L92" s="4" t="n">
        <v>79</v>
      </c>
      <c r="M92" s="4" t="s">
        <v>43</v>
      </c>
      <c r="N92" s="5" t="n">
        <v>79</v>
      </c>
      <c r="O92" s="6" t="n">
        <v>66</v>
      </c>
      <c r="P92" s="6" t="s">
        <v>44</v>
      </c>
      <c r="Q92" s="7" t="n">
        <v>66</v>
      </c>
      <c r="R92" s="8" t="n">
        <v>86</v>
      </c>
      <c r="S92" s="8" t="s">
        <v>42</v>
      </c>
      <c r="T92" s="9" t="n">
        <v>86</v>
      </c>
      <c r="U92" s="10" t="n">
        <v>40</v>
      </c>
      <c r="V92" s="10" t="s">
        <v>45</v>
      </c>
      <c r="W92" s="11" t="n">
        <v>40</v>
      </c>
      <c r="X92" s="12" t="n">
        <v>71</v>
      </c>
      <c r="Y92" s="12" t="s">
        <v>43</v>
      </c>
      <c r="Z92" s="13" t="n">
        <v>71</v>
      </c>
      <c r="AA92" s="14" t="n">
        <v>92</v>
      </c>
      <c r="AB92" s="14" t="s">
        <v>54</v>
      </c>
      <c r="AC92" s="15" t="n">
        <v>92</v>
      </c>
      <c r="AD92" s="2" t="n">
        <f aca="false">SUM(L92,O92,R92,U92,X92,AA92)</f>
        <v>434</v>
      </c>
      <c r="AE92" s="16" t="n">
        <f aca="false">AD92/6</f>
        <v>72.3333333333333</v>
      </c>
      <c r="AF92" s="2" t="str">
        <f aca="false">IF(SUM(COUNTIF(M92,"RA"),COUNTIF(P92,"RA"),COUNTIF(S92,"RA"),COUNTIF(V92,"RA"),COUNTIF(Y92,"RA"),COUNTIF(AB92,"RA"))&gt;0,"FAIL","PASS")</f>
        <v>FAIL</v>
      </c>
    </row>
    <row r="93" customFormat="false" ht="15" hidden="false" customHeight="false" outlineLevel="0" collapsed="false">
      <c r="A93" s="2" t="n">
        <v>92</v>
      </c>
      <c r="B93" s="3" t="s">
        <v>588</v>
      </c>
      <c r="C93" s="2" t="s">
        <v>33</v>
      </c>
      <c r="D93" s="2" t="s">
        <v>589</v>
      </c>
      <c r="E93" s="2" t="s">
        <v>35</v>
      </c>
      <c r="F93" s="2" t="s">
        <v>36</v>
      </c>
      <c r="G93" s="2" t="s">
        <v>37</v>
      </c>
      <c r="H93" s="2" t="s">
        <v>590</v>
      </c>
      <c r="I93" s="3" t="s">
        <v>556</v>
      </c>
      <c r="J93" s="2" t="s">
        <v>591</v>
      </c>
      <c r="K93" s="2" t="s">
        <v>592</v>
      </c>
      <c r="L93" s="4" t="n">
        <v>44</v>
      </c>
      <c r="M93" s="4" t="s">
        <v>45</v>
      </c>
      <c r="N93" s="5" t="n">
        <v>44</v>
      </c>
      <c r="O93" s="6" t="n">
        <v>94</v>
      </c>
      <c r="P93" s="6" t="s">
        <v>54</v>
      </c>
      <c r="Q93" s="7" t="n">
        <v>94</v>
      </c>
      <c r="R93" s="8" t="n">
        <v>99</v>
      </c>
      <c r="S93" s="8" t="s">
        <v>54</v>
      </c>
      <c r="T93" s="9" t="n">
        <v>99</v>
      </c>
      <c r="U93" s="10" t="n">
        <v>72</v>
      </c>
      <c r="V93" s="10" t="s">
        <v>43</v>
      </c>
      <c r="W93" s="11" t="n">
        <v>72</v>
      </c>
      <c r="X93" s="12" t="n">
        <v>80</v>
      </c>
      <c r="Y93" s="12" t="s">
        <v>42</v>
      </c>
      <c r="Z93" s="13" t="n">
        <v>80</v>
      </c>
      <c r="AA93" s="14" t="n">
        <v>95</v>
      </c>
      <c r="AB93" s="14" t="s">
        <v>54</v>
      </c>
      <c r="AC93" s="15" t="n">
        <v>95</v>
      </c>
      <c r="AD93" s="2" t="n">
        <f aca="false">SUM(L93,O93,R93,U93,X93,AA93)</f>
        <v>484</v>
      </c>
      <c r="AE93" s="16" t="n">
        <f aca="false">AD93/6</f>
        <v>80.6666666666667</v>
      </c>
      <c r="AF93" s="2" t="str">
        <f aca="false">IF(SUM(COUNTIF(M93,"RA"),COUNTIF(P93,"RA"),COUNTIF(S93,"RA"),COUNTIF(V93,"RA"),COUNTIF(Y93,"RA"),COUNTIF(AB93,"RA"))&gt;0,"FAIL","PASS")</f>
        <v>FAIL</v>
      </c>
    </row>
    <row r="94" customFormat="false" ht="15" hidden="false" customHeight="false" outlineLevel="0" collapsed="false">
      <c r="A94" s="2" t="n">
        <v>93</v>
      </c>
      <c r="B94" s="3" t="s">
        <v>593</v>
      </c>
      <c r="C94" s="2" t="s">
        <v>33</v>
      </c>
      <c r="D94" s="2" t="s">
        <v>594</v>
      </c>
      <c r="E94" s="2" t="s">
        <v>57</v>
      </c>
      <c r="F94" s="2" t="s">
        <v>36</v>
      </c>
      <c r="G94" s="2" t="s">
        <v>44</v>
      </c>
      <c r="H94" s="2" t="s">
        <v>572</v>
      </c>
      <c r="I94" s="3" t="s">
        <v>595</v>
      </c>
      <c r="J94" s="2" t="s">
        <v>596</v>
      </c>
      <c r="K94" s="2" t="s">
        <v>597</v>
      </c>
      <c r="L94" s="4" t="n">
        <v>80</v>
      </c>
      <c r="M94" s="4" t="s">
        <v>42</v>
      </c>
      <c r="N94" s="5" t="n">
        <v>80</v>
      </c>
      <c r="O94" s="6" t="n">
        <v>89</v>
      </c>
      <c r="P94" s="6" t="s">
        <v>42</v>
      </c>
      <c r="Q94" s="7" t="n">
        <v>89</v>
      </c>
      <c r="R94" s="8" t="n">
        <v>74</v>
      </c>
      <c r="S94" s="8" t="s">
        <v>43</v>
      </c>
      <c r="T94" s="9" t="n">
        <v>74</v>
      </c>
      <c r="U94" s="10" t="n">
        <v>90</v>
      </c>
      <c r="V94" s="10" t="s">
        <v>54</v>
      </c>
      <c r="W94" s="11" t="n">
        <v>90</v>
      </c>
      <c r="X94" s="12" t="n">
        <v>66</v>
      </c>
      <c r="Y94" s="12" t="s">
        <v>44</v>
      </c>
      <c r="Z94" s="13" t="n">
        <v>66</v>
      </c>
      <c r="AA94" s="14" t="n">
        <v>67</v>
      </c>
      <c r="AB94" s="14" t="s">
        <v>44</v>
      </c>
      <c r="AC94" s="15" t="n">
        <v>67</v>
      </c>
      <c r="AD94" s="2" t="n">
        <f aca="false">SUM(L94,O94,R94,U94,X94,AA94)</f>
        <v>466</v>
      </c>
      <c r="AE94" s="16" t="n">
        <f aca="false">AD94/6</f>
        <v>77.6666666666667</v>
      </c>
      <c r="AF94" s="2" t="str">
        <f aca="false">IF(SUM(COUNTIF(M94,"RA"),COUNTIF(P94,"RA"),COUNTIF(S94,"RA"),COUNTIF(V94,"RA"),COUNTIF(Y94,"RA"),COUNTIF(AB94,"RA"))&gt;0,"FAIL","PASS")</f>
        <v>PASS</v>
      </c>
    </row>
    <row r="95" customFormat="false" ht="15" hidden="false" customHeight="false" outlineLevel="0" collapsed="false">
      <c r="A95" s="2" t="n">
        <v>94</v>
      </c>
      <c r="B95" s="3" t="s">
        <v>598</v>
      </c>
      <c r="C95" s="2" t="s">
        <v>33</v>
      </c>
      <c r="D95" s="2" t="s">
        <v>599</v>
      </c>
      <c r="E95" s="2" t="s">
        <v>35</v>
      </c>
      <c r="F95" s="2" t="s">
        <v>36</v>
      </c>
      <c r="G95" s="2" t="s">
        <v>91</v>
      </c>
      <c r="H95" s="2" t="s">
        <v>600</v>
      </c>
      <c r="I95" s="3" t="s">
        <v>601</v>
      </c>
      <c r="J95" s="2" t="s">
        <v>602</v>
      </c>
      <c r="K95" s="2" t="s">
        <v>603</v>
      </c>
      <c r="L95" s="4" t="n">
        <v>47</v>
      </c>
      <c r="M95" s="4" t="s">
        <v>45</v>
      </c>
      <c r="N95" s="5" t="n">
        <v>47</v>
      </c>
      <c r="O95" s="6" t="n">
        <v>79</v>
      </c>
      <c r="P95" s="6" t="s">
        <v>43</v>
      </c>
      <c r="Q95" s="7" t="n">
        <v>79</v>
      </c>
      <c r="R95" s="8" t="n">
        <v>89</v>
      </c>
      <c r="S95" s="8" t="s">
        <v>42</v>
      </c>
      <c r="T95" s="9" t="n">
        <v>89</v>
      </c>
      <c r="U95" s="10" t="n">
        <v>66</v>
      </c>
      <c r="V95" s="10" t="s">
        <v>44</v>
      </c>
      <c r="W95" s="11" t="n">
        <v>66</v>
      </c>
      <c r="X95" s="12" t="n">
        <v>52</v>
      </c>
      <c r="Y95" s="12" t="s">
        <v>53</v>
      </c>
      <c r="Z95" s="13" t="n">
        <v>52</v>
      </c>
      <c r="AA95" s="14" t="n">
        <v>66</v>
      </c>
      <c r="AB95" s="14" t="s">
        <v>44</v>
      </c>
      <c r="AC95" s="15" t="n">
        <v>66</v>
      </c>
      <c r="AD95" s="2" t="n">
        <f aca="false">SUM(L95,O95,R95,U95,X95,AA95)</f>
        <v>399</v>
      </c>
      <c r="AE95" s="16" t="n">
        <f aca="false">AD95/6</f>
        <v>66.5</v>
      </c>
      <c r="AF95" s="2" t="str">
        <f aca="false">IF(SUM(COUNTIF(M95,"RA"),COUNTIF(P95,"RA"),COUNTIF(S95,"RA"),COUNTIF(V95,"RA"),COUNTIF(Y95,"RA"),COUNTIF(AB95,"RA"))&gt;0,"FAIL","PASS")</f>
        <v>FAIL</v>
      </c>
    </row>
    <row r="96" customFormat="false" ht="15" hidden="false" customHeight="false" outlineLevel="0" collapsed="false">
      <c r="A96" s="2" t="n">
        <v>95</v>
      </c>
      <c r="B96" s="3" t="s">
        <v>604</v>
      </c>
      <c r="C96" s="2" t="s">
        <v>33</v>
      </c>
      <c r="D96" s="2" t="s">
        <v>605</v>
      </c>
      <c r="E96" s="2" t="s">
        <v>35</v>
      </c>
      <c r="F96" s="2" t="s">
        <v>36</v>
      </c>
      <c r="G96" s="2" t="s">
        <v>37</v>
      </c>
      <c r="H96" s="2" t="s">
        <v>606</v>
      </c>
      <c r="I96" s="3" t="s">
        <v>607</v>
      </c>
      <c r="J96" s="2" t="s">
        <v>608</v>
      </c>
      <c r="K96" s="2" t="s">
        <v>609</v>
      </c>
      <c r="L96" s="4" t="n">
        <v>43</v>
      </c>
      <c r="M96" s="4" t="s">
        <v>45</v>
      </c>
      <c r="N96" s="5" t="n">
        <v>43</v>
      </c>
      <c r="O96" s="6" t="n">
        <v>75</v>
      </c>
      <c r="P96" s="6" t="s">
        <v>43</v>
      </c>
      <c r="Q96" s="7" t="n">
        <v>75</v>
      </c>
      <c r="R96" s="8" t="n">
        <v>99</v>
      </c>
      <c r="S96" s="8" t="s">
        <v>54</v>
      </c>
      <c r="T96" s="9" t="n">
        <v>99</v>
      </c>
      <c r="U96" s="10" t="n">
        <v>55</v>
      </c>
      <c r="V96" s="10" t="s">
        <v>53</v>
      </c>
      <c r="W96" s="11" t="n">
        <v>55</v>
      </c>
      <c r="X96" s="12" t="n">
        <v>70</v>
      </c>
      <c r="Y96" s="12" t="s">
        <v>43</v>
      </c>
      <c r="Z96" s="13" t="n">
        <v>70</v>
      </c>
      <c r="AA96" s="14" t="n">
        <v>62</v>
      </c>
      <c r="AB96" s="14" t="s">
        <v>44</v>
      </c>
      <c r="AC96" s="15" t="n">
        <v>62</v>
      </c>
      <c r="AD96" s="2" t="n">
        <f aca="false">SUM(L96,O96,R96,U96,X96,AA96)</f>
        <v>404</v>
      </c>
      <c r="AE96" s="16" t="n">
        <f aca="false">AD96/6</f>
        <v>67.3333333333333</v>
      </c>
      <c r="AF96" s="2" t="str">
        <f aca="false">IF(SUM(COUNTIF(M96,"RA"),COUNTIF(P96,"RA"),COUNTIF(S96,"RA"),COUNTIF(V96,"RA"),COUNTIF(Y96,"RA"),COUNTIF(AB96,"RA"))&gt;0,"FAIL","PASS")</f>
        <v>FAIL</v>
      </c>
    </row>
    <row r="97" customFormat="false" ht="15" hidden="false" customHeight="false" outlineLevel="0" collapsed="false">
      <c r="A97" s="2" t="n">
        <v>96</v>
      </c>
      <c r="B97" s="3" t="s">
        <v>610</v>
      </c>
      <c r="C97" s="2" t="s">
        <v>33</v>
      </c>
      <c r="D97" s="2" t="s">
        <v>611</v>
      </c>
      <c r="E97" s="2" t="s">
        <v>57</v>
      </c>
      <c r="F97" s="2" t="s">
        <v>36</v>
      </c>
      <c r="G97" s="2" t="s">
        <v>78</v>
      </c>
      <c r="H97" s="2" t="s">
        <v>612</v>
      </c>
      <c r="I97" s="3" t="s">
        <v>613</v>
      </c>
      <c r="J97" s="2" t="s">
        <v>614</v>
      </c>
      <c r="K97" s="2" t="s">
        <v>615</v>
      </c>
      <c r="L97" s="4" t="n">
        <v>78</v>
      </c>
      <c r="M97" s="4" t="s">
        <v>43</v>
      </c>
      <c r="N97" s="5" t="n">
        <v>78</v>
      </c>
      <c r="O97" s="6" t="n">
        <v>45</v>
      </c>
      <c r="P97" s="6" t="s">
        <v>45</v>
      </c>
      <c r="Q97" s="7" t="n">
        <v>45</v>
      </c>
      <c r="R97" s="8" t="n">
        <v>75</v>
      </c>
      <c r="S97" s="8" t="s">
        <v>43</v>
      </c>
      <c r="T97" s="9" t="n">
        <v>75</v>
      </c>
      <c r="U97" s="10" t="n">
        <v>62</v>
      </c>
      <c r="V97" s="10" t="s">
        <v>44</v>
      </c>
      <c r="W97" s="11" t="n">
        <v>62</v>
      </c>
      <c r="X97" s="12" t="n">
        <v>88</v>
      </c>
      <c r="Y97" s="12" t="s">
        <v>42</v>
      </c>
      <c r="Z97" s="13" t="n">
        <v>88</v>
      </c>
      <c r="AA97" s="14" t="n">
        <v>66</v>
      </c>
      <c r="AB97" s="14" t="s">
        <v>44</v>
      </c>
      <c r="AC97" s="15" t="n">
        <v>66</v>
      </c>
      <c r="AD97" s="2" t="n">
        <f aca="false">SUM(L97,O97,R97,U97,X97,AA97)</f>
        <v>414</v>
      </c>
      <c r="AE97" s="16" t="n">
        <f aca="false">AD97/6</f>
        <v>69</v>
      </c>
      <c r="AF97" s="2" t="str">
        <f aca="false">IF(SUM(COUNTIF(M97,"RA"),COUNTIF(P97,"RA"),COUNTIF(S97,"RA"),COUNTIF(V97,"RA"),COUNTIF(Y97,"RA"),COUNTIF(AB97,"RA"))&gt;0,"FAIL","PASS")</f>
        <v>FAIL</v>
      </c>
    </row>
    <row r="98" customFormat="false" ht="15" hidden="false" customHeight="false" outlineLevel="0" collapsed="false">
      <c r="A98" s="2" t="n">
        <v>97</v>
      </c>
      <c r="B98" s="3" t="s">
        <v>616</v>
      </c>
      <c r="C98" s="2" t="s">
        <v>33</v>
      </c>
      <c r="D98" s="2" t="s">
        <v>617</v>
      </c>
      <c r="E98" s="2" t="s">
        <v>57</v>
      </c>
      <c r="F98" s="2" t="s">
        <v>36</v>
      </c>
      <c r="G98" s="2" t="s">
        <v>48</v>
      </c>
      <c r="H98" s="2" t="s">
        <v>618</v>
      </c>
      <c r="I98" s="3" t="s">
        <v>619</v>
      </c>
      <c r="J98" s="2" t="s">
        <v>620</v>
      </c>
      <c r="K98" s="2" t="s">
        <v>621</v>
      </c>
      <c r="L98" s="4" t="n">
        <v>93</v>
      </c>
      <c r="M98" s="4" t="s">
        <v>54</v>
      </c>
      <c r="N98" s="5" t="n">
        <v>93</v>
      </c>
      <c r="O98" s="6" t="n">
        <v>100</v>
      </c>
      <c r="P98" s="6" t="s">
        <v>54</v>
      </c>
      <c r="Q98" s="7" t="n">
        <v>100</v>
      </c>
      <c r="R98" s="8" t="n">
        <v>50</v>
      </c>
      <c r="S98" s="8" t="s">
        <v>53</v>
      </c>
      <c r="T98" s="9" t="n">
        <v>50</v>
      </c>
      <c r="U98" s="10" t="n">
        <v>42</v>
      </c>
      <c r="V98" s="10" t="s">
        <v>45</v>
      </c>
      <c r="W98" s="11" t="n">
        <v>42</v>
      </c>
      <c r="X98" s="12" t="n">
        <v>78</v>
      </c>
      <c r="Y98" s="12" t="s">
        <v>43</v>
      </c>
      <c r="Z98" s="13" t="n">
        <v>78</v>
      </c>
      <c r="AA98" s="14" t="n">
        <v>57</v>
      </c>
      <c r="AB98" s="14" t="s">
        <v>53</v>
      </c>
      <c r="AC98" s="15" t="n">
        <v>57</v>
      </c>
      <c r="AD98" s="2" t="n">
        <f aca="false">SUM(L98,O98,R98,U98,X98,AA98)</f>
        <v>420</v>
      </c>
      <c r="AE98" s="16" t="n">
        <f aca="false">AD98/6</f>
        <v>70</v>
      </c>
      <c r="AF98" s="2" t="str">
        <f aca="false">IF(SUM(COUNTIF(M98,"RA"),COUNTIF(P98,"RA"),COUNTIF(S98,"RA"),COUNTIF(V98,"RA"),COUNTIF(Y98,"RA"),COUNTIF(AB98,"RA"))&gt;0,"FAIL","PASS")</f>
        <v>FAIL</v>
      </c>
    </row>
    <row r="99" customFormat="false" ht="15" hidden="false" customHeight="false" outlineLevel="0" collapsed="false">
      <c r="A99" s="2" t="n">
        <v>98</v>
      </c>
      <c r="B99" s="3" t="s">
        <v>622</v>
      </c>
      <c r="C99" s="2" t="s">
        <v>33</v>
      </c>
      <c r="D99" s="2" t="s">
        <v>623</v>
      </c>
      <c r="E99" s="2" t="s">
        <v>35</v>
      </c>
      <c r="F99" s="2" t="s">
        <v>36</v>
      </c>
      <c r="G99" s="2" t="s">
        <v>48</v>
      </c>
      <c r="H99" s="2" t="s">
        <v>624</v>
      </c>
      <c r="I99" s="3" t="s">
        <v>625</v>
      </c>
      <c r="J99" s="2" t="s">
        <v>626</v>
      </c>
      <c r="K99" s="2" t="s">
        <v>627</v>
      </c>
      <c r="L99" s="4" t="n">
        <v>86</v>
      </c>
      <c r="M99" s="4" t="s">
        <v>42</v>
      </c>
      <c r="N99" s="5" t="n">
        <v>86</v>
      </c>
      <c r="O99" s="6" t="n">
        <v>92</v>
      </c>
      <c r="P99" s="6" t="s">
        <v>54</v>
      </c>
      <c r="Q99" s="7" t="n">
        <v>92</v>
      </c>
      <c r="R99" s="8" t="n">
        <v>94</v>
      </c>
      <c r="S99" s="8" t="s">
        <v>54</v>
      </c>
      <c r="T99" s="9" t="n">
        <v>94</v>
      </c>
      <c r="U99" s="10" t="n">
        <v>80</v>
      </c>
      <c r="V99" s="10" t="s">
        <v>42</v>
      </c>
      <c r="W99" s="11" t="n">
        <v>80</v>
      </c>
      <c r="X99" s="12" t="n">
        <v>71</v>
      </c>
      <c r="Y99" s="12" t="s">
        <v>43</v>
      </c>
      <c r="Z99" s="13" t="n">
        <v>71</v>
      </c>
      <c r="AA99" s="14" t="n">
        <v>84</v>
      </c>
      <c r="AB99" s="14" t="s">
        <v>42</v>
      </c>
      <c r="AC99" s="15" t="n">
        <v>84</v>
      </c>
      <c r="AD99" s="2" t="n">
        <f aca="false">SUM(L99,O99,R99,U99,X99,AA99)</f>
        <v>507</v>
      </c>
      <c r="AE99" s="16" t="n">
        <f aca="false">AD99/6</f>
        <v>84.5</v>
      </c>
      <c r="AF99" s="2" t="str">
        <f aca="false">IF(SUM(COUNTIF(M99,"RA"),COUNTIF(P99,"RA"),COUNTIF(S99,"RA"),COUNTIF(V99,"RA"),COUNTIF(Y99,"RA"),COUNTIF(AB99,"RA"))&gt;0,"FAIL","PASS")</f>
        <v>PASS</v>
      </c>
    </row>
    <row r="100" customFormat="false" ht="15" hidden="false" customHeight="false" outlineLevel="0" collapsed="false">
      <c r="A100" s="2" t="n">
        <v>99</v>
      </c>
      <c r="B100" s="3" t="s">
        <v>628</v>
      </c>
      <c r="C100" s="2" t="s">
        <v>33</v>
      </c>
      <c r="D100" s="2" t="s">
        <v>629</v>
      </c>
      <c r="E100" s="2" t="s">
        <v>57</v>
      </c>
      <c r="F100" s="2" t="s">
        <v>36</v>
      </c>
      <c r="G100" s="2" t="s">
        <v>71</v>
      </c>
      <c r="H100" s="2" t="s">
        <v>630</v>
      </c>
      <c r="I100" s="3" t="s">
        <v>337</v>
      </c>
      <c r="J100" s="2" t="s">
        <v>631</v>
      </c>
      <c r="K100" s="2" t="s">
        <v>632</v>
      </c>
      <c r="L100" s="4" t="n">
        <v>74</v>
      </c>
      <c r="M100" s="4" t="s">
        <v>43</v>
      </c>
      <c r="N100" s="5" t="n">
        <v>74</v>
      </c>
      <c r="O100" s="6" t="n">
        <v>94</v>
      </c>
      <c r="P100" s="6" t="s">
        <v>54</v>
      </c>
      <c r="Q100" s="7" t="n">
        <v>94</v>
      </c>
      <c r="R100" s="8" t="n">
        <v>45</v>
      </c>
      <c r="S100" s="8" t="s">
        <v>45</v>
      </c>
      <c r="T100" s="9" t="n">
        <v>45</v>
      </c>
      <c r="U100" s="10" t="n">
        <v>85</v>
      </c>
      <c r="V100" s="10" t="s">
        <v>42</v>
      </c>
      <c r="W100" s="11" t="n">
        <v>85</v>
      </c>
      <c r="X100" s="12" t="n">
        <v>75</v>
      </c>
      <c r="Y100" s="12" t="s">
        <v>43</v>
      </c>
      <c r="Z100" s="13" t="n">
        <v>75</v>
      </c>
      <c r="AA100" s="14" t="n">
        <v>83</v>
      </c>
      <c r="AB100" s="14" t="s">
        <v>42</v>
      </c>
      <c r="AC100" s="15" t="n">
        <v>83</v>
      </c>
      <c r="AD100" s="2" t="n">
        <f aca="false">SUM(L100,O100,R100,U100,X100,AA100)</f>
        <v>456</v>
      </c>
      <c r="AE100" s="16" t="n">
        <f aca="false">AD100/6</f>
        <v>76</v>
      </c>
      <c r="AF100" s="2" t="str">
        <f aca="false">IF(SUM(COUNTIF(M100,"RA"),COUNTIF(P100,"RA"),COUNTIF(S100,"RA"),COUNTIF(V100,"RA"),COUNTIF(Y100,"RA"),COUNTIF(AB100,"RA"))&gt;0,"FAIL","PASS")</f>
        <v>FAIL</v>
      </c>
    </row>
    <row r="101" customFormat="false" ht="15" hidden="false" customHeight="false" outlineLevel="0" collapsed="false">
      <c r="A101" s="2" t="n">
        <v>100</v>
      </c>
      <c r="B101" s="3" t="s">
        <v>633</v>
      </c>
      <c r="C101" s="2" t="s">
        <v>33</v>
      </c>
      <c r="D101" s="2" t="s">
        <v>634</v>
      </c>
      <c r="E101" s="2" t="s">
        <v>35</v>
      </c>
      <c r="F101" s="2" t="s">
        <v>36</v>
      </c>
      <c r="G101" s="2" t="s">
        <v>64</v>
      </c>
      <c r="H101" s="2" t="s">
        <v>635</v>
      </c>
      <c r="I101" s="3" t="s">
        <v>636</v>
      </c>
      <c r="J101" s="2" t="s">
        <v>637</v>
      </c>
      <c r="K101" s="2" t="s">
        <v>638</v>
      </c>
      <c r="L101" s="4" t="n">
        <v>61</v>
      </c>
      <c r="M101" s="4" t="s">
        <v>44</v>
      </c>
      <c r="N101" s="5" t="n">
        <v>61</v>
      </c>
      <c r="O101" s="6" t="n">
        <v>95</v>
      </c>
      <c r="P101" s="6" t="s">
        <v>54</v>
      </c>
      <c r="Q101" s="7" t="n">
        <v>95</v>
      </c>
      <c r="R101" s="8" t="n">
        <v>44</v>
      </c>
      <c r="S101" s="8" t="s">
        <v>45</v>
      </c>
      <c r="T101" s="9" t="n">
        <v>44</v>
      </c>
      <c r="U101" s="10" t="n">
        <v>68</v>
      </c>
      <c r="V101" s="10" t="s">
        <v>44</v>
      </c>
      <c r="W101" s="11" t="n">
        <v>68</v>
      </c>
      <c r="X101" s="12" t="n">
        <v>87</v>
      </c>
      <c r="Y101" s="12" t="s">
        <v>42</v>
      </c>
      <c r="Z101" s="13" t="n">
        <v>87</v>
      </c>
      <c r="AA101" s="14" t="n">
        <v>80</v>
      </c>
      <c r="AB101" s="14" t="s">
        <v>42</v>
      </c>
      <c r="AC101" s="15" t="n">
        <v>80</v>
      </c>
      <c r="AD101" s="2" t="n">
        <f aca="false">SUM(L101,O101,R101,U101,X101,AA101)</f>
        <v>435</v>
      </c>
      <c r="AE101" s="16" t="n">
        <f aca="false">AD101/6</f>
        <v>72.5</v>
      </c>
      <c r="AF101" s="2" t="str">
        <f aca="false">IF(SUM(COUNTIF(M101,"RA"),COUNTIF(P101,"RA"),COUNTIF(S101,"RA"),COUNTIF(V101,"RA"),COUNTIF(Y101,"RA"),COUNTIF(AB101,"RA"))&gt;0,"FAIL","PASS")</f>
        <v>FAIL</v>
      </c>
    </row>
    <row r="102" customFormat="false" ht="15" hidden="false" customHeight="false" outlineLevel="0" collapsed="false">
      <c r="A102" s="2" t="n">
        <v>101</v>
      </c>
      <c r="B102" s="3" t="s">
        <v>639</v>
      </c>
      <c r="C102" s="2" t="s">
        <v>33</v>
      </c>
      <c r="D102" s="2" t="s">
        <v>640</v>
      </c>
      <c r="E102" s="2" t="s">
        <v>57</v>
      </c>
      <c r="F102" s="2" t="s">
        <v>36</v>
      </c>
      <c r="G102" s="2" t="s">
        <v>48</v>
      </c>
      <c r="H102" s="2" t="s">
        <v>641</v>
      </c>
      <c r="I102" s="3" t="s">
        <v>642</v>
      </c>
      <c r="J102" s="2" t="s">
        <v>643</v>
      </c>
      <c r="K102" s="2" t="s">
        <v>644</v>
      </c>
      <c r="L102" s="4" t="n">
        <v>61</v>
      </c>
      <c r="M102" s="4" t="s">
        <v>44</v>
      </c>
      <c r="N102" s="5" t="n">
        <v>61</v>
      </c>
      <c r="O102" s="6" t="n">
        <v>82</v>
      </c>
      <c r="P102" s="6" t="s">
        <v>42</v>
      </c>
      <c r="Q102" s="7" t="n">
        <v>82</v>
      </c>
      <c r="R102" s="8" t="n">
        <v>80</v>
      </c>
      <c r="S102" s="8" t="s">
        <v>42</v>
      </c>
      <c r="T102" s="9" t="n">
        <v>80</v>
      </c>
      <c r="U102" s="10" t="n">
        <v>70</v>
      </c>
      <c r="V102" s="10" t="s">
        <v>43</v>
      </c>
      <c r="W102" s="11" t="n">
        <v>70</v>
      </c>
      <c r="X102" s="12" t="n">
        <v>82</v>
      </c>
      <c r="Y102" s="12" t="s">
        <v>42</v>
      </c>
      <c r="Z102" s="13" t="n">
        <v>82</v>
      </c>
      <c r="AA102" s="14" t="n">
        <v>82</v>
      </c>
      <c r="AB102" s="14" t="s">
        <v>42</v>
      </c>
      <c r="AC102" s="15" t="n">
        <v>82</v>
      </c>
      <c r="AD102" s="2" t="n">
        <f aca="false">SUM(L102,O102,R102,U102,X102,AA102)</f>
        <v>457</v>
      </c>
      <c r="AE102" s="16" t="n">
        <f aca="false">AD102/6</f>
        <v>76.1666666666667</v>
      </c>
      <c r="AF102" s="2" t="str">
        <f aca="false">IF(SUM(COUNTIF(M102,"RA"),COUNTIF(P102,"RA"),COUNTIF(S102,"RA"),COUNTIF(V102,"RA"),COUNTIF(Y102,"RA"),COUNTIF(AB102,"RA"))&gt;0,"FAIL","PASS")</f>
        <v>PASS</v>
      </c>
    </row>
    <row r="103" customFormat="false" ht="15" hidden="false" customHeight="false" outlineLevel="0" collapsed="false">
      <c r="A103" s="2" t="n">
        <v>102</v>
      </c>
      <c r="B103" s="3" t="s">
        <v>645</v>
      </c>
      <c r="C103" s="2" t="s">
        <v>33</v>
      </c>
      <c r="D103" s="2" t="s">
        <v>646</v>
      </c>
      <c r="E103" s="2" t="s">
        <v>35</v>
      </c>
      <c r="F103" s="2" t="s">
        <v>36</v>
      </c>
      <c r="G103" s="2" t="s">
        <v>91</v>
      </c>
      <c r="H103" s="2" t="s">
        <v>647</v>
      </c>
      <c r="I103" s="3" t="s">
        <v>648</v>
      </c>
      <c r="J103" s="2" t="s">
        <v>649</v>
      </c>
      <c r="K103" s="2" t="s">
        <v>650</v>
      </c>
      <c r="L103" s="4" t="n">
        <v>66</v>
      </c>
      <c r="M103" s="4" t="s">
        <v>44</v>
      </c>
      <c r="N103" s="5" t="n">
        <v>66</v>
      </c>
      <c r="O103" s="6" t="n">
        <v>89</v>
      </c>
      <c r="P103" s="6" t="s">
        <v>42</v>
      </c>
      <c r="Q103" s="7" t="n">
        <v>89</v>
      </c>
      <c r="R103" s="8" t="n">
        <v>66</v>
      </c>
      <c r="S103" s="8" t="s">
        <v>44</v>
      </c>
      <c r="T103" s="9" t="n">
        <v>66</v>
      </c>
      <c r="U103" s="10" t="n">
        <v>81</v>
      </c>
      <c r="V103" s="10" t="s">
        <v>42</v>
      </c>
      <c r="W103" s="11" t="n">
        <v>81</v>
      </c>
      <c r="X103" s="12" t="n">
        <v>94</v>
      </c>
      <c r="Y103" s="12" t="s">
        <v>54</v>
      </c>
      <c r="Z103" s="13" t="n">
        <v>94</v>
      </c>
      <c r="AA103" s="14" t="n">
        <v>84</v>
      </c>
      <c r="AB103" s="14" t="s">
        <v>42</v>
      </c>
      <c r="AC103" s="15" t="n">
        <v>84</v>
      </c>
      <c r="AD103" s="2" t="n">
        <f aca="false">SUM(L103,O103,R103,U103,X103,AA103)</f>
        <v>480</v>
      </c>
      <c r="AE103" s="16" t="n">
        <f aca="false">AD103/6</f>
        <v>80</v>
      </c>
      <c r="AF103" s="2" t="str">
        <f aca="false">IF(SUM(COUNTIF(M103,"RA"),COUNTIF(P103,"RA"),COUNTIF(S103,"RA"),COUNTIF(V103,"RA"),COUNTIF(Y103,"RA"),COUNTIF(AB103,"RA"))&gt;0,"FAIL","PASS")</f>
        <v>PASS</v>
      </c>
    </row>
    <row r="104" customFormat="false" ht="15" hidden="false" customHeight="false" outlineLevel="0" collapsed="false">
      <c r="A104" s="2" t="n">
        <v>103</v>
      </c>
      <c r="B104" s="3" t="s">
        <v>651</v>
      </c>
      <c r="C104" s="2" t="s">
        <v>33</v>
      </c>
      <c r="D104" s="2" t="s">
        <v>652</v>
      </c>
      <c r="E104" s="2" t="s">
        <v>57</v>
      </c>
      <c r="F104" s="2" t="s">
        <v>36</v>
      </c>
      <c r="G104" s="2" t="s">
        <v>71</v>
      </c>
      <c r="H104" s="2" t="s">
        <v>653</v>
      </c>
      <c r="I104" s="3" t="s">
        <v>654</v>
      </c>
      <c r="J104" s="2" t="s">
        <v>655</v>
      </c>
      <c r="K104" s="2" t="s">
        <v>656</v>
      </c>
      <c r="L104" s="4" t="n">
        <v>73</v>
      </c>
      <c r="M104" s="4" t="s">
        <v>43</v>
      </c>
      <c r="N104" s="5" t="n">
        <v>73</v>
      </c>
      <c r="O104" s="6" t="n">
        <v>93</v>
      </c>
      <c r="P104" s="6" t="s">
        <v>54</v>
      </c>
      <c r="Q104" s="7" t="n">
        <v>93</v>
      </c>
      <c r="R104" s="8" t="n">
        <v>82</v>
      </c>
      <c r="S104" s="8" t="s">
        <v>42</v>
      </c>
      <c r="T104" s="9" t="n">
        <v>82</v>
      </c>
      <c r="U104" s="10" t="n">
        <v>87</v>
      </c>
      <c r="V104" s="10" t="s">
        <v>42</v>
      </c>
      <c r="W104" s="11" t="n">
        <v>87</v>
      </c>
      <c r="X104" s="12" t="n">
        <v>86</v>
      </c>
      <c r="Y104" s="12" t="s">
        <v>42</v>
      </c>
      <c r="Z104" s="13" t="n">
        <v>86</v>
      </c>
      <c r="AA104" s="14" t="n">
        <v>99</v>
      </c>
      <c r="AB104" s="14" t="s">
        <v>54</v>
      </c>
      <c r="AC104" s="15" t="n">
        <v>99</v>
      </c>
      <c r="AD104" s="2" t="n">
        <f aca="false">SUM(L104,O104,R104,U104,X104,AA104)</f>
        <v>520</v>
      </c>
      <c r="AE104" s="16" t="n">
        <f aca="false">AD104/6</f>
        <v>86.6666666666667</v>
      </c>
      <c r="AF104" s="2" t="str">
        <f aca="false">IF(SUM(COUNTIF(M104,"RA"),COUNTIF(P104,"RA"),COUNTIF(S104,"RA"),COUNTIF(V104,"RA"),COUNTIF(Y104,"RA"),COUNTIF(AB104,"RA"))&gt;0,"FAIL","PASS")</f>
        <v>PASS</v>
      </c>
    </row>
    <row r="105" customFormat="false" ht="15" hidden="false" customHeight="false" outlineLevel="0" collapsed="false">
      <c r="A105" s="2" t="n">
        <v>104</v>
      </c>
      <c r="B105" s="3" t="s">
        <v>657</v>
      </c>
      <c r="C105" s="2" t="s">
        <v>33</v>
      </c>
      <c r="D105" s="2" t="s">
        <v>658</v>
      </c>
      <c r="E105" s="2" t="s">
        <v>57</v>
      </c>
      <c r="F105" s="2" t="s">
        <v>36</v>
      </c>
      <c r="G105" s="2" t="s">
        <v>71</v>
      </c>
      <c r="H105" s="2" t="s">
        <v>659</v>
      </c>
      <c r="I105" s="3" t="s">
        <v>660</v>
      </c>
      <c r="J105" s="2" t="s">
        <v>661</v>
      </c>
      <c r="K105" s="2" t="s">
        <v>662</v>
      </c>
      <c r="L105" s="4" t="n">
        <v>90</v>
      </c>
      <c r="M105" s="4" t="s">
        <v>54</v>
      </c>
      <c r="N105" s="5" t="n">
        <v>90</v>
      </c>
      <c r="O105" s="6" t="n">
        <v>79</v>
      </c>
      <c r="P105" s="6" t="s">
        <v>43</v>
      </c>
      <c r="Q105" s="7" t="n">
        <v>79</v>
      </c>
      <c r="R105" s="8" t="n">
        <v>80</v>
      </c>
      <c r="S105" s="8" t="s">
        <v>42</v>
      </c>
      <c r="T105" s="9" t="n">
        <v>80</v>
      </c>
      <c r="U105" s="10" t="n">
        <v>80</v>
      </c>
      <c r="V105" s="10" t="s">
        <v>42</v>
      </c>
      <c r="W105" s="11" t="n">
        <v>80</v>
      </c>
      <c r="X105" s="12" t="n">
        <v>63</v>
      </c>
      <c r="Y105" s="12" t="s">
        <v>44</v>
      </c>
      <c r="Z105" s="13" t="n">
        <v>63</v>
      </c>
      <c r="AA105" s="14" t="n">
        <v>62</v>
      </c>
      <c r="AB105" s="14" t="s">
        <v>44</v>
      </c>
      <c r="AC105" s="15" t="n">
        <v>62</v>
      </c>
      <c r="AD105" s="2" t="n">
        <f aca="false">SUM(L105,O105,R105,U105,X105,AA105)</f>
        <v>454</v>
      </c>
      <c r="AE105" s="16" t="n">
        <f aca="false">AD105/6</f>
        <v>75.6666666666667</v>
      </c>
      <c r="AF105" s="2" t="str">
        <f aca="false">IF(SUM(COUNTIF(M105,"RA"),COUNTIF(P105,"RA"),COUNTIF(S105,"RA"),COUNTIF(V105,"RA"),COUNTIF(Y105,"RA"),COUNTIF(AB105,"RA"))&gt;0,"FAIL","PASS")</f>
        <v>PASS</v>
      </c>
    </row>
    <row r="106" customFormat="false" ht="15" hidden="false" customHeight="false" outlineLevel="0" collapsed="false">
      <c r="A106" s="2" t="n">
        <v>105</v>
      </c>
      <c r="B106" s="3" t="s">
        <v>663</v>
      </c>
      <c r="C106" s="2" t="s">
        <v>33</v>
      </c>
      <c r="D106" s="2" t="s">
        <v>664</v>
      </c>
      <c r="E106" s="2" t="s">
        <v>35</v>
      </c>
      <c r="F106" s="2" t="s">
        <v>36</v>
      </c>
      <c r="G106" s="2" t="s">
        <v>48</v>
      </c>
      <c r="H106" s="2" t="s">
        <v>665</v>
      </c>
      <c r="I106" s="3" t="s">
        <v>666</v>
      </c>
      <c r="J106" s="2" t="s">
        <v>667</v>
      </c>
      <c r="K106" s="2" t="s">
        <v>668</v>
      </c>
      <c r="L106" s="4" t="n">
        <v>48</v>
      </c>
      <c r="M106" s="4" t="s">
        <v>45</v>
      </c>
      <c r="N106" s="5" t="n">
        <v>48</v>
      </c>
      <c r="O106" s="6" t="n">
        <v>77</v>
      </c>
      <c r="P106" s="6" t="s">
        <v>43</v>
      </c>
      <c r="Q106" s="7" t="n">
        <v>77</v>
      </c>
      <c r="R106" s="8" t="n">
        <v>85</v>
      </c>
      <c r="S106" s="8" t="s">
        <v>42</v>
      </c>
      <c r="T106" s="9" t="n">
        <v>85</v>
      </c>
      <c r="U106" s="10" t="n">
        <v>86</v>
      </c>
      <c r="V106" s="10" t="s">
        <v>42</v>
      </c>
      <c r="W106" s="11" t="n">
        <v>86</v>
      </c>
      <c r="X106" s="12" t="n">
        <v>66</v>
      </c>
      <c r="Y106" s="12" t="s">
        <v>44</v>
      </c>
      <c r="Z106" s="13" t="n">
        <v>66</v>
      </c>
      <c r="AA106" s="14" t="n">
        <v>82</v>
      </c>
      <c r="AB106" s="14" t="s">
        <v>42</v>
      </c>
      <c r="AC106" s="15" t="n">
        <v>82</v>
      </c>
      <c r="AD106" s="2" t="n">
        <f aca="false">SUM(L106,O106,R106,U106,X106,AA106)</f>
        <v>444</v>
      </c>
      <c r="AE106" s="16" t="n">
        <f aca="false">AD106/6</f>
        <v>74</v>
      </c>
      <c r="AF106" s="2" t="str">
        <f aca="false">IF(SUM(COUNTIF(M106,"RA"),COUNTIF(P106,"RA"),COUNTIF(S106,"RA"),COUNTIF(V106,"RA"),COUNTIF(Y106,"RA"),COUNTIF(AB106,"RA"))&gt;0,"FAIL","PASS")</f>
        <v>FAIL</v>
      </c>
    </row>
    <row r="107" customFormat="false" ht="15" hidden="false" customHeight="false" outlineLevel="0" collapsed="false">
      <c r="A107" s="2" t="n">
        <v>106</v>
      </c>
      <c r="B107" s="3" t="s">
        <v>669</v>
      </c>
      <c r="C107" s="2" t="s">
        <v>33</v>
      </c>
      <c r="D107" s="2" t="s">
        <v>670</v>
      </c>
      <c r="E107" s="2" t="s">
        <v>35</v>
      </c>
      <c r="F107" s="2" t="s">
        <v>36</v>
      </c>
      <c r="G107" s="2" t="s">
        <v>44</v>
      </c>
      <c r="H107" s="2" t="s">
        <v>671</v>
      </c>
      <c r="I107" s="3" t="s">
        <v>672</v>
      </c>
      <c r="J107" s="2" t="s">
        <v>673</v>
      </c>
      <c r="K107" s="2" t="s">
        <v>674</v>
      </c>
      <c r="L107" s="4" t="n">
        <v>65</v>
      </c>
      <c r="M107" s="4" t="s">
        <v>44</v>
      </c>
      <c r="N107" s="5" t="n">
        <v>65</v>
      </c>
      <c r="O107" s="6" t="n">
        <v>100</v>
      </c>
      <c r="P107" s="6" t="s">
        <v>54</v>
      </c>
      <c r="Q107" s="7" t="n">
        <v>100</v>
      </c>
      <c r="R107" s="8" t="n">
        <v>72</v>
      </c>
      <c r="S107" s="8" t="s">
        <v>43</v>
      </c>
      <c r="T107" s="9" t="n">
        <v>72</v>
      </c>
      <c r="U107" s="10" t="n">
        <v>77</v>
      </c>
      <c r="V107" s="10" t="s">
        <v>43</v>
      </c>
      <c r="W107" s="11" t="n">
        <v>77</v>
      </c>
      <c r="X107" s="12" t="n">
        <v>63</v>
      </c>
      <c r="Y107" s="12" t="s">
        <v>44</v>
      </c>
      <c r="Z107" s="13" t="n">
        <v>63</v>
      </c>
      <c r="AA107" s="14" t="n">
        <v>61</v>
      </c>
      <c r="AB107" s="14" t="s">
        <v>44</v>
      </c>
      <c r="AC107" s="15" t="n">
        <v>61</v>
      </c>
      <c r="AD107" s="2" t="n">
        <f aca="false">SUM(L107,O107,R107,U107,X107,AA107)</f>
        <v>438</v>
      </c>
      <c r="AE107" s="16" t="n">
        <f aca="false">AD107/6</f>
        <v>73</v>
      </c>
      <c r="AF107" s="2" t="str">
        <f aca="false">IF(SUM(COUNTIF(M107,"RA"),COUNTIF(P107,"RA"),COUNTIF(S107,"RA"),COUNTIF(V107,"RA"),COUNTIF(Y107,"RA"),COUNTIF(AB107,"RA"))&gt;0,"FAIL","PASS")</f>
        <v>PASS</v>
      </c>
    </row>
    <row r="108" customFormat="false" ht="15" hidden="false" customHeight="false" outlineLevel="0" collapsed="false">
      <c r="A108" s="2" t="n">
        <v>107</v>
      </c>
      <c r="B108" s="3" t="s">
        <v>675</v>
      </c>
      <c r="C108" s="2" t="s">
        <v>33</v>
      </c>
      <c r="D108" s="2" t="s">
        <v>676</v>
      </c>
      <c r="E108" s="2" t="s">
        <v>57</v>
      </c>
      <c r="F108" s="2" t="s">
        <v>36</v>
      </c>
      <c r="G108" s="2" t="s">
        <v>64</v>
      </c>
      <c r="H108" s="2" t="s">
        <v>677</v>
      </c>
      <c r="I108" s="3" t="s">
        <v>678</v>
      </c>
      <c r="J108" s="2" t="s">
        <v>679</v>
      </c>
      <c r="K108" s="2" t="s">
        <v>680</v>
      </c>
      <c r="L108" s="4" t="n">
        <v>79</v>
      </c>
      <c r="M108" s="4" t="s">
        <v>43</v>
      </c>
      <c r="N108" s="5" t="n">
        <v>79</v>
      </c>
      <c r="O108" s="6" t="n">
        <v>79</v>
      </c>
      <c r="P108" s="6" t="s">
        <v>43</v>
      </c>
      <c r="Q108" s="7" t="n">
        <v>79</v>
      </c>
      <c r="R108" s="8" t="n">
        <v>75</v>
      </c>
      <c r="S108" s="8" t="s">
        <v>43</v>
      </c>
      <c r="T108" s="9" t="n">
        <v>75</v>
      </c>
      <c r="U108" s="10" t="n">
        <v>85</v>
      </c>
      <c r="V108" s="10" t="s">
        <v>42</v>
      </c>
      <c r="W108" s="11" t="n">
        <v>85</v>
      </c>
      <c r="X108" s="12" t="n">
        <v>42</v>
      </c>
      <c r="Y108" s="12" t="s">
        <v>45</v>
      </c>
      <c r="Z108" s="13" t="n">
        <v>42</v>
      </c>
      <c r="AA108" s="14" t="n">
        <v>55</v>
      </c>
      <c r="AB108" s="14" t="s">
        <v>53</v>
      </c>
      <c r="AC108" s="15" t="n">
        <v>55</v>
      </c>
      <c r="AD108" s="2" t="n">
        <f aca="false">SUM(L108,O108,R108,U108,X108,AA108)</f>
        <v>415</v>
      </c>
      <c r="AE108" s="16" t="n">
        <f aca="false">AD108/6</f>
        <v>69.1666666666667</v>
      </c>
      <c r="AF108" s="2" t="str">
        <f aca="false">IF(SUM(COUNTIF(M108,"RA"),COUNTIF(P108,"RA"),COUNTIF(S108,"RA"),COUNTIF(V108,"RA"),COUNTIF(Y108,"RA"),COUNTIF(AB108,"RA"))&gt;0,"FAIL","PASS")</f>
        <v>FAIL</v>
      </c>
    </row>
    <row r="109" customFormat="false" ht="15" hidden="false" customHeight="false" outlineLevel="0" collapsed="false">
      <c r="A109" s="2" t="n">
        <v>108</v>
      </c>
      <c r="B109" s="3" t="s">
        <v>681</v>
      </c>
      <c r="C109" s="2" t="s">
        <v>33</v>
      </c>
      <c r="D109" s="2" t="s">
        <v>682</v>
      </c>
      <c r="E109" s="2" t="s">
        <v>57</v>
      </c>
      <c r="F109" s="2" t="s">
        <v>36</v>
      </c>
      <c r="G109" s="2" t="s">
        <v>48</v>
      </c>
      <c r="H109" s="2" t="s">
        <v>683</v>
      </c>
      <c r="I109" s="3" t="s">
        <v>684</v>
      </c>
      <c r="J109" s="2" t="s">
        <v>685</v>
      </c>
      <c r="K109" s="2" t="s">
        <v>686</v>
      </c>
      <c r="L109" s="4" t="n">
        <v>92</v>
      </c>
      <c r="M109" s="4" t="s">
        <v>54</v>
      </c>
      <c r="N109" s="5" t="n">
        <v>92</v>
      </c>
      <c r="O109" s="6" t="n">
        <v>69</v>
      </c>
      <c r="P109" s="6" t="s">
        <v>44</v>
      </c>
      <c r="Q109" s="7" t="n">
        <v>69</v>
      </c>
      <c r="R109" s="8" t="n">
        <v>95</v>
      </c>
      <c r="S109" s="8" t="s">
        <v>54</v>
      </c>
      <c r="T109" s="9" t="n">
        <v>95</v>
      </c>
      <c r="U109" s="10" t="n">
        <v>84</v>
      </c>
      <c r="V109" s="10" t="s">
        <v>42</v>
      </c>
      <c r="W109" s="11" t="n">
        <v>84</v>
      </c>
      <c r="X109" s="12" t="n">
        <v>66</v>
      </c>
      <c r="Y109" s="12" t="s">
        <v>44</v>
      </c>
      <c r="Z109" s="13" t="n">
        <v>66</v>
      </c>
      <c r="AA109" s="14" t="n">
        <v>77</v>
      </c>
      <c r="AB109" s="14" t="s">
        <v>43</v>
      </c>
      <c r="AC109" s="15" t="n">
        <v>77</v>
      </c>
      <c r="AD109" s="2" t="n">
        <f aca="false">SUM(L109,O109,R109,U109,X109,AA109)</f>
        <v>483</v>
      </c>
      <c r="AE109" s="16" t="n">
        <f aca="false">AD109/6</f>
        <v>80.5</v>
      </c>
      <c r="AF109" s="2" t="str">
        <f aca="false">IF(SUM(COUNTIF(M109,"RA"),COUNTIF(P109,"RA"),COUNTIF(S109,"RA"),COUNTIF(V109,"RA"),COUNTIF(Y109,"RA"),COUNTIF(AB109,"RA"))&gt;0,"FAIL","PASS")</f>
        <v>PASS</v>
      </c>
    </row>
    <row r="110" customFormat="false" ht="15" hidden="false" customHeight="false" outlineLevel="0" collapsed="false">
      <c r="A110" s="2" t="n">
        <v>109</v>
      </c>
      <c r="B110" s="3" t="s">
        <v>687</v>
      </c>
      <c r="C110" s="2" t="s">
        <v>33</v>
      </c>
      <c r="D110" s="2" t="s">
        <v>688</v>
      </c>
      <c r="E110" s="2" t="s">
        <v>35</v>
      </c>
      <c r="F110" s="2" t="s">
        <v>36</v>
      </c>
      <c r="G110" s="2" t="s">
        <v>91</v>
      </c>
      <c r="H110" s="2" t="s">
        <v>647</v>
      </c>
      <c r="I110" s="3" t="s">
        <v>689</v>
      </c>
      <c r="J110" s="2" t="s">
        <v>690</v>
      </c>
      <c r="K110" s="2" t="s">
        <v>691</v>
      </c>
      <c r="L110" s="4" t="n">
        <v>90</v>
      </c>
      <c r="M110" s="4" t="s">
        <v>54</v>
      </c>
      <c r="N110" s="5" t="n">
        <v>90</v>
      </c>
      <c r="O110" s="6" t="n">
        <v>42</v>
      </c>
      <c r="P110" s="6" t="s">
        <v>45</v>
      </c>
      <c r="Q110" s="7" t="n">
        <v>42</v>
      </c>
      <c r="R110" s="8" t="n">
        <v>80</v>
      </c>
      <c r="S110" s="8" t="s">
        <v>42</v>
      </c>
      <c r="T110" s="9" t="n">
        <v>80</v>
      </c>
      <c r="U110" s="10" t="n">
        <v>81</v>
      </c>
      <c r="V110" s="10" t="s">
        <v>42</v>
      </c>
      <c r="W110" s="11" t="n">
        <v>81</v>
      </c>
      <c r="X110" s="12" t="n">
        <v>73</v>
      </c>
      <c r="Y110" s="12" t="s">
        <v>43</v>
      </c>
      <c r="Z110" s="13" t="n">
        <v>73</v>
      </c>
      <c r="AA110" s="14" t="n">
        <v>78</v>
      </c>
      <c r="AB110" s="14" t="s">
        <v>43</v>
      </c>
      <c r="AC110" s="15" t="n">
        <v>78</v>
      </c>
      <c r="AD110" s="2" t="n">
        <f aca="false">SUM(L110,O110,R110,U110,X110,AA110)</f>
        <v>444</v>
      </c>
      <c r="AE110" s="16" t="n">
        <f aca="false">AD110/6</f>
        <v>74</v>
      </c>
      <c r="AF110" s="2" t="str">
        <f aca="false">IF(SUM(COUNTIF(M110,"RA"),COUNTIF(P110,"RA"),COUNTIF(S110,"RA"),COUNTIF(V110,"RA"),COUNTIF(Y110,"RA"),COUNTIF(AB110,"RA"))&gt;0,"FAIL","PASS")</f>
        <v>FAIL</v>
      </c>
    </row>
    <row r="111" customFormat="false" ht="15" hidden="false" customHeight="false" outlineLevel="0" collapsed="false">
      <c r="A111" s="2" t="n">
        <v>110</v>
      </c>
      <c r="B111" s="3" t="s">
        <v>692</v>
      </c>
      <c r="C111" s="2" t="s">
        <v>33</v>
      </c>
      <c r="D111" s="2" t="s">
        <v>693</v>
      </c>
      <c r="E111" s="2" t="s">
        <v>35</v>
      </c>
      <c r="F111" s="2" t="s">
        <v>36</v>
      </c>
      <c r="G111" s="2" t="s">
        <v>91</v>
      </c>
      <c r="H111" s="2" t="s">
        <v>694</v>
      </c>
      <c r="I111" s="3" t="s">
        <v>695</v>
      </c>
      <c r="J111" s="2" t="s">
        <v>696</v>
      </c>
      <c r="K111" s="2" t="s">
        <v>697</v>
      </c>
      <c r="L111" s="4" t="n">
        <v>86</v>
      </c>
      <c r="M111" s="4" t="s">
        <v>42</v>
      </c>
      <c r="N111" s="5" t="n">
        <v>86</v>
      </c>
      <c r="O111" s="6" t="n">
        <v>61</v>
      </c>
      <c r="P111" s="6" t="s">
        <v>44</v>
      </c>
      <c r="Q111" s="7" t="n">
        <v>61</v>
      </c>
      <c r="R111" s="8" t="n">
        <v>59</v>
      </c>
      <c r="S111" s="8" t="s">
        <v>53</v>
      </c>
      <c r="T111" s="9" t="n">
        <v>59</v>
      </c>
      <c r="U111" s="10" t="n">
        <v>72</v>
      </c>
      <c r="V111" s="10" t="s">
        <v>43</v>
      </c>
      <c r="W111" s="11" t="n">
        <v>72</v>
      </c>
      <c r="X111" s="12" t="n">
        <v>70</v>
      </c>
      <c r="Y111" s="12" t="s">
        <v>43</v>
      </c>
      <c r="Z111" s="13" t="n">
        <v>70</v>
      </c>
      <c r="AA111" s="14" t="n">
        <v>92</v>
      </c>
      <c r="AB111" s="14" t="s">
        <v>54</v>
      </c>
      <c r="AC111" s="15" t="n">
        <v>92</v>
      </c>
      <c r="AD111" s="2" t="n">
        <f aca="false">SUM(L111,O111,R111,U111,X111,AA111)</f>
        <v>440</v>
      </c>
      <c r="AE111" s="16" t="n">
        <f aca="false">AD111/6</f>
        <v>73.3333333333333</v>
      </c>
      <c r="AF111" s="2" t="str">
        <f aca="false">IF(SUM(COUNTIF(M111,"RA"),COUNTIF(P111,"RA"),COUNTIF(S111,"RA"),COUNTIF(V111,"RA"),COUNTIF(Y111,"RA"),COUNTIF(AB111,"RA"))&gt;0,"FAIL","PASS")</f>
        <v>PASS</v>
      </c>
    </row>
    <row r="112" customFormat="false" ht="15" hidden="false" customHeight="false" outlineLevel="0" collapsed="false">
      <c r="A112" s="2" t="n">
        <v>111</v>
      </c>
      <c r="B112" s="3" t="s">
        <v>698</v>
      </c>
      <c r="C112" s="2" t="s">
        <v>33</v>
      </c>
      <c r="D112" s="2" t="s">
        <v>699</v>
      </c>
      <c r="E112" s="2" t="s">
        <v>35</v>
      </c>
      <c r="F112" s="2" t="s">
        <v>36</v>
      </c>
      <c r="G112" s="2" t="s">
        <v>71</v>
      </c>
      <c r="H112" s="2" t="s">
        <v>700</v>
      </c>
      <c r="I112" s="3" t="s">
        <v>701</v>
      </c>
      <c r="J112" s="2" t="s">
        <v>702</v>
      </c>
      <c r="K112" s="2" t="s">
        <v>703</v>
      </c>
      <c r="L112" s="4" t="n">
        <v>72</v>
      </c>
      <c r="M112" s="4" t="s">
        <v>43</v>
      </c>
      <c r="N112" s="5" t="n">
        <v>72</v>
      </c>
      <c r="O112" s="6" t="n">
        <v>46</v>
      </c>
      <c r="P112" s="6" t="s">
        <v>45</v>
      </c>
      <c r="Q112" s="7" t="n">
        <v>46</v>
      </c>
      <c r="R112" s="8" t="n">
        <v>100</v>
      </c>
      <c r="S112" s="8" t="s">
        <v>54</v>
      </c>
      <c r="T112" s="9" t="n">
        <v>100</v>
      </c>
      <c r="U112" s="10" t="n">
        <v>65</v>
      </c>
      <c r="V112" s="10" t="s">
        <v>44</v>
      </c>
      <c r="W112" s="11" t="n">
        <v>65</v>
      </c>
      <c r="X112" s="12" t="n">
        <v>47</v>
      </c>
      <c r="Y112" s="12" t="s">
        <v>45</v>
      </c>
      <c r="Z112" s="13" t="n">
        <v>47</v>
      </c>
      <c r="AA112" s="14" t="n">
        <v>87</v>
      </c>
      <c r="AB112" s="14" t="s">
        <v>42</v>
      </c>
      <c r="AC112" s="15" t="n">
        <v>87</v>
      </c>
      <c r="AD112" s="2" t="n">
        <f aca="false">SUM(L112,O112,R112,U112,X112,AA112)</f>
        <v>417</v>
      </c>
      <c r="AE112" s="16" t="n">
        <f aca="false">AD112/6</f>
        <v>69.5</v>
      </c>
      <c r="AF112" s="2" t="str">
        <f aca="false">IF(SUM(COUNTIF(M112,"RA"),COUNTIF(P112,"RA"),COUNTIF(S112,"RA"),COUNTIF(V112,"RA"),COUNTIF(Y112,"RA"),COUNTIF(AB112,"RA"))&gt;0,"FAIL","PASS")</f>
        <v>FAIL</v>
      </c>
    </row>
    <row r="113" customFormat="false" ht="15" hidden="false" customHeight="false" outlineLevel="0" collapsed="false">
      <c r="A113" s="2" t="n">
        <v>112</v>
      </c>
      <c r="B113" s="3" t="s">
        <v>704</v>
      </c>
      <c r="C113" s="2" t="s">
        <v>33</v>
      </c>
      <c r="D113" s="2" t="s">
        <v>705</v>
      </c>
      <c r="E113" s="2" t="s">
        <v>35</v>
      </c>
      <c r="F113" s="2" t="s">
        <v>36</v>
      </c>
      <c r="G113" s="2" t="s">
        <v>44</v>
      </c>
      <c r="H113" s="2" t="s">
        <v>706</v>
      </c>
      <c r="I113" s="3" t="s">
        <v>707</v>
      </c>
      <c r="J113" s="2" t="s">
        <v>708</v>
      </c>
      <c r="K113" s="2" t="s">
        <v>709</v>
      </c>
      <c r="L113" s="4" t="n">
        <v>70</v>
      </c>
      <c r="M113" s="4" t="s">
        <v>43</v>
      </c>
      <c r="N113" s="5" t="n">
        <v>70</v>
      </c>
      <c r="O113" s="6" t="n">
        <v>81</v>
      </c>
      <c r="P113" s="6" t="s">
        <v>42</v>
      </c>
      <c r="Q113" s="7" t="n">
        <v>81</v>
      </c>
      <c r="R113" s="8" t="n">
        <v>80</v>
      </c>
      <c r="S113" s="8" t="s">
        <v>42</v>
      </c>
      <c r="T113" s="9" t="n">
        <v>80</v>
      </c>
      <c r="U113" s="10" t="n">
        <v>83</v>
      </c>
      <c r="V113" s="10" t="s">
        <v>42</v>
      </c>
      <c r="W113" s="11" t="n">
        <v>83</v>
      </c>
      <c r="X113" s="12" t="n">
        <v>64</v>
      </c>
      <c r="Y113" s="12" t="s">
        <v>44</v>
      </c>
      <c r="Z113" s="13" t="n">
        <v>64</v>
      </c>
      <c r="AA113" s="14" t="n">
        <v>63</v>
      </c>
      <c r="AB113" s="14" t="s">
        <v>44</v>
      </c>
      <c r="AC113" s="15" t="n">
        <v>63</v>
      </c>
      <c r="AD113" s="2" t="n">
        <f aca="false">SUM(L113,O113,R113,U113,X113,AA113)</f>
        <v>441</v>
      </c>
      <c r="AE113" s="16" t="n">
        <f aca="false">AD113/6</f>
        <v>73.5</v>
      </c>
      <c r="AF113" s="2" t="str">
        <f aca="false">IF(SUM(COUNTIF(M113,"RA"),COUNTIF(P113,"RA"),COUNTIF(S113,"RA"),COUNTIF(V113,"RA"),COUNTIF(Y113,"RA"),COUNTIF(AB113,"RA"))&gt;0,"FAIL","PASS")</f>
        <v>PASS</v>
      </c>
    </row>
    <row r="114" customFormat="false" ht="15" hidden="false" customHeight="false" outlineLevel="0" collapsed="false">
      <c r="A114" s="2" t="n">
        <v>113</v>
      </c>
      <c r="B114" s="3" t="s">
        <v>710</v>
      </c>
      <c r="C114" s="2" t="s">
        <v>33</v>
      </c>
      <c r="D114" s="2" t="s">
        <v>711</v>
      </c>
      <c r="E114" s="2" t="s">
        <v>57</v>
      </c>
      <c r="F114" s="2" t="s">
        <v>36</v>
      </c>
      <c r="G114" s="2" t="s">
        <v>71</v>
      </c>
      <c r="H114" s="2" t="s">
        <v>550</v>
      </c>
      <c r="I114" s="3" t="s">
        <v>712</v>
      </c>
      <c r="J114" s="2" t="s">
        <v>713</v>
      </c>
      <c r="K114" s="2" t="s">
        <v>714</v>
      </c>
      <c r="L114" s="4" t="n">
        <v>96</v>
      </c>
      <c r="M114" s="4" t="s">
        <v>54</v>
      </c>
      <c r="N114" s="5" t="n">
        <v>96</v>
      </c>
      <c r="O114" s="6" t="n">
        <v>77</v>
      </c>
      <c r="P114" s="6" t="s">
        <v>43</v>
      </c>
      <c r="Q114" s="7" t="n">
        <v>77</v>
      </c>
      <c r="R114" s="8" t="n">
        <v>76</v>
      </c>
      <c r="S114" s="8" t="s">
        <v>43</v>
      </c>
      <c r="T114" s="9" t="n">
        <v>76</v>
      </c>
      <c r="U114" s="10" t="n">
        <v>90</v>
      </c>
      <c r="V114" s="10" t="s">
        <v>54</v>
      </c>
      <c r="W114" s="11" t="n">
        <v>90</v>
      </c>
      <c r="X114" s="12" t="n">
        <v>58</v>
      </c>
      <c r="Y114" s="12" t="s">
        <v>53</v>
      </c>
      <c r="Z114" s="13" t="n">
        <v>58</v>
      </c>
      <c r="AA114" s="14" t="n">
        <v>91</v>
      </c>
      <c r="AB114" s="14" t="s">
        <v>54</v>
      </c>
      <c r="AC114" s="15" t="n">
        <v>91</v>
      </c>
      <c r="AD114" s="2" t="n">
        <f aca="false">SUM(L114,O114,R114,U114,X114,AA114)</f>
        <v>488</v>
      </c>
      <c r="AE114" s="16" t="n">
        <f aca="false">AD114/6</f>
        <v>81.3333333333333</v>
      </c>
      <c r="AF114" s="2" t="str">
        <f aca="false">IF(SUM(COUNTIF(M114,"RA"),COUNTIF(P114,"RA"),COUNTIF(S114,"RA"),COUNTIF(V114,"RA"),COUNTIF(Y114,"RA"),COUNTIF(AB114,"RA"))&gt;0,"FAIL","PASS")</f>
        <v>PASS</v>
      </c>
    </row>
    <row r="115" customFormat="false" ht="15" hidden="false" customHeight="false" outlineLevel="0" collapsed="false">
      <c r="A115" s="2" t="n">
        <v>114</v>
      </c>
      <c r="B115" s="3" t="s">
        <v>715</v>
      </c>
      <c r="C115" s="2" t="s">
        <v>33</v>
      </c>
      <c r="D115" s="2" t="s">
        <v>716</v>
      </c>
      <c r="E115" s="2" t="s">
        <v>57</v>
      </c>
      <c r="F115" s="2" t="s">
        <v>36</v>
      </c>
      <c r="G115" s="2" t="s">
        <v>91</v>
      </c>
      <c r="H115" s="2" t="s">
        <v>717</v>
      </c>
      <c r="I115" s="3" t="s">
        <v>718</v>
      </c>
      <c r="J115" s="2" t="s">
        <v>719</v>
      </c>
      <c r="K115" s="2" t="s">
        <v>720</v>
      </c>
      <c r="L115" s="4" t="n">
        <v>73</v>
      </c>
      <c r="M115" s="4" t="s">
        <v>43</v>
      </c>
      <c r="N115" s="5" t="n">
        <v>73</v>
      </c>
      <c r="O115" s="6" t="n">
        <v>73</v>
      </c>
      <c r="P115" s="6" t="s">
        <v>43</v>
      </c>
      <c r="Q115" s="7" t="n">
        <v>73</v>
      </c>
      <c r="R115" s="8" t="n">
        <v>55</v>
      </c>
      <c r="S115" s="8" t="s">
        <v>53</v>
      </c>
      <c r="T115" s="9" t="n">
        <v>55</v>
      </c>
      <c r="U115" s="10" t="n">
        <v>53</v>
      </c>
      <c r="V115" s="10" t="s">
        <v>53</v>
      </c>
      <c r="W115" s="11" t="n">
        <v>53</v>
      </c>
      <c r="X115" s="12" t="n">
        <v>72</v>
      </c>
      <c r="Y115" s="12" t="s">
        <v>43</v>
      </c>
      <c r="Z115" s="13" t="n">
        <v>72</v>
      </c>
      <c r="AA115" s="14" t="n">
        <v>60</v>
      </c>
      <c r="AB115" s="14" t="s">
        <v>44</v>
      </c>
      <c r="AC115" s="15" t="n">
        <v>60</v>
      </c>
      <c r="AD115" s="2" t="n">
        <f aca="false">SUM(L115,O115,R115,U115,X115,AA115)</f>
        <v>386</v>
      </c>
      <c r="AE115" s="16" t="n">
        <f aca="false">AD115/6</f>
        <v>64.3333333333333</v>
      </c>
      <c r="AF115" s="2" t="str">
        <f aca="false">IF(SUM(COUNTIF(M115,"RA"),COUNTIF(P115,"RA"),COUNTIF(S115,"RA"),COUNTIF(V115,"RA"),COUNTIF(Y115,"RA"),COUNTIF(AB115,"RA"))&gt;0,"FAIL","PASS")</f>
        <v>PASS</v>
      </c>
    </row>
    <row r="116" customFormat="false" ht="15" hidden="false" customHeight="false" outlineLevel="0" collapsed="false">
      <c r="A116" s="2" t="n">
        <v>115</v>
      </c>
      <c r="B116" s="3" t="s">
        <v>721</v>
      </c>
      <c r="C116" s="2" t="s">
        <v>33</v>
      </c>
      <c r="D116" s="2" t="s">
        <v>722</v>
      </c>
      <c r="E116" s="2" t="s">
        <v>57</v>
      </c>
      <c r="F116" s="2" t="s">
        <v>36</v>
      </c>
      <c r="G116" s="2" t="s">
        <v>91</v>
      </c>
      <c r="H116" s="2" t="s">
        <v>723</v>
      </c>
      <c r="I116" s="3" t="s">
        <v>349</v>
      </c>
      <c r="J116" s="2" t="s">
        <v>724</v>
      </c>
      <c r="K116" s="2" t="s">
        <v>725</v>
      </c>
      <c r="L116" s="4" t="n">
        <v>53</v>
      </c>
      <c r="M116" s="4" t="s">
        <v>53</v>
      </c>
      <c r="N116" s="5" t="n">
        <v>53</v>
      </c>
      <c r="O116" s="6" t="n">
        <v>41</v>
      </c>
      <c r="P116" s="6" t="s">
        <v>45</v>
      </c>
      <c r="Q116" s="7" t="n">
        <v>41</v>
      </c>
      <c r="R116" s="8" t="n">
        <v>90</v>
      </c>
      <c r="S116" s="8" t="s">
        <v>54</v>
      </c>
      <c r="T116" s="9" t="n">
        <v>90</v>
      </c>
      <c r="U116" s="10" t="n">
        <v>58</v>
      </c>
      <c r="V116" s="10" t="s">
        <v>53</v>
      </c>
      <c r="W116" s="11" t="n">
        <v>58</v>
      </c>
      <c r="X116" s="12" t="n">
        <v>80</v>
      </c>
      <c r="Y116" s="12" t="s">
        <v>42</v>
      </c>
      <c r="Z116" s="13" t="n">
        <v>80</v>
      </c>
      <c r="AA116" s="14" t="n">
        <v>48</v>
      </c>
      <c r="AB116" s="14" t="s">
        <v>45</v>
      </c>
      <c r="AC116" s="15" t="n">
        <v>48</v>
      </c>
      <c r="AD116" s="2" t="n">
        <f aca="false">SUM(L116,O116,R116,U116,X116,AA116)</f>
        <v>370</v>
      </c>
      <c r="AE116" s="16" t="n">
        <f aca="false">AD116/6</f>
        <v>61.6666666666667</v>
      </c>
      <c r="AF116" s="2" t="str">
        <f aca="false">IF(SUM(COUNTIF(M116,"RA"),COUNTIF(P116,"RA"),COUNTIF(S116,"RA"),COUNTIF(V116,"RA"),COUNTIF(Y116,"RA"),COUNTIF(AB116,"RA"))&gt;0,"FAIL","PASS")</f>
        <v>FAIL</v>
      </c>
    </row>
    <row r="117" customFormat="false" ht="15" hidden="false" customHeight="false" outlineLevel="0" collapsed="false">
      <c r="A117" s="2" t="n">
        <v>116</v>
      </c>
      <c r="B117" s="3" t="s">
        <v>726</v>
      </c>
      <c r="C117" s="2" t="s">
        <v>33</v>
      </c>
      <c r="D117" s="2" t="s">
        <v>727</v>
      </c>
      <c r="E117" s="2" t="s">
        <v>35</v>
      </c>
      <c r="F117" s="2" t="s">
        <v>36</v>
      </c>
      <c r="G117" s="2" t="s">
        <v>91</v>
      </c>
      <c r="H117" s="2" t="s">
        <v>254</v>
      </c>
      <c r="I117" s="3" t="s">
        <v>728</v>
      </c>
      <c r="J117" s="2" t="s">
        <v>729</v>
      </c>
      <c r="K117" s="2" t="s">
        <v>730</v>
      </c>
      <c r="L117" s="4" t="n">
        <v>46</v>
      </c>
      <c r="M117" s="4" t="s">
        <v>45</v>
      </c>
      <c r="N117" s="5" t="n">
        <v>46</v>
      </c>
      <c r="O117" s="6" t="n">
        <v>72</v>
      </c>
      <c r="P117" s="6" t="s">
        <v>43</v>
      </c>
      <c r="Q117" s="7" t="n">
        <v>72</v>
      </c>
      <c r="R117" s="8" t="n">
        <v>82</v>
      </c>
      <c r="S117" s="8" t="s">
        <v>42</v>
      </c>
      <c r="T117" s="9" t="n">
        <v>82</v>
      </c>
      <c r="U117" s="10" t="n">
        <v>64</v>
      </c>
      <c r="V117" s="10" t="s">
        <v>44</v>
      </c>
      <c r="W117" s="11" t="n">
        <v>64</v>
      </c>
      <c r="X117" s="12" t="n">
        <v>72</v>
      </c>
      <c r="Y117" s="12" t="s">
        <v>43</v>
      </c>
      <c r="Z117" s="13" t="n">
        <v>72</v>
      </c>
      <c r="AA117" s="14" t="n">
        <v>69</v>
      </c>
      <c r="AB117" s="14" t="s">
        <v>44</v>
      </c>
      <c r="AC117" s="15" t="n">
        <v>69</v>
      </c>
      <c r="AD117" s="2" t="n">
        <f aca="false">SUM(L117,O117,R117,U117,X117,AA117)</f>
        <v>405</v>
      </c>
      <c r="AE117" s="16" t="n">
        <f aca="false">AD117/6</f>
        <v>67.5</v>
      </c>
      <c r="AF117" s="2" t="str">
        <f aca="false">IF(SUM(COUNTIF(M117,"RA"),COUNTIF(P117,"RA"),COUNTIF(S117,"RA"),COUNTIF(V117,"RA"),COUNTIF(Y117,"RA"),COUNTIF(AB117,"RA"))&gt;0,"FAIL","PASS")</f>
        <v>FAIL</v>
      </c>
    </row>
    <row r="118" customFormat="false" ht="15" hidden="false" customHeight="false" outlineLevel="0" collapsed="false">
      <c r="A118" s="2" t="n">
        <v>117</v>
      </c>
      <c r="B118" s="3" t="s">
        <v>731</v>
      </c>
      <c r="C118" s="2" t="s">
        <v>33</v>
      </c>
      <c r="D118" s="2" t="s">
        <v>732</v>
      </c>
      <c r="E118" s="2" t="s">
        <v>35</v>
      </c>
      <c r="F118" s="2" t="s">
        <v>36</v>
      </c>
      <c r="G118" s="2" t="s">
        <v>71</v>
      </c>
      <c r="H118" s="2" t="s">
        <v>733</v>
      </c>
      <c r="I118" s="3" t="s">
        <v>734</v>
      </c>
      <c r="J118" s="2" t="s">
        <v>735</v>
      </c>
      <c r="K118" s="2" t="s">
        <v>736</v>
      </c>
      <c r="L118" s="4" t="n">
        <v>50</v>
      </c>
      <c r="M118" s="4" t="s">
        <v>53</v>
      </c>
      <c r="N118" s="5" t="n">
        <v>50</v>
      </c>
      <c r="O118" s="6" t="n">
        <v>67</v>
      </c>
      <c r="P118" s="6" t="s">
        <v>44</v>
      </c>
      <c r="Q118" s="7" t="n">
        <v>67</v>
      </c>
      <c r="R118" s="8" t="n">
        <v>40</v>
      </c>
      <c r="S118" s="8" t="s">
        <v>45</v>
      </c>
      <c r="T118" s="9" t="n">
        <v>40</v>
      </c>
      <c r="U118" s="10" t="n">
        <v>82</v>
      </c>
      <c r="V118" s="10" t="s">
        <v>42</v>
      </c>
      <c r="W118" s="11" t="n">
        <v>82</v>
      </c>
      <c r="X118" s="12" t="n">
        <v>100</v>
      </c>
      <c r="Y118" s="12" t="s">
        <v>54</v>
      </c>
      <c r="Z118" s="13" t="n">
        <v>100</v>
      </c>
      <c r="AA118" s="14" t="n">
        <v>81</v>
      </c>
      <c r="AB118" s="14" t="s">
        <v>42</v>
      </c>
      <c r="AC118" s="15" t="n">
        <v>81</v>
      </c>
      <c r="AD118" s="2" t="n">
        <f aca="false">SUM(L118,O118,R118,U118,X118,AA118)</f>
        <v>420</v>
      </c>
      <c r="AE118" s="16" t="n">
        <f aca="false">AD118/6</f>
        <v>70</v>
      </c>
      <c r="AF118" s="2" t="str">
        <f aca="false">IF(SUM(COUNTIF(M118,"RA"),COUNTIF(P118,"RA"),COUNTIF(S118,"RA"),COUNTIF(V118,"RA"),COUNTIF(Y118,"RA"),COUNTIF(AB118,"RA"))&gt;0,"FAIL","PASS")</f>
        <v>FAIL</v>
      </c>
    </row>
    <row r="119" customFormat="false" ht="15" hidden="false" customHeight="false" outlineLevel="0" collapsed="false">
      <c r="A119" s="2" t="n">
        <v>118</v>
      </c>
      <c r="B119" s="3" t="s">
        <v>737</v>
      </c>
      <c r="C119" s="2" t="s">
        <v>33</v>
      </c>
      <c r="D119" s="2" t="s">
        <v>738</v>
      </c>
      <c r="E119" s="2" t="s">
        <v>35</v>
      </c>
      <c r="F119" s="2" t="s">
        <v>36</v>
      </c>
      <c r="G119" s="2" t="s">
        <v>44</v>
      </c>
      <c r="H119" s="2" t="s">
        <v>739</v>
      </c>
      <c r="I119" s="3" t="s">
        <v>740</v>
      </c>
      <c r="J119" s="2" t="s">
        <v>741</v>
      </c>
      <c r="K119" s="2" t="s">
        <v>742</v>
      </c>
      <c r="L119" s="4" t="n">
        <v>99</v>
      </c>
      <c r="M119" s="4" t="s">
        <v>54</v>
      </c>
      <c r="N119" s="5" t="n">
        <v>99</v>
      </c>
      <c r="O119" s="6" t="n">
        <v>58</v>
      </c>
      <c r="P119" s="6" t="s">
        <v>53</v>
      </c>
      <c r="Q119" s="7" t="n">
        <v>58</v>
      </c>
      <c r="R119" s="8" t="n">
        <v>64</v>
      </c>
      <c r="S119" s="8" t="s">
        <v>44</v>
      </c>
      <c r="T119" s="9" t="n">
        <v>64</v>
      </c>
      <c r="U119" s="10" t="n">
        <v>99</v>
      </c>
      <c r="V119" s="10" t="s">
        <v>54</v>
      </c>
      <c r="W119" s="11" t="n">
        <v>99</v>
      </c>
      <c r="X119" s="12" t="n">
        <v>90</v>
      </c>
      <c r="Y119" s="12" t="s">
        <v>54</v>
      </c>
      <c r="Z119" s="13" t="n">
        <v>90</v>
      </c>
      <c r="AA119" s="14" t="n">
        <v>69</v>
      </c>
      <c r="AB119" s="14" t="s">
        <v>44</v>
      </c>
      <c r="AC119" s="15" t="n">
        <v>69</v>
      </c>
      <c r="AD119" s="2" t="n">
        <f aca="false">SUM(L119,O119,R119,U119,X119,AA119)</f>
        <v>479</v>
      </c>
      <c r="AE119" s="16" t="n">
        <f aca="false">AD119/6</f>
        <v>79.8333333333333</v>
      </c>
      <c r="AF119" s="2" t="str">
        <f aca="false">IF(SUM(COUNTIF(M119,"RA"),COUNTIF(P119,"RA"),COUNTIF(S119,"RA"),COUNTIF(V119,"RA"),COUNTIF(Y119,"RA"),COUNTIF(AB119,"RA"))&gt;0,"FAIL","PASS")</f>
        <v>PASS</v>
      </c>
    </row>
    <row r="120" customFormat="false" ht="15" hidden="false" customHeight="false" outlineLevel="0" collapsed="false">
      <c r="A120" s="2" t="n">
        <v>119</v>
      </c>
      <c r="B120" s="3" t="s">
        <v>743</v>
      </c>
      <c r="C120" s="2" t="s">
        <v>33</v>
      </c>
      <c r="D120" s="2" t="s">
        <v>744</v>
      </c>
      <c r="E120" s="2" t="s">
        <v>57</v>
      </c>
      <c r="F120" s="2" t="s">
        <v>36</v>
      </c>
      <c r="G120" s="2" t="s">
        <v>37</v>
      </c>
      <c r="H120" s="2" t="s">
        <v>745</v>
      </c>
      <c r="I120" s="3" t="s">
        <v>746</v>
      </c>
      <c r="J120" s="2" t="s">
        <v>747</v>
      </c>
      <c r="K120" s="2" t="s">
        <v>748</v>
      </c>
      <c r="L120" s="4" t="n">
        <v>61</v>
      </c>
      <c r="M120" s="4" t="s">
        <v>44</v>
      </c>
      <c r="N120" s="5" t="n">
        <v>61</v>
      </c>
      <c r="O120" s="6" t="n">
        <v>96</v>
      </c>
      <c r="P120" s="6" t="s">
        <v>54</v>
      </c>
      <c r="Q120" s="7" t="n">
        <v>96</v>
      </c>
      <c r="R120" s="8" t="n">
        <v>61</v>
      </c>
      <c r="S120" s="8" t="s">
        <v>44</v>
      </c>
      <c r="T120" s="9" t="n">
        <v>61</v>
      </c>
      <c r="U120" s="10" t="n">
        <v>63</v>
      </c>
      <c r="V120" s="10" t="s">
        <v>44</v>
      </c>
      <c r="W120" s="11" t="n">
        <v>63</v>
      </c>
      <c r="X120" s="12" t="n">
        <v>83</v>
      </c>
      <c r="Y120" s="12" t="s">
        <v>42</v>
      </c>
      <c r="Z120" s="13" t="n">
        <v>83</v>
      </c>
      <c r="AA120" s="14" t="n">
        <v>40</v>
      </c>
      <c r="AB120" s="14" t="s">
        <v>45</v>
      </c>
      <c r="AC120" s="15" t="n">
        <v>40</v>
      </c>
      <c r="AD120" s="2" t="n">
        <f aca="false">SUM(L120,O120,R120,U120,X120,AA120)</f>
        <v>404</v>
      </c>
      <c r="AE120" s="16" t="n">
        <f aca="false">AD120/6</f>
        <v>67.3333333333333</v>
      </c>
      <c r="AF120" s="2" t="str">
        <f aca="false">IF(SUM(COUNTIF(M120,"RA"),COUNTIF(P120,"RA"),COUNTIF(S120,"RA"),COUNTIF(V120,"RA"),COUNTIF(Y120,"RA"),COUNTIF(AB120,"RA"))&gt;0,"FAIL","PASS")</f>
        <v>FAIL</v>
      </c>
    </row>
    <row r="121" customFormat="false" ht="15" hidden="false" customHeight="false" outlineLevel="0" collapsed="false">
      <c r="A121" s="2" t="n">
        <v>120</v>
      </c>
      <c r="B121" s="3" t="s">
        <v>749</v>
      </c>
      <c r="C121" s="2" t="s">
        <v>750</v>
      </c>
      <c r="D121" s="2" t="s">
        <v>751</v>
      </c>
      <c r="E121" s="2" t="s">
        <v>57</v>
      </c>
      <c r="F121" s="2" t="s">
        <v>36</v>
      </c>
      <c r="G121" s="2" t="s">
        <v>42</v>
      </c>
      <c r="H121" s="2" t="s">
        <v>752</v>
      </c>
      <c r="I121" s="3" t="s">
        <v>753</v>
      </c>
      <c r="J121" s="2" t="s">
        <v>754</v>
      </c>
      <c r="K121" s="2" t="s">
        <v>755</v>
      </c>
      <c r="L121" s="4" t="n">
        <v>63</v>
      </c>
      <c r="M121" s="4" t="s">
        <v>44</v>
      </c>
      <c r="N121" s="5" t="n">
        <v>63</v>
      </c>
      <c r="O121" s="6" t="n">
        <v>71</v>
      </c>
      <c r="P121" s="6" t="s">
        <v>43</v>
      </c>
      <c r="Q121" s="7" t="n">
        <v>71</v>
      </c>
      <c r="R121" s="8" t="n">
        <v>76</v>
      </c>
      <c r="S121" s="8" t="s">
        <v>43</v>
      </c>
      <c r="T121" s="9" t="n">
        <v>76</v>
      </c>
      <c r="U121" s="10" t="n">
        <v>96</v>
      </c>
      <c r="V121" s="10" t="s">
        <v>54</v>
      </c>
      <c r="W121" s="11" t="n">
        <v>96</v>
      </c>
      <c r="X121" s="12" t="n">
        <v>69</v>
      </c>
      <c r="Y121" s="12" t="s">
        <v>44</v>
      </c>
      <c r="Z121" s="13" t="n">
        <v>69</v>
      </c>
      <c r="AA121" s="14" t="n">
        <v>88</v>
      </c>
      <c r="AB121" s="14" t="s">
        <v>42</v>
      </c>
      <c r="AC121" s="15" t="n">
        <v>88</v>
      </c>
      <c r="AD121" s="2" t="n">
        <f aca="false">SUM(L121,O121,R121,U121,X121,AA121)</f>
        <v>463</v>
      </c>
      <c r="AE121" s="16" t="n">
        <f aca="false">AD121/6</f>
        <v>77.1666666666667</v>
      </c>
      <c r="AF121" s="2" t="str">
        <f aca="false">IF(SUM(COUNTIF(M121,"RA"),COUNTIF(P121,"RA"),COUNTIF(S121,"RA"),COUNTIF(V121,"RA"),COUNTIF(Y121,"RA"),COUNTIF(AB121,"RA"))&gt;0,"FAIL","PASS")</f>
        <v>PASS</v>
      </c>
    </row>
    <row r="122" customFormat="false" ht="15" hidden="false" customHeight="false" outlineLevel="0" collapsed="false">
      <c r="A122" s="2" t="n">
        <v>121</v>
      </c>
      <c r="B122" s="3" t="s">
        <v>756</v>
      </c>
      <c r="C122" s="2" t="s">
        <v>757</v>
      </c>
      <c r="D122" s="2" t="s">
        <v>758</v>
      </c>
      <c r="E122" s="2" t="s">
        <v>57</v>
      </c>
      <c r="F122" s="2" t="s">
        <v>36</v>
      </c>
      <c r="G122" s="2" t="s">
        <v>37</v>
      </c>
      <c r="H122" s="2" t="s">
        <v>759</v>
      </c>
      <c r="I122" s="3" t="s">
        <v>760</v>
      </c>
      <c r="J122" s="2" t="s">
        <v>761</v>
      </c>
      <c r="K122" s="2" t="s">
        <v>762</v>
      </c>
      <c r="L122" s="4" t="n">
        <v>61</v>
      </c>
      <c r="M122" s="4" t="s">
        <v>44</v>
      </c>
      <c r="N122" s="5" t="n">
        <v>61</v>
      </c>
      <c r="O122" s="6" t="n">
        <v>95</v>
      </c>
      <c r="P122" s="6" t="s">
        <v>54</v>
      </c>
      <c r="Q122" s="7" t="n">
        <v>95</v>
      </c>
      <c r="R122" s="8" t="n">
        <v>77</v>
      </c>
      <c r="S122" s="8" t="s">
        <v>43</v>
      </c>
      <c r="T122" s="9" t="n">
        <v>77</v>
      </c>
      <c r="U122" s="10" t="n">
        <v>68</v>
      </c>
      <c r="V122" s="10" t="s">
        <v>44</v>
      </c>
      <c r="W122" s="11" t="n">
        <v>68</v>
      </c>
      <c r="X122" s="12" t="n">
        <v>89</v>
      </c>
      <c r="Y122" s="12" t="s">
        <v>42</v>
      </c>
      <c r="Z122" s="13" t="n">
        <v>89</v>
      </c>
      <c r="AA122" s="14" t="n">
        <v>73</v>
      </c>
      <c r="AB122" s="14" t="s">
        <v>43</v>
      </c>
      <c r="AC122" s="15" t="n">
        <v>73</v>
      </c>
      <c r="AD122" s="2" t="n">
        <f aca="false">SUM(L122,O122,R122,U122,X122,AA122)</f>
        <v>463</v>
      </c>
      <c r="AE122" s="16" t="n">
        <f aca="false">AD122/6</f>
        <v>77.1666666666667</v>
      </c>
      <c r="AF122" s="2" t="str">
        <f aca="false">IF(SUM(COUNTIF(M122,"RA"),COUNTIF(P122,"RA"),COUNTIF(S122,"RA"),COUNTIF(V122,"RA"),COUNTIF(Y122,"RA"),COUNTIF(AB122,"RA"))&gt;0,"FAIL","PASS")</f>
        <v>PASS</v>
      </c>
    </row>
    <row r="123" customFormat="false" ht="15" hidden="false" customHeight="false" outlineLevel="0" collapsed="false">
      <c r="A123" s="2" t="n">
        <v>122</v>
      </c>
      <c r="B123" s="3" t="s">
        <v>763</v>
      </c>
      <c r="C123" s="2" t="s">
        <v>757</v>
      </c>
      <c r="D123" s="2" t="s">
        <v>764</v>
      </c>
      <c r="E123" s="2" t="s">
        <v>35</v>
      </c>
      <c r="F123" s="2" t="s">
        <v>36</v>
      </c>
      <c r="G123" s="2" t="s">
        <v>37</v>
      </c>
      <c r="H123" s="2" t="s">
        <v>765</v>
      </c>
      <c r="I123" s="3" t="s">
        <v>766</v>
      </c>
      <c r="J123" s="2" t="s">
        <v>767</v>
      </c>
      <c r="K123" s="2" t="s">
        <v>768</v>
      </c>
      <c r="L123" s="4" t="n">
        <v>66</v>
      </c>
      <c r="M123" s="4" t="s">
        <v>44</v>
      </c>
      <c r="N123" s="5" t="n">
        <v>66</v>
      </c>
      <c r="O123" s="6" t="n">
        <v>86</v>
      </c>
      <c r="P123" s="6" t="s">
        <v>42</v>
      </c>
      <c r="Q123" s="7" t="n">
        <v>86</v>
      </c>
      <c r="R123" s="8" t="n">
        <v>79</v>
      </c>
      <c r="S123" s="8" t="s">
        <v>43</v>
      </c>
      <c r="T123" s="9" t="n">
        <v>79</v>
      </c>
      <c r="U123" s="10" t="n">
        <v>69</v>
      </c>
      <c r="V123" s="10" t="s">
        <v>44</v>
      </c>
      <c r="W123" s="11" t="n">
        <v>69</v>
      </c>
      <c r="X123" s="12" t="n">
        <v>66</v>
      </c>
      <c r="Y123" s="12" t="s">
        <v>44</v>
      </c>
      <c r="Z123" s="13" t="n">
        <v>66</v>
      </c>
      <c r="AA123" s="14" t="n">
        <v>61</v>
      </c>
      <c r="AB123" s="14" t="s">
        <v>44</v>
      </c>
      <c r="AC123" s="15" t="n">
        <v>61</v>
      </c>
      <c r="AD123" s="2" t="n">
        <f aca="false">SUM(L123,O123,R123,U123,X123,AA123)</f>
        <v>427</v>
      </c>
      <c r="AE123" s="16" t="n">
        <f aca="false">AD123/6</f>
        <v>71.1666666666667</v>
      </c>
      <c r="AF123" s="2" t="str">
        <f aca="false">IF(SUM(COUNTIF(M123,"RA"),COUNTIF(P123,"RA"),COUNTIF(S123,"RA"),COUNTIF(V123,"RA"),COUNTIF(Y123,"RA"),COUNTIF(AB123,"RA"))&gt;0,"FAIL","PASS")</f>
        <v>PASS</v>
      </c>
    </row>
    <row r="124" customFormat="false" ht="15" hidden="false" customHeight="false" outlineLevel="0" collapsed="false">
      <c r="A124" s="2" t="n">
        <v>123</v>
      </c>
      <c r="B124" s="3" t="s">
        <v>769</v>
      </c>
      <c r="C124" s="2" t="s">
        <v>770</v>
      </c>
      <c r="D124" s="2" t="s">
        <v>771</v>
      </c>
      <c r="E124" s="2" t="s">
        <v>35</v>
      </c>
      <c r="F124" s="2" t="s">
        <v>36</v>
      </c>
      <c r="G124" s="2" t="s">
        <v>48</v>
      </c>
      <c r="H124" s="2" t="s">
        <v>772</v>
      </c>
      <c r="I124" s="3" t="s">
        <v>773</v>
      </c>
      <c r="J124" s="2" t="s">
        <v>774</v>
      </c>
      <c r="K124" s="2" t="s">
        <v>775</v>
      </c>
      <c r="L124" s="4" t="n">
        <v>95</v>
      </c>
      <c r="M124" s="4" t="s">
        <v>54</v>
      </c>
      <c r="N124" s="5" t="n">
        <v>95</v>
      </c>
      <c r="O124" s="6" t="n">
        <v>72</v>
      </c>
      <c r="P124" s="6" t="s">
        <v>43</v>
      </c>
      <c r="Q124" s="7" t="n">
        <v>72</v>
      </c>
      <c r="R124" s="8" t="n">
        <v>69</v>
      </c>
      <c r="S124" s="8" t="s">
        <v>44</v>
      </c>
      <c r="T124" s="9" t="n">
        <v>69</v>
      </c>
      <c r="U124" s="10" t="n">
        <v>55</v>
      </c>
      <c r="V124" s="10" t="s">
        <v>53</v>
      </c>
      <c r="W124" s="11" t="n">
        <v>55</v>
      </c>
      <c r="X124" s="12" t="n">
        <v>58</v>
      </c>
      <c r="Y124" s="12" t="s">
        <v>53</v>
      </c>
      <c r="Z124" s="13" t="n">
        <v>58</v>
      </c>
      <c r="AA124" s="14" t="n">
        <v>84</v>
      </c>
      <c r="AB124" s="14" t="s">
        <v>42</v>
      </c>
      <c r="AC124" s="15" t="n">
        <v>84</v>
      </c>
      <c r="AD124" s="2" t="n">
        <f aca="false">SUM(L124,O124,R124,U124,X124,AA124)</f>
        <v>433</v>
      </c>
      <c r="AE124" s="16" t="n">
        <f aca="false">AD124/6</f>
        <v>72.1666666666667</v>
      </c>
      <c r="AF124" s="2" t="str">
        <f aca="false">IF(SUM(COUNTIF(M124,"RA"),COUNTIF(P124,"RA"),COUNTIF(S124,"RA"),COUNTIF(V124,"RA"),COUNTIF(Y124,"RA"),COUNTIF(AB124,"RA"))&gt;0,"FAIL","PASS")</f>
        <v>PASS</v>
      </c>
    </row>
    <row r="125" customFormat="false" ht="15" hidden="false" customHeight="false" outlineLevel="0" collapsed="false">
      <c r="A125" s="2" t="n">
        <v>124</v>
      </c>
      <c r="B125" s="3" t="s">
        <v>776</v>
      </c>
      <c r="C125" s="2" t="s">
        <v>757</v>
      </c>
      <c r="D125" s="2" t="s">
        <v>777</v>
      </c>
      <c r="E125" s="2" t="s">
        <v>35</v>
      </c>
      <c r="F125" s="2" t="s">
        <v>36</v>
      </c>
      <c r="G125" s="2" t="s">
        <v>37</v>
      </c>
      <c r="H125" s="2" t="s">
        <v>778</v>
      </c>
      <c r="I125" s="3" t="s">
        <v>779</v>
      </c>
      <c r="J125" s="2" t="s">
        <v>780</v>
      </c>
      <c r="K125" s="2" t="s">
        <v>781</v>
      </c>
      <c r="L125" s="4" t="n">
        <v>80</v>
      </c>
      <c r="M125" s="4" t="s">
        <v>42</v>
      </c>
      <c r="N125" s="5" t="n">
        <v>80</v>
      </c>
      <c r="O125" s="6" t="n">
        <v>65</v>
      </c>
      <c r="P125" s="6" t="s">
        <v>44</v>
      </c>
      <c r="Q125" s="7" t="n">
        <v>65</v>
      </c>
      <c r="R125" s="8" t="n">
        <v>76</v>
      </c>
      <c r="S125" s="8" t="s">
        <v>43</v>
      </c>
      <c r="T125" s="9" t="n">
        <v>76</v>
      </c>
      <c r="U125" s="10" t="n">
        <v>84</v>
      </c>
      <c r="V125" s="10" t="s">
        <v>42</v>
      </c>
      <c r="W125" s="11" t="n">
        <v>84</v>
      </c>
      <c r="X125" s="12" t="n">
        <v>79</v>
      </c>
      <c r="Y125" s="12" t="s">
        <v>43</v>
      </c>
      <c r="Z125" s="13" t="n">
        <v>79</v>
      </c>
      <c r="AA125" s="14" t="n">
        <v>90</v>
      </c>
      <c r="AB125" s="14" t="s">
        <v>54</v>
      </c>
      <c r="AC125" s="15" t="n">
        <v>90</v>
      </c>
      <c r="AD125" s="2" t="n">
        <f aca="false">SUM(L125,O125,R125,U125,X125,AA125)</f>
        <v>474</v>
      </c>
      <c r="AE125" s="16" t="n">
        <f aca="false">AD125/6</f>
        <v>79</v>
      </c>
      <c r="AF125" s="2" t="str">
        <f aca="false">IF(SUM(COUNTIF(M125,"RA"),COUNTIF(P125,"RA"),COUNTIF(S125,"RA"),COUNTIF(V125,"RA"),COUNTIF(Y125,"RA"),COUNTIF(AB125,"RA"))&gt;0,"FAIL","PASS")</f>
        <v>PASS</v>
      </c>
    </row>
    <row r="126" customFormat="false" ht="15" hidden="false" customHeight="false" outlineLevel="0" collapsed="false">
      <c r="A126" s="2" t="n">
        <v>125</v>
      </c>
      <c r="B126" s="3" t="s">
        <v>782</v>
      </c>
      <c r="C126" s="2" t="s">
        <v>783</v>
      </c>
      <c r="D126" s="2" t="s">
        <v>784</v>
      </c>
      <c r="E126" s="2" t="s">
        <v>35</v>
      </c>
      <c r="F126" s="2" t="s">
        <v>36</v>
      </c>
      <c r="G126" s="2" t="s">
        <v>91</v>
      </c>
      <c r="H126" s="2" t="s">
        <v>785</v>
      </c>
      <c r="I126" s="3" t="s">
        <v>786</v>
      </c>
      <c r="J126" s="2" t="s">
        <v>787</v>
      </c>
      <c r="K126" s="2" t="s">
        <v>788</v>
      </c>
      <c r="L126" s="4" t="n">
        <v>82</v>
      </c>
      <c r="M126" s="4" t="s">
        <v>42</v>
      </c>
      <c r="N126" s="5" t="n">
        <v>82</v>
      </c>
      <c r="O126" s="6" t="n">
        <v>88</v>
      </c>
      <c r="P126" s="6" t="s">
        <v>42</v>
      </c>
      <c r="Q126" s="7" t="n">
        <v>88</v>
      </c>
      <c r="R126" s="8" t="n">
        <v>87</v>
      </c>
      <c r="S126" s="8" t="s">
        <v>42</v>
      </c>
      <c r="T126" s="9" t="n">
        <v>87</v>
      </c>
      <c r="U126" s="10" t="n">
        <v>90</v>
      </c>
      <c r="V126" s="10" t="s">
        <v>54</v>
      </c>
      <c r="W126" s="11" t="n">
        <v>90</v>
      </c>
      <c r="X126" s="12" t="n">
        <v>77</v>
      </c>
      <c r="Y126" s="12" t="s">
        <v>43</v>
      </c>
      <c r="Z126" s="13" t="n">
        <v>77</v>
      </c>
      <c r="AA126" s="14" t="n">
        <v>73</v>
      </c>
      <c r="AB126" s="14" t="s">
        <v>43</v>
      </c>
      <c r="AC126" s="15" t="n">
        <v>73</v>
      </c>
      <c r="AD126" s="2" t="n">
        <f aca="false">SUM(L126,O126,R126,U126,X126,AA126)</f>
        <v>497</v>
      </c>
      <c r="AE126" s="16" t="n">
        <f aca="false">AD126/6</f>
        <v>82.8333333333333</v>
      </c>
      <c r="AF126" s="2" t="str">
        <f aca="false">IF(SUM(COUNTIF(M126,"RA"),COUNTIF(P126,"RA"),COUNTIF(S126,"RA"),COUNTIF(V126,"RA"),COUNTIF(Y126,"RA"),COUNTIF(AB126,"RA"))&gt;0,"FAIL","PASS")</f>
        <v>PASS</v>
      </c>
    </row>
    <row r="127" customFormat="false" ht="15" hidden="false" customHeight="false" outlineLevel="0" collapsed="false">
      <c r="A127" s="2" t="n">
        <v>126</v>
      </c>
      <c r="B127" s="3" t="s">
        <v>789</v>
      </c>
      <c r="C127" s="2" t="s">
        <v>790</v>
      </c>
      <c r="D127" s="2" t="s">
        <v>791</v>
      </c>
      <c r="E127" s="2" t="s">
        <v>57</v>
      </c>
      <c r="F127" s="2" t="s">
        <v>36</v>
      </c>
      <c r="G127" s="2" t="s">
        <v>71</v>
      </c>
      <c r="H127" s="2" t="s">
        <v>792</v>
      </c>
      <c r="I127" s="3" t="s">
        <v>793</v>
      </c>
      <c r="J127" s="2" t="s">
        <v>794</v>
      </c>
      <c r="K127" s="2" t="s">
        <v>795</v>
      </c>
      <c r="L127" s="4" t="n">
        <v>95</v>
      </c>
      <c r="M127" s="4" t="s">
        <v>54</v>
      </c>
      <c r="N127" s="5" t="n">
        <v>95</v>
      </c>
      <c r="O127" s="6" t="n">
        <v>63</v>
      </c>
      <c r="P127" s="6" t="s">
        <v>44</v>
      </c>
      <c r="Q127" s="7" t="n">
        <v>63</v>
      </c>
      <c r="R127" s="8" t="n">
        <v>98</v>
      </c>
      <c r="S127" s="8" t="s">
        <v>54</v>
      </c>
      <c r="T127" s="9" t="n">
        <v>98</v>
      </c>
      <c r="U127" s="10" t="n">
        <v>79</v>
      </c>
      <c r="V127" s="10" t="s">
        <v>43</v>
      </c>
      <c r="W127" s="11" t="n">
        <v>79</v>
      </c>
      <c r="X127" s="12" t="n">
        <v>92</v>
      </c>
      <c r="Y127" s="12" t="s">
        <v>54</v>
      </c>
      <c r="Z127" s="13" t="n">
        <v>92</v>
      </c>
      <c r="AA127" s="14" t="n">
        <v>91</v>
      </c>
      <c r="AB127" s="14" t="s">
        <v>54</v>
      </c>
      <c r="AC127" s="15" t="n">
        <v>91</v>
      </c>
      <c r="AD127" s="2" t="n">
        <f aca="false">SUM(L127,O127,R127,U127,X127,AA127)</f>
        <v>518</v>
      </c>
      <c r="AE127" s="16" t="n">
        <f aca="false">AD127/6</f>
        <v>86.3333333333333</v>
      </c>
      <c r="AF127" s="2" t="str">
        <f aca="false">IF(SUM(COUNTIF(M127,"RA"),COUNTIF(P127,"RA"),COUNTIF(S127,"RA"),COUNTIF(V127,"RA"),COUNTIF(Y127,"RA"),COUNTIF(AB127,"RA"))&gt;0,"FAIL","PASS")</f>
        <v>PASS</v>
      </c>
    </row>
    <row r="128" customFormat="false" ht="15" hidden="false" customHeight="false" outlineLevel="0" collapsed="false">
      <c r="A128" s="2" t="n">
        <v>127</v>
      </c>
      <c r="B128" s="3" t="s">
        <v>796</v>
      </c>
      <c r="C128" s="2" t="s">
        <v>770</v>
      </c>
      <c r="D128" s="2" t="s">
        <v>797</v>
      </c>
      <c r="E128" s="2" t="s">
        <v>57</v>
      </c>
      <c r="F128" s="2" t="s">
        <v>36</v>
      </c>
      <c r="G128" s="2" t="s">
        <v>71</v>
      </c>
      <c r="H128" s="2" t="s">
        <v>798</v>
      </c>
      <c r="I128" s="3" t="s">
        <v>799</v>
      </c>
      <c r="J128" s="2" t="s">
        <v>800</v>
      </c>
      <c r="K128" s="2" t="s">
        <v>801</v>
      </c>
      <c r="L128" s="4" t="n">
        <v>79</v>
      </c>
      <c r="M128" s="4" t="s">
        <v>43</v>
      </c>
      <c r="N128" s="5" t="n">
        <v>79</v>
      </c>
      <c r="O128" s="6" t="n">
        <v>84</v>
      </c>
      <c r="P128" s="6" t="s">
        <v>42</v>
      </c>
      <c r="Q128" s="7" t="n">
        <v>84</v>
      </c>
      <c r="R128" s="8" t="n">
        <v>56</v>
      </c>
      <c r="S128" s="8" t="s">
        <v>53</v>
      </c>
      <c r="T128" s="9" t="n">
        <v>56</v>
      </c>
      <c r="U128" s="10" t="n">
        <v>58</v>
      </c>
      <c r="V128" s="10" t="s">
        <v>53</v>
      </c>
      <c r="W128" s="11" t="n">
        <v>58</v>
      </c>
      <c r="X128" s="12" t="n">
        <v>74</v>
      </c>
      <c r="Y128" s="12" t="s">
        <v>43</v>
      </c>
      <c r="Z128" s="13" t="n">
        <v>74</v>
      </c>
      <c r="AA128" s="14" t="n">
        <v>71</v>
      </c>
      <c r="AB128" s="14" t="s">
        <v>43</v>
      </c>
      <c r="AC128" s="15" t="n">
        <v>71</v>
      </c>
      <c r="AD128" s="2" t="n">
        <f aca="false">SUM(L128,O128,R128,U128,X128,AA128)</f>
        <v>422</v>
      </c>
      <c r="AE128" s="16" t="n">
        <f aca="false">AD128/6</f>
        <v>70.3333333333333</v>
      </c>
      <c r="AF128" s="2" t="str">
        <f aca="false">IF(SUM(COUNTIF(M128,"RA"),COUNTIF(P128,"RA"),COUNTIF(S128,"RA"),COUNTIF(V128,"RA"),COUNTIF(Y128,"RA"),COUNTIF(AB128,"RA"))&gt;0,"FAIL","PASS")</f>
        <v>PASS</v>
      </c>
    </row>
    <row r="129" customFormat="false" ht="15" hidden="false" customHeight="false" outlineLevel="0" collapsed="false">
      <c r="A129" s="2" t="n">
        <v>128</v>
      </c>
      <c r="B129" s="3" t="s">
        <v>802</v>
      </c>
      <c r="C129" s="2" t="s">
        <v>803</v>
      </c>
      <c r="D129" s="2" t="s">
        <v>804</v>
      </c>
      <c r="E129" s="2" t="s">
        <v>35</v>
      </c>
      <c r="F129" s="2" t="s">
        <v>36</v>
      </c>
      <c r="G129" s="2" t="s">
        <v>37</v>
      </c>
      <c r="H129" s="2" t="s">
        <v>805</v>
      </c>
      <c r="I129" s="3" t="s">
        <v>806</v>
      </c>
      <c r="J129" s="2" t="s">
        <v>807</v>
      </c>
      <c r="K129" s="2" t="s">
        <v>808</v>
      </c>
      <c r="L129" s="4" t="n">
        <v>91</v>
      </c>
      <c r="M129" s="4" t="s">
        <v>54</v>
      </c>
      <c r="N129" s="5" t="n">
        <v>91</v>
      </c>
      <c r="O129" s="6" t="n">
        <v>44</v>
      </c>
      <c r="P129" s="6" t="s">
        <v>45</v>
      </c>
      <c r="Q129" s="7" t="n">
        <v>44</v>
      </c>
      <c r="R129" s="8" t="n">
        <v>69</v>
      </c>
      <c r="S129" s="8" t="s">
        <v>44</v>
      </c>
      <c r="T129" s="9" t="n">
        <v>69</v>
      </c>
      <c r="U129" s="10" t="n">
        <v>60</v>
      </c>
      <c r="V129" s="10" t="s">
        <v>44</v>
      </c>
      <c r="W129" s="11" t="n">
        <v>60</v>
      </c>
      <c r="X129" s="12" t="n">
        <v>92</v>
      </c>
      <c r="Y129" s="12" t="s">
        <v>54</v>
      </c>
      <c r="Z129" s="13" t="n">
        <v>92</v>
      </c>
      <c r="AA129" s="14" t="n">
        <v>80</v>
      </c>
      <c r="AB129" s="14" t="s">
        <v>42</v>
      </c>
      <c r="AC129" s="15" t="n">
        <v>80</v>
      </c>
      <c r="AD129" s="2" t="n">
        <f aca="false">SUM(L129,O129,R129,U129,X129,AA129)</f>
        <v>436</v>
      </c>
      <c r="AE129" s="16" t="n">
        <f aca="false">AD129/6</f>
        <v>72.6666666666667</v>
      </c>
      <c r="AF129" s="2" t="str">
        <f aca="false">IF(SUM(COUNTIF(M129,"RA"),COUNTIF(P129,"RA"),COUNTIF(S129,"RA"),COUNTIF(V129,"RA"),COUNTIF(Y129,"RA"),COUNTIF(AB129,"RA"))&gt;0,"FAIL","PASS")</f>
        <v>FAIL</v>
      </c>
    </row>
    <row r="130" customFormat="false" ht="15" hidden="false" customHeight="false" outlineLevel="0" collapsed="false">
      <c r="A130" s="2" t="n">
        <v>129</v>
      </c>
      <c r="B130" s="3" t="s">
        <v>809</v>
      </c>
      <c r="C130" s="2" t="s">
        <v>757</v>
      </c>
      <c r="D130" s="2" t="s">
        <v>810</v>
      </c>
      <c r="E130" s="2" t="s">
        <v>35</v>
      </c>
      <c r="F130" s="2" t="s">
        <v>36</v>
      </c>
      <c r="G130" s="2" t="s">
        <v>64</v>
      </c>
      <c r="H130" s="2" t="s">
        <v>811</v>
      </c>
      <c r="I130" s="3" t="s">
        <v>812</v>
      </c>
      <c r="J130" s="2" t="s">
        <v>813</v>
      </c>
      <c r="K130" s="2" t="s">
        <v>814</v>
      </c>
      <c r="L130" s="4" t="n">
        <v>70</v>
      </c>
      <c r="M130" s="4" t="s">
        <v>43</v>
      </c>
      <c r="N130" s="5" t="n">
        <v>70</v>
      </c>
      <c r="O130" s="6" t="n">
        <v>64</v>
      </c>
      <c r="P130" s="6" t="s">
        <v>44</v>
      </c>
      <c r="Q130" s="7" t="n">
        <v>64</v>
      </c>
      <c r="R130" s="8" t="n">
        <v>47</v>
      </c>
      <c r="S130" s="8" t="s">
        <v>45</v>
      </c>
      <c r="T130" s="9" t="n">
        <v>47</v>
      </c>
      <c r="U130" s="10" t="n">
        <v>73</v>
      </c>
      <c r="V130" s="10" t="s">
        <v>43</v>
      </c>
      <c r="W130" s="11" t="n">
        <v>73</v>
      </c>
      <c r="X130" s="12" t="n">
        <v>64</v>
      </c>
      <c r="Y130" s="12" t="s">
        <v>44</v>
      </c>
      <c r="Z130" s="13" t="n">
        <v>64</v>
      </c>
      <c r="AA130" s="14" t="n">
        <v>49</v>
      </c>
      <c r="AB130" s="14" t="s">
        <v>45</v>
      </c>
      <c r="AC130" s="15" t="n">
        <v>49</v>
      </c>
      <c r="AD130" s="2" t="n">
        <f aca="false">SUM(L130,O130,R130,U130,X130,AA130)</f>
        <v>367</v>
      </c>
      <c r="AE130" s="16" t="n">
        <f aca="false">AD130/6</f>
        <v>61.1666666666667</v>
      </c>
      <c r="AF130" s="2" t="str">
        <f aca="false">IF(SUM(COUNTIF(M130,"RA"),COUNTIF(P130,"RA"),COUNTIF(S130,"RA"),COUNTIF(V130,"RA"),COUNTIF(Y130,"RA"),COUNTIF(AB130,"RA"))&gt;0,"FAIL","PASS")</f>
        <v>FAIL</v>
      </c>
    </row>
    <row r="131" customFormat="false" ht="15" hidden="false" customHeight="false" outlineLevel="0" collapsed="false">
      <c r="A131" s="2" t="n">
        <v>130</v>
      </c>
      <c r="B131" s="3" t="s">
        <v>815</v>
      </c>
      <c r="C131" s="2" t="s">
        <v>816</v>
      </c>
      <c r="D131" s="2" t="s">
        <v>817</v>
      </c>
      <c r="E131" s="2" t="s">
        <v>35</v>
      </c>
      <c r="F131" s="2" t="s">
        <v>36</v>
      </c>
      <c r="G131" s="2" t="s">
        <v>42</v>
      </c>
      <c r="H131" s="2" t="s">
        <v>818</v>
      </c>
      <c r="I131" s="3" t="s">
        <v>819</v>
      </c>
      <c r="J131" s="2" t="s">
        <v>820</v>
      </c>
      <c r="K131" s="2" t="s">
        <v>821</v>
      </c>
      <c r="L131" s="4" t="n">
        <v>45</v>
      </c>
      <c r="M131" s="4" t="s">
        <v>45</v>
      </c>
      <c r="N131" s="5" t="n">
        <v>45</v>
      </c>
      <c r="O131" s="6" t="n">
        <v>85</v>
      </c>
      <c r="P131" s="6" t="s">
        <v>42</v>
      </c>
      <c r="Q131" s="7" t="n">
        <v>85</v>
      </c>
      <c r="R131" s="8" t="n">
        <v>89</v>
      </c>
      <c r="S131" s="8" t="s">
        <v>42</v>
      </c>
      <c r="T131" s="9" t="n">
        <v>89</v>
      </c>
      <c r="U131" s="10" t="n">
        <v>67</v>
      </c>
      <c r="V131" s="10" t="s">
        <v>44</v>
      </c>
      <c r="W131" s="11" t="n">
        <v>67</v>
      </c>
      <c r="X131" s="12" t="n">
        <v>100</v>
      </c>
      <c r="Y131" s="12" t="s">
        <v>54</v>
      </c>
      <c r="Z131" s="13" t="n">
        <v>100</v>
      </c>
      <c r="AA131" s="14" t="n">
        <v>60</v>
      </c>
      <c r="AB131" s="14" t="s">
        <v>44</v>
      </c>
      <c r="AC131" s="15" t="n">
        <v>60</v>
      </c>
      <c r="AD131" s="2" t="n">
        <f aca="false">SUM(L131,O131,R131,U131,X131,AA131)</f>
        <v>446</v>
      </c>
      <c r="AE131" s="16" t="n">
        <f aca="false">AD131/6</f>
        <v>74.3333333333333</v>
      </c>
      <c r="AF131" s="2" t="str">
        <f aca="false">IF(SUM(COUNTIF(M131,"RA"),COUNTIF(P131,"RA"),COUNTIF(S131,"RA"),COUNTIF(V131,"RA"),COUNTIF(Y131,"RA"),COUNTIF(AB131,"RA"))&gt;0,"FAIL","PASS")</f>
        <v>FAIL</v>
      </c>
    </row>
    <row r="132" customFormat="false" ht="15" hidden="false" customHeight="false" outlineLevel="0" collapsed="false">
      <c r="A132" s="2" t="n">
        <v>131</v>
      </c>
      <c r="B132" s="3" t="s">
        <v>822</v>
      </c>
      <c r="C132" s="2" t="s">
        <v>790</v>
      </c>
      <c r="D132" s="2" t="s">
        <v>823</v>
      </c>
      <c r="E132" s="2" t="s">
        <v>35</v>
      </c>
      <c r="F132" s="2" t="s">
        <v>36</v>
      </c>
      <c r="G132" s="2" t="s">
        <v>91</v>
      </c>
      <c r="H132" s="2" t="s">
        <v>824</v>
      </c>
      <c r="I132" s="3" t="s">
        <v>825</v>
      </c>
      <c r="J132" s="2" t="s">
        <v>826</v>
      </c>
      <c r="K132" s="2" t="s">
        <v>827</v>
      </c>
      <c r="L132" s="4" t="n">
        <v>76</v>
      </c>
      <c r="M132" s="4" t="s">
        <v>43</v>
      </c>
      <c r="N132" s="5" t="n">
        <v>76</v>
      </c>
      <c r="O132" s="6" t="n">
        <v>69</v>
      </c>
      <c r="P132" s="6" t="s">
        <v>44</v>
      </c>
      <c r="Q132" s="7" t="n">
        <v>69</v>
      </c>
      <c r="R132" s="8" t="n">
        <v>78</v>
      </c>
      <c r="S132" s="8" t="s">
        <v>43</v>
      </c>
      <c r="T132" s="9" t="n">
        <v>78</v>
      </c>
      <c r="U132" s="10" t="n">
        <v>83</v>
      </c>
      <c r="V132" s="10" t="s">
        <v>42</v>
      </c>
      <c r="W132" s="11" t="n">
        <v>83</v>
      </c>
      <c r="X132" s="12" t="n">
        <v>67</v>
      </c>
      <c r="Y132" s="12" t="s">
        <v>44</v>
      </c>
      <c r="Z132" s="13" t="n">
        <v>67</v>
      </c>
      <c r="AA132" s="14" t="n">
        <v>67</v>
      </c>
      <c r="AB132" s="14" t="s">
        <v>44</v>
      </c>
      <c r="AC132" s="15" t="n">
        <v>67</v>
      </c>
      <c r="AD132" s="2" t="n">
        <f aca="false">SUM(L132,O132,R132,U132,X132,AA132)</f>
        <v>440</v>
      </c>
      <c r="AE132" s="16" t="n">
        <f aca="false">AD132/6</f>
        <v>73.3333333333333</v>
      </c>
      <c r="AF132" s="2" t="str">
        <f aca="false">IF(SUM(COUNTIF(M132,"RA"),COUNTIF(P132,"RA"),COUNTIF(S132,"RA"),COUNTIF(V132,"RA"),COUNTIF(Y132,"RA"),COUNTIF(AB132,"RA"))&gt;0,"FAIL","PASS")</f>
        <v>PASS</v>
      </c>
    </row>
    <row r="133" customFormat="false" ht="15" hidden="false" customHeight="false" outlineLevel="0" collapsed="false">
      <c r="A133" s="2" t="n">
        <v>132</v>
      </c>
      <c r="B133" s="3" t="s">
        <v>828</v>
      </c>
      <c r="C133" s="2" t="s">
        <v>790</v>
      </c>
      <c r="D133" s="2" t="s">
        <v>829</v>
      </c>
      <c r="E133" s="2" t="s">
        <v>35</v>
      </c>
      <c r="F133" s="2" t="s">
        <v>36</v>
      </c>
      <c r="G133" s="2" t="s">
        <v>71</v>
      </c>
      <c r="H133" s="2" t="s">
        <v>830</v>
      </c>
      <c r="I133" s="3" t="s">
        <v>831</v>
      </c>
      <c r="J133" s="2" t="s">
        <v>832</v>
      </c>
      <c r="K133" s="2" t="s">
        <v>833</v>
      </c>
      <c r="L133" s="4" t="n">
        <v>69</v>
      </c>
      <c r="M133" s="4" t="s">
        <v>44</v>
      </c>
      <c r="N133" s="5" t="n">
        <v>69</v>
      </c>
      <c r="O133" s="6" t="n">
        <v>64</v>
      </c>
      <c r="P133" s="6" t="s">
        <v>44</v>
      </c>
      <c r="Q133" s="7" t="n">
        <v>64</v>
      </c>
      <c r="R133" s="8" t="n">
        <v>56</v>
      </c>
      <c r="S133" s="8" t="s">
        <v>53</v>
      </c>
      <c r="T133" s="9" t="n">
        <v>56</v>
      </c>
      <c r="U133" s="10" t="n">
        <v>91</v>
      </c>
      <c r="V133" s="10" t="s">
        <v>54</v>
      </c>
      <c r="W133" s="11" t="n">
        <v>91</v>
      </c>
      <c r="X133" s="12" t="n">
        <v>75</v>
      </c>
      <c r="Y133" s="12" t="s">
        <v>43</v>
      </c>
      <c r="Z133" s="13" t="n">
        <v>75</v>
      </c>
      <c r="AA133" s="14" t="n">
        <v>64</v>
      </c>
      <c r="AB133" s="14" t="s">
        <v>44</v>
      </c>
      <c r="AC133" s="15" t="n">
        <v>64</v>
      </c>
      <c r="AD133" s="2" t="n">
        <f aca="false">SUM(L133,O133,R133,U133,X133,AA133)</f>
        <v>419</v>
      </c>
      <c r="AE133" s="16" t="n">
        <f aca="false">AD133/6</f>
        <v>69.8333333333333</v>
      </c>
      <c r="AF133" s="2" t="str">
        <f aca="false">IF(SUM(COUNTIF(M133,"RA"),COUNTIF(P133,"RA"),COUNTIF(S133,"RA"),COUNTIF(V133,"RA"),COUNTIF(Y133,"RA"),COUNTIF(AB133,"RA"))&gt;0,"FAIL","PASS")</f>
        <v>PASS</v>
      </c>
    </row>
    <row r="134" customFormat="false" ht="15" hidden="false" customHeight="false" outlineLevel="0" collapsed="false">
      <c r="A134" s="2" t="n">
        <v>133</v>
      </c>
      <c r="B134" s="3" t="s">
        <v>834</v>
      </c>
      <c r="C134" s="2" t="s">
        <v>757</v>
      </c>
      <c r="D134" s="2" t="s">
        <v>835</v>
      </c>
      <c r="E134" s="2" t="s">
        <v>57</v>
      </c>
      <c r="F134" s="2" t="s">
        <v>36</v>
      </c>
      <c r="G134" s="2" t="s">
        <v>44</v>
      </c>
      <c r="H134" s="2" t="s">
        <v>836</v>
      </c>
      <c r="I134" s="3" t="s">
        <v>837</v>
      </c>
      <c r="J134" s="2" t="s">
        <v>838</v>
      </c>
      <c r="K134" s="2" t="s">
        <v>839</v>
      </c>
      <c r="L134" s="4" t="n">
        <v>84</v>
      </c>
      <c r="M134" s="4" t="s">
        <v>42</v>
      </c>
      <c r="N134" s="5" t="n">
        <v>84</v>
      </c>
      <c r="O134" s="6" t="n">
        <v>60</v>
      </c>
      <c r="P134" s="6" t="s">
        <v>44</v>
      </c>
      <c r="Q134" s="7" t="n">
        <v>60</v>
      </c>
      <c r="R134" s="8" t="n">
        <v>73</v>
      </c>
      <c r="S134" s="8" t="s">
        <v>43</v>
      </c>
      <c r="T134" s="9" t="n">
        <v>73</v>
      </c>
      <c r="U134" s="10" t="n">
        <v>72</v>
      </c>
      <c r="V134" s="10" t="s">
        <v>43</v>
      </c>
      <c r="W134" s="11" t="n">
        <v>72</v>
      </c>
      <c r="X134" s="12" t="n">
        <v>76</v>
      </c>
      <c r="Y134" s="12" t="s">
        <v>43</v>
      </c>
      <c r="Z134" s="13" t="n">
        <v>76</v>
      </c>
      <c r="AA134" s="14" t="n">
        <v>62</v>
      </c>
      <c r="AB134" s="14" t="s">
        <v>44</v>
      </c>
      <c r="AC134" s="15" t="n">
        <v>62</v>
      </c>
      <c r="AD134" s="2" t="n">
        <f aca="false">SUM(L134,O134,R134,U134,X134,AA134)</f>
        <v>427</v>
      </c>
      <c r="AE134" s="16" t="n">
        <f aca="false">AD134/6</f>
        <v>71.1666666666667</v>
      </c>
      <c r="AF134" s="2" t="str">
        <f aca="false">IF(SUM(COUNTIF(M134,"RA"),COUNTIF(P134,"RA"),COUNTIF(S134,"RA"),COUNTIF(V134,"RA"),COUNTIF(Y134,"RA"),COUNTIF(AB134,"RA"))&gt;0,"FAIL","PASS")</f>
        <v>PASS</v>
      </c>
    </row>
    <row r="135" customFormat="false" ht="15" hidden="false" customHeight="false" outlineLevel="0" collapsed="false">
      <c r="A135" s="2" t="n">
        <v>134</v>
      </c>
      <c r="B135" s="3" t="s">
        <v>840</v>
      </c>
      <c r="C135" s="2" t="s">
        <v>841</v>
      </c>
      <c r="D135" s="2" t="s">
        <v>842</v>
      </c>
      <c r="E135" s="2" t="s">
        <v>57</v>
      </c>
      <c r="F135" s="2" t="s">
        <v>36</v>
      </c>
      <c r="G135" s="2" t="s">
        <v>91</v>
      </c>
      <c r="H135" s="2" t="s">
        <v>843</v>
      </c>
      <c r="I135" s="3" t="s">
        <v>844</v>
      </c>
      <c r="J135" s="2" t="s">
        <v>845</v>
      </c>
      <c r="K135" s="2" t="s">
        <v>846</v>
      </c>
      <c r="L135" s="4" t="n">
        <v>60</v>
      </c>
      <c r="M135" s="4" t="s">
        <v>44</v>
      </c>
      <c r="N135" s="5" t="n">
        <v>60</v>
      </c>
      <c r="O135" s="6" t="n">
        <v>64</v>
      </c>
      <c r="P135" s="6" t="s">
        <v>44</v>
      </c>
      <c r="Q135" s="7" t="n">
        <v>64</v>
      </c>
      <c r="R135" s="8" t="n">
        <v>67</v>
      </c>
      <c r="S135" s="8" t="s">
        <v>44</v>
      </c>
      <c r="T135" s="9" t="n">
        <v>67</v>
      </c>
      <c r="U135" s="10" t="n">
        <v>46</v>
      </c>
      <c r="V135" s="10" t="s">
        <v>45</v>
      </c>
      <c r="W135" s="11" t="n">
        <v>46</v>
      </c>
      <c r="X135" s="12" t="n">
        <v>77</v>
      </c>
      <c r="Y135" s="12" t="s">
        <v>43</v>
      </c>
      <c r="Z135" s="13" t="n">
        <v>77</v>
      </c>
      <c r="AA135" s="14" t="n">
        <v>92</v>
      </c>
      <c r="AB135" s="14" t="s">
        <v>54</v>
      </c>
      <c r="AC135" s="15" t="n">
        <v>92</v>
      </c>
      <c r="AD135" s="2" t="n">
        <f aca="false">SUM(L135,O135,R135,U135,X135,AA135)</f>
        <v>406</v>
      </c>
      <c r="AE135" s="16" t="n">
        <f aca="false">AD135/6</f>
        <v>67.6666666666667</v>
      </c>
      <c r="AF135" s="2" t="str">
        <f aca="false">IF(SUM(COUNTIF(M135,"RA"),COUNTIF(P135,"RA"),COUNTIF(S135,"RA"),COUNTIF(V135,"RA"),COUNTIF(Y135,"RA"),COUNTIF(AB135,"RA"))&gt;0,"FAIL","PASS")</f>
        <v>FAIL</v>
      </c>
    </row>
    <row r="136" customFormat="false" ht="15" hidden="false" customHeight="false" outlineLevel="0" collapsed="false">
      <c r="A136" s="2" t="n">
        <v>135</v>
      </c>
      <c r="B136" s="3" t="s">
        <v>847</v>
      </c>
      <c r="C136" s="2" t="s">
        <v>790</v>
      </c>
      <c r="D136" s="2" t="s">
        <v>848</v>
      </c>
      <c r="E136" s="2" t="s">
        <v>57</v>
      </c>
      <c r="F136" s="2" t="s">
        <v>36</v>
      </c>
      <c r="G136" s="2" t="s">
        <v>71</v>
      </c>
      <c r="H136" s="2" t="s">
        <v>849</v>
      </c>
      <c r="I136" s="3" t="s">
        <v>850</v>
      </c>
      <c r="J136" s="2" t="s">
        <v>851</v>
      </c>
      <c r="K136" s="2" t="s">
        <v>852</v>
      </c>
      <c r="L136" s="4" t="n">
        <v>72</v>
      </c>
      <c r="M136" s="4" t="s">
        <v>43</v>
      </c>
      <c r="N136" s="5" t="n">
        <v>72</v>
      </c>
      <c r="O136" s="6" t="n">
        <v>87</v>
      </c>
      <c r="P136" s="6" t="s">
        <v>42</v>
      </c>
      <c r="Q136" s="7" t="n">
        <v>87</v>
      </c>
      <c r="R136" s="8" t="n">
        <v>65</v>
      </c>
      <c r="S136" s="8" t="s">
        <v>44</v>
      </c>
      <c r="T136" s="9" t="n">
        <v>65</v>
      </c>
      <c r="U136" s="10" t="n">
        <v>41</v>
      </c>
      <c r="V136" s="10" t="s">
        <v>45</v>
      </c>
      <c r="W136" s="11" t="n">
        <v>41</v>
      </c>
      <c r="X136" s="12" t="n">
        <v>75</v>
      </c>
      <c r="Y136" s="12" t="s">
        <v>43</v>
      </c>
      <c r="Z136" s="13" t="n">
        <v>75</v>
      </c>
      <c r="AA136" s="14" t="n">
        <v>86</v>
      </c>
      <c r="AB136" s="14" t="s">
        <v>42</v>
      </c>
      <c r="AC136" s="15" t="n">
        <v>86</v>
      </c>
      <c r="AD136" s="2" t="n">
        <f aca="false">SUM(L136,O136,R136,U136,X136,AA136)</f>
        <v>426</v>
      </c>
      <c r="AE136" s="16" t="n">
        <f aca="false">AD136/6</f>
        <v>71</v>
      </c>
      <c r="AF136" s="2" t="str">
        <f aca="false">IF(SUM(COUNTIF(M136,"RA"),COUNTIF(P136,"RA"),COUNTIF(S136,"RA"),COUNTIF(V136,"RA"),COUNTIF(Y136,"RA"),COUNTIF(AB136,"RA"))&gt;0,"FAIL","PASS")</f>
        <v>FAIL</v>
      </c>
    </row>
    <row r="137" customFormat="false" ht="15" hidden="false" customHeight="false" outlineLevel="0" collapsed="false">
      <c r="A137" s="2" t="n">
        <v>136</v>
      </c>
      <c r="B137" s="3" t="s">
        <v>853</v>
      </c>
      <c r="C137" s="2" t="s">
        <v>816</v>
      </c>
      <c r="D137" s="2" t="s">
        <v>854</v>
      </c>
      <c r="E137" s="2" t="s">
        <v>35</v>
      </c>
      <c r="F137" s="2" t="s">
        <v>36</v>
      </c>
      <c r="G137" s="2" t="s">
        <v>91</v>
      </c>
      <c r="H137" s="2" t="s">
        <v>772</v>
      </c>
      <c r="I137" s="3" t="s">
        <v>855</v>
      </c>
      <c r="J137" s="2" t="s">
        <v>856</v>
      </c>
      <c r="K137" s="2" t="s">
        <v>857</v>
      </c>
      <c r="L137" s="4" t="n">
        <v>64</v>
      </c>
      <c r="M137" s="4" t="s">
        <v>44</v>
      </c>
      <c r="N137" s="5" t="n">
        <v>64</v>
      </c>
      <c r="O137" s="6" t="n">
        <v>86</v>
      </c>
      <c r="P137" s="6" t="s">
        <v>42</v>
      </c>
      <c r="Q137" s="7" t="n">
        <v>86</v>
      </c>
      <c r="R137" s="8" t="n">
        <v>88</v>
      </c>
      <c r="S137" s="8" t="s">
        <v>42</v>
      </c>
      <c r="T137" s="9" t="n">
        <v>88</v>
      </c>
      <c r="U137" s="10" t="n">
        <v>70</v>
      </c>
      <c r="V137" s="10" t="s">
        <v>43</v>
      </c>
      <c r="W137" s="11" t="n">
        <v>70</v>
      </c>
      <c r="X137" s="12" t="n">
        <v>89</v>
      </c>
      <c r="Y137" s="12" t="s">
        <v>42</v>
      </c>
      <c r="Z137" s="13" t="n">
        <v>89</v>
      </c>
      <c r="AA137" s="14" t="n">
        <v>92</v>
      </c>
      <c r="AB137" s="14" t="s">
        <v>54</v>
      </c>
      <c r="AC137" s="15" t="n">
        <v>92</v>
      </c>
      <c r="AD137" s="2" t="n">
        <f aca="false">SUM(L137,O137,R137,U137,X137,AA137)</f>
        <v>489</v>
      </c>
      <c r="AE137" s="16" t="n">
        <f aca="false">AD137/6</f>
        <v>81.5</v>
      </c>
      <c r="AF137" s="2" t="str">
        <f aca="false">IF(SUM(COUNTIF(M137,"RA"),COUNTIF(P137,"RA"),COUNTIF(S137,"RA"),COUNTIF(V137,"RA"),COUNTIF(Y137,"RA"),COUNTIF(AB137,"RA"))&gt;0,"FAIL","PASS")</f>
        <v>PASS</v>
      </c>
    </row>
    <row r="138" customFormat="false" ht="15" hidden="false" customHeight="false" outlineLevel="0" collapsed="false">
      <c r="A138" s="2" t="n">
        <v>137</v>
      </c>
      <c r="B138" s="3" t="s">
        <v>858</v>
      </c>
      <c r="C138" s="2" t="s">
        <v>859</v>
      </c>
      <c r="D138" s="2" t="s">
        <v>860</v>
      </c>
      <c r="E138" s="2" t="s">
        <v>35</v>
      </c>
      <c r="F138" s="2" t="s">
        <v>36</v>
      </c>
      <c r="G138" s="2" t="s">
        <v>44</v>
      </c>
      <c r="H138" s="2" t="s">
        <v>473</v>
      </c>
      <c r="I138" s="3" t="s">
        <v>861</v>
      </c>
      <c r="J138" s="2" t="s">
        <v>862</v>
      </c>
      <c r="K138" s="2" t="s">
        <v>863</v>
      </c>
      <c r="L138" s="4" t="n">
        <v>55</v>
      </c>
      <c r="M138" s="4" t="s">
        <v>53</v>
      </c>
      <c r="N138" s="5" t="n">
        <v>55</v>
      </c>
      <c r="O138" s="6" t="n">
        <v>83</v>
      </c>
      <c r="P138" s="6" t="s">
        <v>42</v>
      </c>
      <c r="Q138" s="7" t="n">
        <v>83</v>
      </c>
      <c r="R138" s="8" t="n">
        <v>82</v>
      </c>
      <c r="S138" s="8" t="s">
        <v>42</v>
      </c>
      <c r="T138" s="9" t="n">
        <v>82</v>
      </c>
      <c r="U138" s="10" t="n">
        <v>60</v>
      </c>
      <c r="V138" s="10" t="s">
        <v>44</v>
      </c>
      <c r="W138" s="11" t="n">
        <v>60</v>
      </c>
      <c r="X138" s="12" t="n">
        <v>62</v>
      </c>
      <c r="Y138" s="12" t="s">
        <v>44</v>
      </c>
      <c r="Z138" s="13" t="n">
        <v>62</v>
      </c>
      <c r="AA138" s="14" t="n">
        <v>94</v>
      </c>
      <c r="AB138" s="14" t="s">
        <v>54</v>
      </c>
      <c r="AC138" s="15" t="n">
        <v>94</v>
      </c>
      <c r="AD138" s="2" t="n">
        <f aca="false">SUM(L138,O138,R138,U138,X138,AA138)</f>
        <v>436</v>
      </c>
      <c r="AE138" s="16" t="n">
        <f aca="false">AD138/6</f>
        <v>72.6666666666667</v>
      </c>
      <c r="AF138" s="2" t="str">
        <f aca="false">IF(SUM(COUNTIF(M138,"RA"),COUNTIF(P138,"RA"),COUNTIF(S138,"RA"),COUNTIF(V138,"RA"),COUNTIF(Y138,"RA"),COUNTIF(AB138,"RA"))&gt;0,"FAIL","PASS")</f>
        <v>PASS</v>
      </c>
    </row>
    <row r="139" customFormat="false" ht="15" hidden="false" customHeight="false" outlineLevel="0" collapsed="false">
      <c r="A139" s="2" t="n">
        <v>138</v>
      </c>
      <c r="B139" s="3" t="s">
        <v>864</v>
      </c>
      <c r="C139" s="2" t="s">
        <v>790</v>
      </c>
      <c r="D139" s="2" t="s">
        <v>865</v>
      </c>
      <c r="E139" s="2" t="s">
        <v>35</v>
      </c>
      <c r="F139" s="2" t="s">
        <v>36</v>
      </c>
      <c r="G139" s="2" t="s">
        <v>44</v>
      </c>
      <c r="H139" s="2" t="s">
        <v>866</v>
      </c>
      <c r="I139" s="3" t="s">
        <v>867</v>
      </c>
      <c r="J139" s="2" t="s">
        <v>868</v>
      </c>
      <c r="K139" s="2" t="s">
        <v>869</v>
      </c>
      <c r="L139" s="4" t="n">
        <v>94</v>
      </c>
      <c r="M139" s="4" t="s">
        <v>54</v>
      </c>
      <c r="N139" s="5" t="n">
        <v>94</v>
      </c>
      <c r="O139" s="6" t="n">
        <v>63</v>
      </c>
      <c r="P139" s="6" t="s">
        <v>44</v>
      </c>
      <c r="Q139" s="7" t="n">
        <v>63</v>
      </c>
      <c r="R139" s="8" t="n">
        <v>85</v>
      </c>
      <c r="S139" s="8" t="s">
        <v>42</v>
      </c>
      <c r="T139" s="9" t="n">
        <v>85</v>
      </c>
      <c r="U139" s="10" t="n">
        <v>85</v>
      </c>
      <c r="V139" s="10" t="s">
        <v>42</v>
      </c>
      <c r="W139" s="11" t="n">
        <v>85</v>
      </c>
      <c r="X139" s="12" t="n">
        <v>66</v>
      </c>
      <c r="Y139" s="12" t="s">
        <v>44</v>
      </c>
      <c r="Z139" s="13" t="n">
        <v>66</v>
      </c>
      <c r="AA139" s="14" t="n">
        <v>63</v>
      </c>
      <c r="AB139" s="14" t="s">
        <v>44</v>
      </c>
      <c r="AC139" s="15" t="n">
        <v>63</v>
      </c>
      <c r="AD139" s="2" t="n">
        <f aca="false">SUM(L139,O139,R139,U139,X139,AA139)</f>
        <v>456</v>
      </c>
      <c r="AE139" s="16" t="n">
        <f aca="false">AD139/6</f>
        <v>76</v>
      </c>
      <c r="AF139" s="2" t="str">
        <f aca="false">IF(SUM(COUNTIF(M139,"RA"),COUNTIF(P139,"RA"),COUNTIF(S139,"RA"),COUNTIF(V139,"RA"),COUNTIF(Y139,"RA"),COUNTIF(AB139,"RA"))&gt;0,"FAIL","PASS")</f>
        <v>PASS</v>
      </c>
    </row>
    <row r="140" customFormat="false" ht="15" hidden="false" customHeight="false" outlineLevel="0" collapsed="false">
      <c r="A140" s="2" t="n">
        <v>139</v>
      </c>
      <c r="B140" s="3" t="s">
        <v>870</v>
      </c>
      <c r="C140" s="2" t="s">
        <v>790</v>
      </c>
      <c r="D140" s="2" t="s">
        <v>871</v>
      </c>
      <c r="E140" s="2" t="s">
        <v>35</v>
      </c>
      <c r="F140" s="2" t="s">
        <v>36</v>
      </c>
      <c r="G140" s="2" t="s">
        <v>42</v>
      </c>
      <c r="H140" s="2" t="s">
        <v>872</v>
      </c>
      <c r="I140" s="3" t="s">
        <v>873</v>
      </c>
      <c r="J140" s="2" t="s">
        <v>874</v>
      </c>
      <c r="K140" s="2" t="s">
        <v>875</v>
      </c>
      <c r="L140" s="4" t="n">
        <v>86</v>
      </c>
      <c r="M140" s="4" t="s">
        <v>42</v>
      </c>
      <c r="N140" s="5" t="n">
        <v>86</v>
      </c>
      <c r="O140" s="6" t="n">
        <v>100</v>
      </c>
      <c r="P140" s="6" t="s">
        <v>54</v>
      </c>
      <c r="Q140" s="7" t="n">
        <v>100</v>
      </c>
      <c r="R140" s="8" t="n">
        <v>76</v>
      </c>
      <c r="S140" s="8" t="s">
        <v>43</v>
      </c>
      <c r="T140" s="9" t="n">
        <v>76</v>
      </c>
      <c r="U140" s="10" t="n">
        <v>76</v>
      </c>
      <c r="V140" s="10" t="s">
        <v>43</v>
      </c>
      <c r="W140" s="11" t="n">
        <v>76</v>
      </c>
      <c r="X140" s="12" t="n">
        <v>95</v>
      </c>
      <c r="Y140" s="12" t="s">
        <v>54</v>
      </c>
      <c r="Z140" s="13" t="n">
        <v>95</v>
      </c>
      <c r="AA140" s="14" t="n">
        <v>93</v>
      </c>
      <c r="AB140" s="14" t="s">
        <v>54</v>
      </c>
      <c r="AC140" s="15" t="n">
        <v>93</v>
      </c>
      <c r="AD140" s="2" t="n">
        <f aca="false">SUM(L140,O140,R140,U140,X140,AA140)</f>
        <v>526</v>
      </c>
      <c r="AE140" s="16" t="n">
        <f aca="false">AD140/6</f>
        <v>87.6666666666667</v>
      </c>
      <c r="AF140" s="2" t="str">
        <f aca="false">IF(SUM(COUNTIF(M140,"RA"),COUNTIF(P140,"RA"),COUNTIF(S140,"RA"),COUNTIF(V140,"RA"),COUNTIF(Y140,"RA"),COUNTIF(AB140,"RA"))&gt;0,"FAIL","PASS")</f>
        <v>PASS</v>
      </c>
    </row>
    <row r="141" customFormat="false" ht="15" hidden="false" customHeight="false" outlineLevel="0" collapsed="false">
      <c r="A141" s="2" t="n">
        <v>140</v>
      </c>
      <c r="B141" s="3" t="s">
        <v>876</v>
      </c>
      <c r="C141" s="2" t="s">
        <v>770</v>
      </c>
      <c r="D141" s="2" t="s">
        <v>877</v>
      </c>
      <c r="E141" s="2" t="s">
        <v>57</v>
      </c>
      <c r="F141" s="2" t="s">
        <v>36</v>
      </c>
      <c r="G141" s="2" t="s">
        <v>91</v>
      </c>
      <c r="H141" s="2" t="s">
        <v>878</v>
      </c>
      <c r="I141" s="3" t="s">
        <v>879</v>
      </c>
      <c r="J141" s="2" t="s">
        <v>880</v>
      </c>
      <c r="K141" s="2" t="s">
        <v>881</v>
      </c>
      <c r="L141" s="4" t="n">
        <v>71</v>
      </c>
      <c r="M141" s="4" t="s">
        <v>43</v>
      </c>
      <c r="N141" s="5" t="n">
        <v>71</v>
      </c>
      <c r="O141" s="6" t="n">
        <v>78</v>
      </c>
      <c r="P141" s="6" t="s">
        <v>43</v>
      </c>
      <c r="Q141" s="7" t="n">
        <v>78</v>
      </c>
      <c r="R141" s="8" t="n">
        <v>85</v>
      </c>
      <c r="S141" s="8" t="s">
        <v>42</v>
      </c>
      <c r="T141" s="9" t="n">
        <v>85</v>
      </c>
      <c r="U141" s="10" t="n">
        <v>98</v>
      </c>
      <c r="V141" s="10" t="s">
        <v>54</v>
      </c>
      <c r="W141" s="11" t="n">
        <v>98</v>
      </c>
      <c r="X141" s="12" t="n">
        <v>78</v>
      </c>
      <c r="Y141" s="12" t="s">
        <v>43</v>
      </c>
      <c r="Z141" s="13" t="n">
        <v>78</v>
      </c>
      <c r="AA141" s="14" t="n">
        <v>89</v>
      </c>
      <c r="AB141" s="14" t="s">
        <v>42</v>
      </c>
      <c r="AC141" s="15" t="n">
        <v>89</v>
      </c>
      <c r="AD141" s="2" t="n">
        <f aca="false">SUM(L141,O141,R141,U141,X141,AA141)</f>
        <v>499</v>
      </c>
      <c r="AE141" s="16" t="n">
        <f aca="false">AD141/6</f>
        <v>83.1666666666667</v>
      </c>
      <c r="AF141" s="2" t="str">
        <f aca="false">IF(SUM(COUNTIF(M141,"RA"),COUNTIF(P141,"RA"),COUNTIF(S141,"RA"),COUNTIF(V141,"RA"),COUNTIF(Y141,"RA"),COUNTIF(AB141,"RA"))&gt;0,"FAIL","PASS")</f>
        <v>PASS</v>
      </c>
    </row>
    <row r="142" customFormat="false" ht="15" hidden="false" customHeight="false" outlineLevel="0" collapsed="false">
      <c r="A142" s="2" t="n">
        <v>141</v>
      </c>
      <c r="B142" s="3" t="s">
        <v>882</v>
      </c>
      <c r="C142" s="2" t="s">
        <v>841</v>
      </c>
      <c r="D142" s="2" t="s">
        <v>883</v>
      </c>
      <c r="E142" s="2" t="s">
        <v>57</v>
      </c>
      <c r="F142" s="2" t="s">
        <v>36</v>
      </c>
      <c r="G142" s="2" t="s">
        <v>78</v>
      </c>
      <c r="H142" s="2" t="s">
        <v>884</v>
      </c>
      <c r="I142" s="3" t="s">
        <v>885</v>
      </c>
      <c r="J142" s="2" t="s">
        <v>886</v>
      </c>
      <c r="K142" s="2" t="s">
        <v>887</v>
      </c>
      <c r="L142" s="4" t="n">
        <v>86</v>
      </c>
      <c r="M142" s="4" t="s">
        <v>42</v>
      </c>
      <c r="N142" s="5" t="n">
        <v>86</v>
      </c>
      <c r="O142" s="6" t="n">
        <v>62</v>
      </c>
      <c r="P142" s="6" t="s">
        <v>44</v>
      </c>
      <c r="Q142" s="7" t="n">
        <v>62</v>
      </c>
      <c r="R142" s="8" t="n">
        <v>62</v>
      </c>
      <c r="S142" s="8" t="s">
        <v>44</v>
      </c>
      <c r="T142" s="9" t="n">
        <v>62</v>
      </c>
      <c r="U142" s="10" t="n">
        <v>93</v>
      </c>
      <c r="V142" s="10" t="s">
        <v>54</v>
      </c>
      <c r="W142" s="11" t="n">
        <v>93</v>
      </c>
      <c r="X142" s="12" t="n">
        <v>62</v>
      </c>
      <c r="Y142" s="12" t="s">
        <v>44</v>
      </c>
      <c r="Z142" s="13" t="n">
        <v>62</v>
      </c>
      <c r="AA142" s="14" t="n">
        <v>65</v>
      </c>
      <c r="AB142" s="14" t="s">
        <v>44</v>
      </c>
      <c r="AC142" s="15" t="n">
        <v>65</v>
      </c>
      <c r="AD142" s="2" t="n">
        <f aca="false">SUM(L142,O142,R142,U142,X142,AA142)</f>
        <v>430</v>
      </c>
      <c r="AE142" s="16" t="n">
        <f aca="false">AD142/6</f>
        <v>71.6666666666667</v>
      </c>
      <c r="AF142" s="2" t="str">
        <f aca="false">IF(SUM(COUNTIF(M142,"RA"),COUNTIF(P142,"RA"),COUNTIF(S142,"RA"),COUNTIF(V142,"RA"),COUNTIF(Y142,"RA"),COUNTIF(AB142,"RA"))&gt;0,"FAIL","PASS")</f>
        <v>PASS</v>
      </c>
    </row>
    <row r="143" customFormat="false" ht="15" hidden="false" customHeight="false" outlineLevel="0" collapsed="false">
      <c r="A143" s="2" t="n">
        <v>142</v>
      </c>
      <c r="B143" s="3" t="s">
        <v>888</v>
      </c>
      <c r="C143" s="2" t="s">
        <v>790</v>
      </c>
      <c r="D143" s="2" t="s">
        <v>889</v>
      </c>
      <c r="E143" s="2" t="s">
        <v>57</v>
      </c>
      <c r="F143" s="2" t="s">
        <v>36</v>
      </c>
      <c r="G143" s="2" t="s">
        <v>78</v>
      </c>
      <c r="H143" s="2" t="s">
        <v>890</v>
      </c>
      <c r="I143" s="3" t="s">
        <v>891</v>
      </c>
      <c r="J143" s="2" t="s">
        <v>892</v>
      </c>
      <c r="K143" s="2" t="s">
        <v>893</v>
      </c>
      <c r="L143" s="4" t="n">
        <v>81</v>
      </c>
      <c r="M143" s="4" t="s">
        <v>42</v>
      </c>
      <c r="N143" s="5" t="n">
        <v>81</v>
      </c>
      <c r="O143" s="6" t="n">
        <v>86</v>
      </c>
      <c r="P143" s="6" t="s">
        <v>42</v>
      </c>
      <c r="Q143" s="7" t="n">
        <v>86</v>
      </c>
      <c r="R143" s="8" t="n">
        <v>79</v>
      </c>
      <c r="S143" s="8" t="s">
        <v>43</v>
      </c>
      <c r="T143" s="9" t="n">
        <v>79</v>
      </c>
      <c r="U143" s="10" t="n">
        <v>85</v>
      </c>
      <c r="V143" s="10" t="s">
        <v>42</v>
      </c>
      <c r="W143" s="11" t="n">
        <v>85</v>
      </c>
      <c r="X143" s="12" t="n">
        <v>67</v>
      </c>
      <c r="Y143" s="12" t="s">
        <v>44</v>
      </c>
      <c r="Z143" s="13" t="n">
        <v>67</v>
      </c>
      <c r="AA143" s="14" t="n">
        <v>63</v>
      </c>
      <c r="AB143" s="14" t="s">
        <v>44</v>
      </c>
      <c r="AC143" s="15" t="n">
        <v>63</v>
      </c>
      <c r="AD143" s="2" t="n">
        <f aca="false">SUM(L143,O143,R143,U143,X143,AA143)</f>
        <v>461</v>
      </c>
      <c r="AE143" s="16" t="n">
        <f aca="false">AD143/6</f>
        <v>76.8333333333333</v>
      </c>
      <c r="AF143" s="2" t="str">
        <f aca="false">IF(SUM(COUNTIF(M143,"RA"),COUNTIF(P143,"RA"),COUNTIF(S143,"RA"),COUNTIF(V143,"RA"),COUNTIF(Y143,"RA"),COUNTIF(AB143,"RA"))&gt;0,"FAIL","PASS")</f>
        <v>PASS</v>
      </c>
    </row>
    <row r="144" customFormat="false" ht="15" hidden="false" customHeight="false" outlineLevel="0" collapsed="false">
      <c r="A144" s="2" t="n">
        <v>143</v>
      </c>
      <c r="B144" s="3" t="s">
        <v>894</v>
      </c>
      <c r="C144" s="2" t="s">
        <v>783</v>
      </c>
      <c r="D144" s="2" t="s">
        <v>895</v>
      </c>
      <c r="E144" s="2" t="s">
        <v>57</v>
      </c>
      <c r="F144" s="2" t="s">
        <v>36</v>
      </c>
      <c r="G144" s="2" t="s">
        <v>78</v>
      </c>
      <c r="H144" s="2" t="s">
        <v>739</v>
      </c>
      <c r="I144" s="3" t="s">
        <v>896</v>
      </c>
      <c r="J144" s="2" t="s">
        <v>897</v>
      </c>
      <c r="K144" s="2" t="s">
        <v>898</v>
      </c>
      <c r="L144" s="4" t="n">
        <v>98</v>
      </c>
      <c r="M144" s="4" t="s">
        <v>54</v>
      </c>
      <c r="N144" s="5" t="n">
        <v>98</v>
      </c>
      <c r="O144" s="6" t="n">
        <v>84</v>
      </c>
      <c r="P144" s="6" t="s">
        <v>42</v>
      </c>
      <c r="Q144" s="7" t="n">
        <v>84</v>
      </c>
      <c r="R144" s="8" t="n">
        <v>62</v>
      </c>
      <c r="S144" s="8" t="s">
        <v>44</v>
      </c>
      <c r="T144" s="9" t="n">
        <v>62</v>
      </c>
      <c r="U144" s="10" t="n">
        <v>98</v>
      </c>
      <c r="V144" s="10" t="s">
        <v>54</v>
      </c>
      <c r="W144" s="11" t="n">
        <v>98</v>
      </c>
      <c r="X144" s="12" t="n">
        <v>94</v>
      </c>
      <c r="Y144" s="12" t="s">
        <v>54</v>
      </c>
      <c r="Z144" s="13" t="n">
        <v>94</v>
      </c>
      <c r="AA144" s="14" t="n">
        <v>92</v>
      </c>
      <c r="AB144" s="14" t="s">
        <v>54</v>
      </c>
      <c r="AC144" s="15" t="n">
        <v>92</v>
      </c>
      <c r="AD144" s="2" t="n">
        <f aca="false">SUM(L144,O144,R144,U144,X144,AA144)</f>
        <v>528</v>
      </c>
      <c r="AE144" s="16" t="n">
        <f aca="false">AD144/6</f>
        <v>88</v>
      </c>
      <c r="AF144" s="2" t="str">
        <f aca="false">IF(SUM(COUNTIF(M144,"RA"),COUNTIF(P144,"RA"),COUNTIF(S144,"RA"),COUNTIF(V144,"RA"),COUNTIF(Y144,"RA"),COUNTIF(AB144,"RA"))&gt;0,"FAIL","PASS")</f>
        <v>PASS</v>
      </c>
    </row>
    <row r="145" customFormat="false" ht="15" hidden="false" customHeight="false" outlineLevel="0" collapsed="false">
      <c r="A145" s="2" t="n">
        <v>144</v>
      </c>
      <c r="B145" s="3" t="s">
        <v>899</v>
      </c>
      <c r="C145" s="2" t="s">
        <v>790</v>
      </c>
      <c r="D145" s="2" t="s">
        <v>900</v>
      </c>
      <c r="E145" s="2" t="s">
        <v>35</v>
      </c>
      <c r="F145" s="2" t="s">
        <v>36</v>
      </c>
      <c r="G145" s="2" t="s">
        <v>91</v>
      </c>
      <c r="H145" s="2" t="s">
        <v>901</v>
      </c>
      <c r="I145" s="3" t="s">
        <v>902</v>
      </c>
      <c r="J145" s="2" t="s">
        <v>903</v>
      </c>
      <c r="K145" s="2" t="s">
        <v>904</v>
      </c>
      <c r="L145" s="4" t="n">
        <v>85</v>
      </c>
      <c r="M145" s="4" t="s">
        <v>42</v>
      </c>
      <c r="N145" s="5" t="n">
        <v>85</v>
      </c>
      <c r="O145" s="6" t="n">
        <v>65</v>
      </c>
      <c r="P145" s="6" t="s">
        <v>44</v>
      </c>
      <c r="Q145" s="7" t="n">
        <v>65</v>
      </c>
      <c r="R145" s="8" t="n">
        <v>43</v>
      </c>
      <c r="S145" s="8" t="s">
        <v>45</v>
      </c>
      <c r="T145" s="9" t="n">
        <v>43</v>
      </c>
      <c r="U145" s="10" t="n">
        <v>80</v>
      </c>
      <c r="V145" s="10" t="s">
        <v>42</v>
      </c>
      <c r="W145" s="11" t="n">
        <v>80</v>
      </c>
      <c r="X145" s="12" t="n">
        <v>77</v>
      </c>
      <c r="Y145" s="12" t="s">
        <v>43</v>
      </c>
      <c r="Z145" s="13" t="n">
        <v>77</v>
      </c>
      <c r="AA145" s="14" t="n">
        <v>52</v>
      </c>
      <c r="AB145" s="14" t="s">
        <v>53</v>
      </c>
      <c r="AC145" s="15" t="n">
        <v>52</v>
      </c>
      <c r="AD145" s="2" t="n">
        <f aca="false">SUM(L145,O145,R145,U145,X145,AA145)</f>
        <v>402</v>
      </c>
      <c r="AE145" s="16" t="n">
        <f aca="false">AD145/6</f>
        <v>67</v>
      </c>
      <c r="AF145" s="2" t="str">
        <f aca="false">IF(SUM(COUNTIF(M145,"RA"),COUNTIF(P145,"RA"),COUNTIF(S145,"RA"),COUNTIF(V145,"RA"),COUNTIF(Y145,"RA"),COUNTIF(AB145,"RA"))&gt;0,"FAIL","PASS")</f>
        <v>FAIL</v>
      </c>
    </row>
    <row r="146" customFormat="false" ht="15" hidden="false" customHeight="false" outlineLevel="0" collapsed="false">
      <c r="A146" s="2" t="n">
        <v>145</v>
      </c>
      <c r="B146" s="3" t="s">
        <v>905</v>
      </c>
      <c r="C146" s="2" t="s">
        <v>783</v>
      </c>
      <c r="D146" s="2" t="s">
        <v>906</v>
      </c>
      <c r="E146" s="2" t="s">
        <v>57</v>
      </c>
      <c r="F146" s="2" t="s">
        <v>36</v>
      </c>
      <c r="G146" s="2" t="s">
        <v>78</v>
      </c>
      <c r="H146" s="2" t="s">
        <v>907</v>
      </c>
      <c r="I146" s="3" t="s">
        <v>908</v>
      </c>
      <c r="J146" s="2" t="s">
        <v>909</v>
      </c>
      <c r="K146" s="2" t="s">
        <v>910</v>
      </c>
      <c r="L146" s="4" t="n">
        <v>61</v>
      </c>
      <c r="M146" s="4" t="s">
        <v>44</v>
      </c>
      <c r="N146" s="5" t="n">
        <v>61</v>
      </c>
      <c r="O146" s="6" t="n">
        <v>96</v>
      </c>
      <c r="P146" s="6" t="s">
        <v>54</v>
      </c>
      <c r="Q146" s="7" t="n">
        <v>96</v>
      </c>
      <c r="R146" s="8" t="n">
        <v>69</v>
      </c>
      <c r="S146" s="8" t="s">
        <v>44</v>
      </c>
      <c r="T146" s="9" t="n">
        <v>69</v>
      </c>
      <c r="U146" s="10" t="n">
        <v>62</v>
      </c>
      <c r="V146" s="10" t="s">
        <v>44</v>
      </c>
      <c r="W146" s="11" t="n">
        <v>62</v>
      </c>
      <c r="X146" s="12" t="n">
        <v>91</v>
      </c>
      <c r="Y146" s="12" t="s">
        <v>54</v>
      </c>
      <c r="Z146" s="13" t="n">
        <v>91</v>
      </c>
      <c r="AA146" s="14" t="n">
        <v>76</v>
      </c>
      <c r="AB146" s="14" t="s">
        <v>43</v>
      </c>
      <c r="AC146" s="15" t="n">
        <v>76</v>
      </c>
      <c r="AD146" s="2" t="n">
        <f aca="false">SUM(L146,O146,R146,U146,X146,AA146)</f>
        <v>455</v>
      </c>
      <c r="AE146" s="16" t="n">
        <f aca="false">AD146/6</f>
        <v>75.8333333333333</v>
      </c>
      <c r="AF146" s="2" t="str">
        <f aca="false">IF(SUM(COUNTIF(M146,"RA"),COUNTIF(P146,"RA"),COUNTIF(S146,"RA"),COUNTIF(V146,"RA"),COUNTIF(Y146,"RA"),COUNTIF(AB146,"RA"))&gt;0,"FAIL","PASS")</f>
        <v>PASS</v>
      </c>
    </row>
    <row r="147" customFormat="false" ht="15" hidden="false" customHeight="false" outlineLevel="0" collapsed="false">
      <c r="A147" s="2" t="n">
        <v>146</v>
      </c>
      <c r="B147" s="3" t="s">
        <v>911</v>
      </c>
      <c r="C147" s="2" t="s">
        <v>912</v>
      </c>
      <c r="D147" s="2" t="s">
        <v>913</v>
      </c>
      <c r="E147" s="2" t="s">
        <v>35</v>
      </c>
      <c r="F147" s="2" t="s">
        <v>36</v>
      </c>
      <c r="G147" s="2" t="s">
        <v>42</v>
      </c>
      <c r="H147" s="2" t="s">
        <v>914</v>
      </c>
      <c r="I147" s="3" t="s">
        <v>915</v>
      </c>
      <c r="J147" s="2" t="s">
        <v>916</v>
      </c>
      <c r="K147" s="2" t="s">
        <v>917</v>
      </c>
      <c r="L147" s="4" t="n">
        <v>40</v>
      </c>
      <c r="M147" s="4" t="s">
        <v>45</v>
      </c>
      <c r="N147" s="5" t="n">
        <v>40</v>
      </c>
      <c r="O147" s="6" t="n">
        <v>84</v>
      </c>
      <c r="P147" s="6" t="s">
        <v>42</v>
      </c>
      <c r="Q147" s="7" t="n">
        <v>84</v>
      </c>
      <c r="R147" s="8" t="n">
        <v>91</v>
      </c>
      <c r="S147" s="8" t="s">
        <v>54</v>
      </c>
      <c r="T147" s="9" t="n">
        <v>91</v>
      </c>
      <c r="U147" s="10" t="n">
        <v>91</v>
      </c>
      <c r="V147" s="10" t="s">
        <v>54</v>
      </c>
      <c r="W147" s="11" t="n">
        <v>91</v>
      </c>
      <c r="X147" s="12" t="n">
        <v>83</v>
      </c>
      <c r="Y147" s="12" t="s">
        <v>42</v>
      </c>
      <c r="Z147" s="13" t="n">
        <v>83</v>
      </c>
      <c r="AA147" s="14" t="n">
        <v>66</v>
      </c>
      <c r="AB147" s="14" t="s">
        <v>44</v>
      </c>
      <c r="AC147" s="15" t="n">
        <v>66</v>
      </c>
      <c r="AD147" s="2" t="n">
        <f aca="false">SUM(L147,O147,R147,U147,X147,AA147)</f>
        <v>455</v>
      </c>
      <c r="AE147" s="16" t="n">
        <f aca="false">AD147/6</f>
        <v>75.8333333333333</v>
      </c>
      <c r="AF147" s="2" t="str">
        <f aca="false">IF(SUM(COUNTIF(M147,"RA"),COUNTIF(P147,"RA"),COUNTIF(S147,"RA"),COUNTIF(V147,"RA"),COUNTIF(Y147,"RA"),COUNTIF(AB147,"RA"))&gt;0,"FAIL","PASS")</f>
        <v>FAIL</v>
      </c>
    </row>
    <row r="148" customFormat="false" ht="15" hidden="false" customHeight="false" outlineLevel="0" collapsed="false">
      <c r="A148" s="2" t="n">
        <v>147</v>
      </c>
      <c r="B148" s="3" t="s">
        <v>918</v>
      </c>
      <c r="C148" s="2" t="s">
        <v>816</v>
      </c>
      <c r="D148" s="2" t="s">
        <v>919</v>
      </c>
      <c r="E148" s="2" t="s">
        <v>35</v>
      </c>
      <c r="F148" s="2" t="s">
        <v>36</v>
      </c>
      <c r="G148" s="2" t="s">
        <v>44</v>
      </c>
      <c r="H148" s="2" t="s">
        <v>152</v>
      </c>
      <c r="I148" s="3" t="s">
        <v>920</v>
      </c>
      <c r="J148" s="2" t="s">
        <v>921</v>
      </c>
      <c r="K148" s="2" t="s">
        <v>922</v>
      </c>
      <c r="L148" s="4" t="n">
        <v>66</v>
      </c>
      <c r="M148" s="4" t="s">
        <v>44</v>
      </c>
      <c r="N148" s="5" t="n">
        <v>66</v>
      </c>
      <c r="O148" s="6" t="n">
        <v>61</v>
      </c>
      <c r="P148" s="6" t="s">
        <v>44</v>
      </c>
      <c r="Q148" s="7" t="n">
        <v>61</v>
      </c>
      <c r="R148" s="8" t="n">
        <v>62</v>
      </c>
      <c r="S148" s="8" t="s">
        <v>44</v>
      </c>
      <c r="T148" s="9" t="n">
        <v>62</v>
      </c>
      <c r="U148" s="10" t="n">
        <v>76</v>
      </c>
      <c r="V148" s="10" t="s">
        <v>43</v>
      </c>
      <c r="W148" s="11" t="n">
        <v>76</v>
      </c>
      <c r="X148" s="12" t="n">
        <v>72</v>
      </c>
      <c r="Y148" s="12" t="s">
        <v>43</v>
      </c>
      <c r="Z148" s="13" t="n">
        <v>72</v>
      </c>
      <c r="AA148" s="14" t="n">
        <v>58</v>
      </c>
      <c r="AB148" s="14" t="s">
        <v>53</v>
      </c>
      <c r="AC148" s="15" t="n">
        <v>58</v>
      </c>
      <c r="AD148" s="2" t="n">
        <f aca="false">SUM(L148,O148,R148,U148,X148,AA148)</f>
        <v>395</v>
      </c>
      <c r="AE148" s="16" t="n">
        <f aca="false">AD148/6</f>
        <v>65.8333333333333</v>
      </c>
      <c r="AF148" s="2" t="str">
        <f aca="false">IF(SUM(COUNTIF(M148,"RA"),COUNTIF(P148,"RA"),COUNTIF(S148,"RA"),COUNTIF(V148,"RA"),COUNTIF(Y148,"RA"),COUNTIF(AB148,"RA"))&gt;0,"FAIL","PASS")</f>
        <v>PASS</v>
      </c>
    </row>
    <row r="149" customFormat="false" ht="15" hidden="false" customHeight="false" outlineLevel="0" collapsed="false">
      <c r="A149" s="2" t="n">
        <v>148</v>
      </c>
      <c r="B149" s="3" t="s">
        <v>923</v>
      </c>
      <c r="C149" s="2" t="s">
        <v>750</v>
      </c>
      <c r="D149" s="2" t="s">
        <v>924</v>
      </c>
      <c r="E149" s="2" t="s">
        <v>35</v>
      </c>
      <c r="F149" s="2" t="s">
        <v>36</v>
      </c>
      <c r="G149" s="2" t="s">
        <v>91</v>
      </c>
      <c r="H149" s="2" t="s">
        <v>925</v>
      </c>
      <c r="I149" s="3" t="s">
        <v>926</v>
      </c>
      <c r="J149" s="2" t="s">
        <v>927</v>
      </c>
      <c r="K149" s="2" t="s">
        <v>928</v>
      </c>
      <c r="L149" s="4" t="n">
        <v>92</v>
      </c>
      <c r="M149" s="4" t="s">
        <v>54</v>
      </c>
      <c r="N149" s="5" t="n">
        <v>92</v>
      </c>
      <c r="O149" s="6" t="n">
        <v>75</v>
      </c>
      <c r="P149" s="6" t="s">
        <v>43</v>
      </c>
      <c r="Q149" s="7" t="n">
        <v>75</v>
      </c>
      <c r="R149" s="8" t="n">
        <v>80</v>
      </c>
      <c r="S149" s="8" t="s">
        <v>42</v>
      </c>
      <c r="T149" s="9" t="n">
        <v>80</v>
      </c>
      <c r="U149" s="10" t="n">
        <v>76</v>
      </c>
      <c r="V149" s="10" t="s">
        <v>43</v>
      </c>
      <c r="W149" s="11" t="n">
        <v>76</v>
      </c>
      <c r="X149" s="12" t="n">
        <v>72</v>
      </c>
      <c r="Y149" s="12" t="s">
        <v>43</v>
      </c>
      <c r="Z149" s="13" t="n">
        <v>72</v>
      </c>
      <c r="AA149" s="14" t="n">
        <v>70</v>
      </c>
      <c r="AB149" s="14" t="s">
        <v>43</v>
      </c>
      <c r="AC149" s="15" t="n">
        <v>70</v>
      </c>
      <c r="AD149" s="2" t="n">
        <f aca="false">SUM(L149,O149,R149,U149,X149,AA149)</f>
        <v>465</v>
      </c>
      <c r="AE149" s="16" t="n">
        <f aca="false">AD149/6</f>
        <v>77.5</v>
      </c>
      <c r="AF149" s="2" t="str">
        <f aca="false">IF(SUM(COUNTIF(M149,"RA"),COUNTIF(P149,"RA"),COUNTIF(S149,"RA"),COUNTIF(V149,"RA"),COUNTIF(Y149,"RA"),COUNTIF(AB149,"RA"))&gt;0,"FAIL","PASS")</f>
        <v>PASS</v>
      </c>
    </row>
    <row r="150" customFormat="false" ht="15" hidden="false" customHeight="false" outlineLevel="0" collapsed="false">
      <c r="A150" s="2" t="n">
        <v>149</v>
      </c>
      <c r="B150" s="3" t="s">
        <v>929</v>
      </c>
      <c r="C150" s="2" t="s">
        <v>803</v>
      </c>
      <c r="D150" s="2" t="s">
        <v>930</v>
      </c>
      <c r="E150" s="2" t="s">
        <v>35</v>
      </c>
      <c r="F150" s="2" t="s">
        <v>36</v>
      </c>
      <c r="G150" s="2" t="s">
        <v>64</v>
      </c>
      <c r="H150" s="2" t="s">
        <v>931</v>
      </c>
      <c r="I150" s="3" t="s">
        <v>932</v>
      </c>
      <c r="J150" s="2" t="s">
        <v>933</v>
      </c>
      <c r="K150" s="2" t="s">
        <v>934</v>
      </c>
      <c r="L150" s="4" t="n">
        <v>79</v>
      </c>
      <c r="M150" s="4" t="s">
        <v>43</v>
      </c>
      <c r="N150" s="5" t="n">
        <v>79</v>
      </c>
      <c r="O150" s="6" t="n">
        <v>63</v>
      </c>
      <c r="P150" s="6" t="s">
        <v>44</v>
      </c>
      <c r="Q150" s="7" t="n">
        <v>63</v>
      </c>
      <c r="R150" s="8" t="n">
        <v>78</v>
      </c>
      <c r="S150" s="8" t="s">
        <v>43</v>
      </c>
      <c r="T150" s="9" t="n">
        <v>78</v>
      </c>
      <c r="U150" s="10" t="n">
        <v>64</v>
      </c>
      <c r="V150" s="10" t="s">
        <v>44</v>
      </c>
      <c r="W150" s="11" t="n">
        <v>64</v>
      </c>
      <c r="X150" s="12" t="n">
        <v>63</v>
      </c>
      <c r="Y150" s="12" t="s">
        <v>44</v>
      </c>
      <c r="Z150" s="13" t="n">
        <v>63</v>
      </c>
      <c r="AA150" s="14" t="n">
        <v>76</v>
      </c>
      <c r="AB150" s="14" t="s">
        <v>43</v>
      </c>
      <c r="AC150" s="15" t="n">
        <v>76</v>
      </c>
      <c r="AD150" s="2" t="n">
        <f aca="false">SUM(L150,O150,R150,U150,X150,AA150)</f>
        <v>423</v>
      </c>
      <c r="AE150" s="16" t="n">
        <f aca="false">AD150/6</f>
        <v>70.5</v>
      </c>
      <c r="AF150" s="2" t="str">
        <f aca="false">IF(SUM(COUNTIF(M150,"RA"),COUNTIF(P150,"RA"),COUNTIF(S150,"RA"),COUNTIF(V150,"RA"),COUNTIF(Y150,"RA"),COUNTIF(AB150,"RA"))&gt;0,"FAIL","PASS")</f>
        <v>PASS</v>
      </c>
    </row>
    <row r="151" customFormat="false" ht="15" hidden="false" customHeight="false" outlineLevel="0" collapsed="false">
      <c r="A151" s="2" t="n">
        <v>150</v>
      </c>
      <c r="B151" s="3" t="s">
        <v>935</v>
      </c>
      <c r="C151" s="2" t="s">
        <v>803</v>
      </c>
      <c r="D151" s="2" t="s">
        <v>936</v>
      </c>
      <c r="E151" s="2" t="s">
        <v>57</v>
      </c>
      <c r="F151" s="2" t="s">
        <v>36</v>
      </c>
      <c r="G151" s="2" t="s">
        <v>78</v>
      </c>
      <c r="H151" s="2" t="s">
        <v>937</v>
      </c>
      <c r="I151" s="3" t="s">
        <v>938</v>
      </c>
      <c r="J151" s="2" t="s">
        <v>939</v>
      </c>
      <c r="K151" s="2" t="s">
        <v>940</v>
      </c>
      <c r="L151" s="4" t="n">
        <v>100</v>
      </c>
      <c r="M151" s="4" t="s">
        <v>54</v>
      </c>
      <c r="N151" s="5" t="n">
        <v>100</v>
      </c>
      <c r="O151" s="6" t="n">
        <v>77</v>
      </c>
      <c r="P151" s="6" t="s">
        <v>43</v>
      </c>
      <c r="Q151" s="7" t="n">
        <v>77</v>
      </c>
      <c r="R151" s="8" t="n">
        <v>62</v>
      </c>
      <c r="S151" s="8" t="s">
        <v>44</v>
      </c>
      <c r="T151" s="9" t="n">
        <v>62</v>
      </c>
      <c r="U151" s="10" t="n">
        <v>69</v>
      </c>
      <c r="V151" s="10" t="s">
        <v>44</v>
      </c>
      <c r="W151" s="11" t="n">
        <v>69</v>
      </c>
      <c r="X151" s="12" t="n">
        <v>57</v>
      </c>
      <c r="Y151" s="12" t="s">
        <v>53</v>
      </c>
      <c r="Z151" s="13" t="n">
        <v>57</v>
      </c>
      <c r="AA151" s="14" t="n">
        <v>78</v>
      </c>
      <c r="AB151" s="14" t="s">
        <v>43</v>
      </c>
      <c r="AC151" s="15" t="n">
        <v>78</v>
      </c>
      <c r="AD151" s="2" t="n">
        <f aca="false">SUM(L151,O151,R151,U151,X151,AA151)</f>
        <v>443</v>
      </c>
      <c r="AE151" s="16" t="n">
        <f aca="false">AD151/6</f>
        <v>73.8333333333333</v>
      </c>
      <c r="AF151" s="2" t="str">
        <f aca="false">IF(SUM(COUNTIF(M151,"RA"),COUNTIF(P151,"RA"),COUNTIF(S151,"RA"),COUNTIF(V151,"RA"),COUNTIF(Y151,"RA"),COUNTIF(AB151,"RA"))&gt;0,"FAIL","PASS")</f>
        <v>PASS</v>
      </c>
    </row>
    <row r="152" customFormat="false" ht="15" hidden="false" customHeight="false" outlineLevel="0" collapsed="false">
      <c r="A152" s="2" t="n">
        <v>151</v>
      </c>
      <c r="B152" s="3" t="s">
        <v>941</v>
      </c>
      <c r="C152" s="2" t="s">
        <v>803</v>
      </c>
      <c r="D152" s="2" t="s">
        <v>942</v>
      </c>
      <c r="E152" s="2" t="s">
        <v>57</v>
      </c>
      <c r="F152" s="2" t="s">
        <v>36</v>
      </c>
      <c r="G152" s="2" t="s">
        <v>91</v>
      </c>
      <c r="H152" s="2" t="s">
        <v>943</v>
      </c>
      <c r="I152" s="3" t="s">
        <v>944</v>
      </c>
      <c r="J152" s="2" t="s">
        <v>945</v>
      </c>
      <c r="K152" s="2" t="s">
        <v>946</v>
      </c>
      <c r="L152" s="4" t="n">
        <v>76</v>
      </c>
      <c r="M152" s="4" t="s">
        <v>43</v>
      </c>
      <c r="N152" s="5" t="n">
        <v>76</v>
      </c>
      <c r="O152" s="6" t="n">
        <v>70</v>
      </c>
      <c r="P152" s="6" t="s">
        <v>43</v>
      </c>
      <c r="Q152" s="7" t="n">
        <v>70</v>
      </c>
      <c r="R152" s="8" t="n">
        <v>74</v>
      </c>
      <c r="S152" s="8" t="s">
        <v>43</v>
      </c>
      <c r="T152" s="9" t="n">
        <v>74</v>
      </c>
      <c r="U152" s="10" t="n">
        <v>82</v>
      </c>
      <c r="V152" s="10" t="s">
        <v>42</v>
      </c>
      <c r="W152" s="11" t="n">
        <v>82</v>
      </c>
      <c r="X152" s="12" t="n">
        <v>96</v>
      </c>
      <c r="Y152" s="12" t="s">
        <v>54</v>
      </c>
      <c r="Z152" s="13" t="n">
        <v>96</v>
      </c>
      <c r="AA152" s="14" t="n">
        <v>96</v>
      </c>
      <c r="AB152" s="14" t="s">
        <v>54</v>
      </c>
      <c r="AC152" s="15" t="n">
        <v>96</v>
      </c>
      <c r="AD152" s="2" t="n">
        <f aca="false">SUM(L152,O152,R152,U152,X152,AA152)</f>
        <v>494</v>
      </c>
      <c r="AE152" s="16" t="n">
        <f aca="false">AD152/6</f>
        <v>82.3333333333333</v>
      </c>
      <c r="AF152" s="2" t="str">
        <f aca="false">IF(SUM(COUNTIF(M152,"RA"),COUNTIF(P152,"RA"),COUNTIF(S152,"RA"),COUNTIF(V152,"RA"),COUNTIF(Y152,"RA"),COUNTIF(AB152,"RA"))&gt;0,"FAIL","PASS")</f>
        <v>PASS</v>
      </c>
    </row>
    <row r="153" customFormat="false" ht="15" hidden="false" customHeight="false" outlineLevel="0" collapsed="false">
      <c r="A153" s="2" t="n">
        <v>152</v>
      </c>
      <c r="B153" s="3" t="s">
        <v>947</v>
      </c>
      <c r="C153" s="2" t="s">
        <v>750</v>
      </c>
      <c r="D153" s="2" t="s">
        <v>948</v>
      </c>
      <c r="E153" s="2" t="s">
        <v>35</v>
      </c>
      <c r="F153" s="2" t="s">
        <v>36</v>
      </c>
      <c r="G153" s="2" t="s">
        <v>78</v>
      </c>
      <c r="H153" s="2" t="s">
        <v>949</v>
      </c>
      <c r="I153" s="3" t="s">
        <v>648</v>
      </c>
      <c r="J153" s="2" t="s">
        <v>950</v>
      </c>
      <c r="K153" s="2" t="s">
        <v>951</v>
      </c>
      <c r="L153" s="4" t="n">
        <v>56</v>
      </c>
      <c r="M153" s="4" t="s">
        <v>53</v>
      </c>
      <c r="N153" s="5" t="n">
        <v>56</v>
      </c>
      <c r="O153" s="6" t="n">
        <v>79</v>
      </c>
      <c r="P153" s="6" t="s">
        <v>43</v>
      </c>
      <c r="Q153" s="7" t="n">
        <v>79</v>
      </c>
      <c r="R153" s="8" t="n">
        <v>62</v>
      </c>
      <c r="S153" s="8" t="s">
        <v>44</v>
      </c>
      <c r="T153" s="9" t="n">
        <v>62</v>
      </c>
      <c r="U153" s="10" t="n">
        <v>71</v>
      </c>
      <c r="V153" s="10" t="s">
        <v>43</v>
      </c>
      <c r="W153" s="11" t="n">
        <v>71</v>
      </c>
      <c r="X153" s="12" t="n">
        <v>78</v>
      </c>
      <c r="Y153" s="12" t="s">
        <v>43</v>
      </c>
      <c r="Z153" s="13" t="n">
        <v>78</v>
      </c>
      <c r="AA153" s="14" t="n">
        <v>77</v>
      </c>
      <c r="AB153" s="14" t="s">
        <v>43</v>
      </c>
      <c r="AC153" s="15" t="n">
        <v>77</v>
      </c>
      <c r="AD153" s="2" t="n">
        <f aca="false">SUM(L153,O153,R153,U153,X153,AA153)</f>
        <v>423</v>
      </c>
      <c r="AE153" s="16" t="n">
        <f aca="false">AD153/6</f>
        <v>70.5</v>
      </c>
      <c r="AF153" s="2" t="str">
        <f aca="false">IF(SUM(COUNTIF(M153,"RA"),COUNTIF(P153,"RA"),COUNTIF(S153,"RA"),COUNTIF(V153,"RA"),COUNTIF(Y153,"RA"),COUNTIF(AB153,"RA"))&gt;0,"FAIL","PASS")</f>
        <v>PASS</v>
      </c>
    </row>
    <row r="154" customFormat="false" ht="15" hidden="false" customHeight="false" outlineLevel="0" collapsed="false">
      <c r="A154" s="2" t="n">
        <v>153</v>
      </c>
      <c r="B154" s="3" t="s">
        <v>952</v>
      </c>
      <c r="C154" s="2" t="s">
        <v>912</v>
      </c>
      <c r="D154" s="2" t="s">
        <v>953</v>
      </c>
      <c r="E154" s="2" t="s">
        <v>35</v>
      </c>
      <c r="F154" s="2" t="s">
        <v>36</v>
      </c>
      <c r="G154" s="2" t="s">
        <v>42</v>
      </c>
      <c r="H154" s="2" t="s">
        <v>954</v>
      </c>
      <c r="I154" s="3" t="s">
        <v>955</v>
      </c>
      <c r="J154" s="2" t="s">
        <v>956</v>
      </c>
      <c r="K154" s="2" t="s">
        <v>957</v>
      </c>
      <c r="L154" s="4" t="n">
        <v>58</v>
      </c>
      <c r="M154" s="4" t="s">
        <v>53</v>
      </c>
      <c r="N154" s="5" t="n">
        <v>58</v>
      </c>
      <c r="O154" s="6" t="n">
        <v>83</v>
      </c>
      <c r="P154" s="6" t="s">
        <v>42</v>
      </c>
      <c r="Q154" s="7" t="n">
        <v>83</v>
      </c>
      <c r="R154" s="8" t="n">
        <v>67</v>
      </c>
      <c r="S154" s="8" t="s">
        <v>44</v>
      </c>
      <c r="T154" s="9" t="n">
        <v>67</v>
      </c>
      <c r="U154" s="10" t="n">
        <v>97</v>
      </c>
      <c r="V154" s="10" t="s">
        <v>54</v>
      </c>
      <c r="W154" s="11" t="n">
        <v>97</v>
      </c>
      <c r="X154" s="12" t="n">
        <v>84</v>
      </c>
      <c r="Y154" s="12" t="s">
        <v>42</v>
      </c>
      <c r="Z154" s="13" t="n">
        <v>84</v>
      </c>
      <c r="AA154" s="14" t="n">
        <v>69</v>
      </c>
      <c r="AB154" s="14" t="s">
        <v>44</v>
      </c>
      <c r="AC154" s="15" t="n">
        <v>69</v>
      </c>
      <c r="AD154" s="2" t="n">
        <f aca="false">SUM(L154,O154,R154,U154,X154,AA154)</f>
        <v>458</v>
      </c>
      <c r="AE154" s="16" t="n">
        <f aca="false">AD154/6</f>
        <v>76.3333333333333</v>
      </c>
      <c r="AF154" s="2" t="str">
        <f aca="false">IF(SUM(COUNTIF(M154,"RA"),COUNTIF(P154,"RA"),COUNTIF(S154,"RA"),COUNTIF(V154,"RA"),COUNTIF(Y154,"RA"),COUNTIF(AB154,"RA"))&gt;0,"FAIL","PASS")</f>
        <v>PASS</v>
      </c>
    </row>
    <row r="155" customFormat="false" ht="15" hidden="false" customHeight="false" outlineLevel="0" collapsed="false">
      <c r="A155" s="2" t="n">
        <v>154</v>
      </c>
      <c r="B155" s="3" t="s">
        <v>958</v>
      </c>
      <c r="C155" s="2" t="s">
        <v>790</v>
      </c>
      <c r="D155" s="2" t="s">
        <v>959</v>
      </c>
      <c r="E155" s="2" t="s">
        <v>57</v>
      </c>
      <c r="F155" s="2" t="s">
        <v>36</v>
      </c>
      <c r="G155" s="2" t="s">
        <v>71</v>
      </c>
      <c r="H155" s="2" t="s">
        <v>960</v>
      </c>
      <c r="I155" s="3" t="s">
        <v>325</v>
      </c>
      <c r="J155" s="2" t="s">
        <v>961</v>
      </c>
      <c r="K155" s="2" t="s">
        <v>962</v>
      </c>
      <c r="L155" s="4" t="n">
        <v>78</v>
      </c>
      <c r="M155" s="4" t="s">
        <v>43</v>
      </c>
      <c r="N155" s="5" t="n">
        <v>78</v>
      </c>
      <c r="O155" s="6" t="n">
        <v>95</v>
      </c>
      <c r="P155" s="6" t="s">
        <v>54</v>
      </c>
      <c r="Q155" s="7" t="n">
        <v>95</v>
      </c>
      <c r="R155" s="8" t="n">
        <v>46</v>
      </c>
      <c r="S155" s="8" t="s">
        <v>45</v>
      </c>
      <c r="T155" s="9" t="n">
        <v>46</v>
      </c>
      <c r="U155" s="10" t="n">
        <v>83</v>
      </c>
      <c r="V155" s="10" t="s">
        <v>42</v>
      </c>
      <c r="W155" s="11" t="n">
        <v>83</v>
      </c>
      <c r="X155" s="12" t="n">
        <v>89</v>
      </c>
      <c r="Y155" s="12" t="s">
        <v>42</v>
      </c>
      <c r="Z155" s="13" t="n">
        <v>89</v>
      </c>
      <c r="AA155" s="14" t="n">
        <v>62</v>
      </c>
      <c r="AB155" s="14" t="s">
        <v>44</v>
      </c>
      <c r="AC155" s="15" t="n">
        <v>62</v>
      </c>
      <c r="AD155" s="2" t="n">
        <f aca="false">SUM(L155,O155,R155,U155,X155,AA155)</f>
        <v>453</v>
      </c>
      <c r="AE155" s="16" t="n">
        <f aca="false">AD155/6</f>
        <v>75.5</v>
      </c>
      <c r="AF155" s="2" t="str">
        <f aca="false">IF(SUM(COUNTIF(M155,"RA"),COUNTIF(P155,"RA"),COUNTIF(S155,"RA"),COUNTIF(V155,"RA"),COUNTIF(Y155,"RA"),COUNTIF(AB155,"RA"))&gt;0,"FAIL","PASS")</f>
        <v>FAIL</v>
      </c>
    </row>
    <row r="156" customFormat="false" ht="15" hidden="false" customHeight="false" outlineLevel="0" collapsed="false">
      <c r="A156" s="2" t="n">
        <v>155</v>
      </c>
      <c r="B156" s="3" t="s">
        <v>963</v>
      </c>
      <c r="C156" s="2" t="s">
        <v>783</v>
      </c>
      <c r="D156" s="2" t="s">
        <v>964</v>
      </c>
      <c r="E156" s="2" t="s">
        <v>57</v>
      </c>
      <c r="F156" s="2" t="s">
        <v>36</v>
      </c>
      <c r="G156" s="2" t="s">
        <v>91</v>
      </c>
      <c r="H156" s="2" t="s">
        <v>965</v>
      </c>
      <c r="I156" s="3" t="s">
        <v>896</v>
      </c>
      <c r="J156" s="2" t="s">
        <v>966</v>
      </c>
      <c r="K156" s="2" t="s">
        <v>967</v>
      </c>
      <c r="L156" s="4" t="n">
        <v>64</v>
      </c>
      <c r="M156" s="4" t="s">
        <v>44</v>
      </c>
      <c r="N156" s="5" t="n">
        <v>64</v>
      </c>
      <c r="O156" s="6" t="n">
        <v>78</v>
      </c>
      <c r="P156" s="6" t="s">
        <v>43</v>
      </c>
      <c r="Q156" s="7" t="n">
        <v>78</v>
      </c>
      <c r="R156" s="8" t="n">
        <v>71</v>
      </c>
      <c r="S156" s="8" t="s">
        <v>43</v>
      </c>
      <c r="T156" s="9" t="n">
        <v>71</v>
      </c>
      <c r="U156" s="10" t="n">
        <v>52</v>
      </c>
      <c r="V156" s="10" t="s">
        <v>53</v>
      </c>
      <c r="W156" s="11" t="n">
        <v>52</v>
      </c>
      <c r="X156" s="12" t="n">
        <v>89</v>
      </c>
      <c r="Y156" s="12" t="s">
        <v>42</v>
      </c>
      <c r="Z156" s="13" t="n">
        <v>89</v>
      </c>
      <c r="AA156" s="14" t="n">
        <v>75</v>
      </c>
      <c r="AB156" s="14" t="s">
        <v>43</v>
      </c>
      <c r="AC156" s="15" t="n">
        <v>75</v>
      </c>
      <c r="AD156" s="2" t="n">
        <f aca="false">SUM(L156,O156,R156,U156,X156,AA156)</f>
        <v>429</v>
      </c>
      <c r="AE156" s="16" t="n">
        <f aca="false">AD156/6</f>
        <v>71.5</v>
      </c>
      <c r="AF156" s="2" t="str">
        <f aca="false">IF(SUM(COUNTIF(M156,"RA"),COUNTIF(P156,"RA"),COUNTIF(S156,"RA"),COUNTIF(V156,"RA"),COUNTIF(Y156,"RA"),COUNTIF(AB156,"RA"))&gt;0,"FAIL","PASS")</f>
        <v>PASS</v>
      </c>
    </row>
    <row r="157" customFormat="false" ht="15" hidden="false" customHeight="false" outlineLevel="0" collapsed="false">
      <c r="A157" s="2" t="n">
        <v>156</v>
      </c>
      <c r="B157" s="3" t="s">
        <v>968</v>
      </c>
      <c r="C157" s="2" t="s">
        <v>750</v>
      </c>
      <c r="D157" s="2" t="s">
        <v>969</v>
      </c>
      <c r="E157" s="2" t="s">
        <v>35</v>
      </c>
      <c r="F157" s="2" t="s">
        <v>36</v>
      </c>
      <c r="G157" s="2" t="s">
        <v>71</v>
      </c>
      <c r="H157" s="2" t="s">
        <v>970</v>
      </c>
      <c r="I157" s="3" t="s">
        <v>971</v>
      </c>
      <c r="J157" s="2" t="s">
        <v>972</v>
      </c>
      <c r="K157" s="2" t="s">
        <v>973</v>
      </c>
      <c r="L157" s="4" t="n">
        <v>85</v>
      </c>
      <c r="M157" s="4" t="s">
        <v>42</v>
      </c>
      <c r="N157" s="5" t="n">
        <v>85</v>
      </c>
      <c r="O157" s="6" t="n">
        <v>74</v>
      </c>
      <c r="P157" s="6" t="s">
        <v>43</v>
      </c>
      <c r="Q157" s="7" t="n">
        <v>74</v>
      </c>
      <c r="R157" s="8" t="n">
        <v>95</v>
      </c>
      <c r="S157" s="8" t="s">
        <v>54</v>
      </c>
      <c r="T157" s="9" t="n">
        <v>95</v>
      </c>
      <c r="U157" s="10" t="n">
        <v>70</v>
      </c>
      <c r="V157" s="10" t="s">
        <v>43</v>
      </c>
      <c r="W157" s="11" t="n">
        <v>70</v>
      </c>
      <c r="X157" s="12" t="n">
        <v>64</v>
      </c>
      <c r="Y157" s="12" t="s">
        <v>44</v>
      </c>
      <c r="Z157" s="13" t="n">
        <v>64</v>
      </c>
      <c r="AA157" s="14" t="n">
        <v>89</v>
      </c>
      <c r="AB157" s="14" t="s">
        <v>42</v>
      </c>
      <c r="AC157" s="15" t="n">
        <v>89</v>
      </c>
      <c r="AD157" s="2" t="n">
        <f aca="false">SUM(L157,O157,R157,U157,X157,AA157)</f>
        <v>477</v>
      </c>
      <c r="AE157" s="16" t="n">
        <f aca="false">AD157/6</f>
        <v>79.5</v>
      </c>
      <c r="AF157" s="2" t="str">
        <f aca="false">IF(SUM(COUNTIF(M157,"RA"),COUNTIF(P157,"RA"),COUNTIF(S157,"RA"),COUNTIF(V157,"RA"),COUNTIF(Y157,"RA"),COUNTIF(AB157,"RA"))&gt;0,"FAIL","PASS")</f>
        <v>PASS</v>
      </c>
    </row>
    <row r="158" customFormat="false" ht="15" hidden="false" customHeight="false" outlineLevel="0" collapsed="false">
      <c r="A158" s="2" t="n">
        <v>157</v>
      </c>
      <c r="B158" s="3" t="s">
        <v>974</v>
      </c>
      <c r="C158" s="2" t="s">
        <v>757</v>
      </c>
      <c r="D158" s="2" t="s">
        <v>975</v>
      </c>
      <c r="E158" s="2" t="s">
        <v>57</v>
      </c>
      <c r="F158" s="2" t="s">
        <v>36</v>
      </c>
      <c r="G158" s="2" t="s">
        <v>44</v>
      </c>
      <c r="H158" s="2" t="s">
        <v>248</v>
      </c>
      <c r="I158" s="3" t="s">
        <v>976</v>
      </c>
      <c r="J158" s="2" t="s">
        <v>977</v>
      </c>
      <c r="K158" s="2" t="s">
        <v>978</v>
      </c>
      <c r="L158" s="4" t="n">
        <v>74</v>
      </c>
      <c r="M158" s="4" t="s">
        <v>43</v>
      </c>
      <c r="N158" s="5" t="n">
        <v>74</v>
      </c>
      <c r="O158" s="6" t="n">
        <v>65</v>
      </c>
      <c r="P158" s="6" t="s">
        <v>44</v>
      </c>
      <c r="Q158" s="7" t="n">
        <v>65</v>
      </c>
      <c r="R158" s="8" t="n">
        <v>74</v>
      </c>
      <c r="S158" s="8" t="s">
        <v>43</v>
      </c>
      <c r="T158" s="9" t="n">
        <v>74</v>
      </c>
      <c r="U158" s="10" t="n">
        <v>44</v>
      </c>
      <c r="V158" s="10" t="s">
        <v>45</v>
      </c>
      <c r="W158" s="11" t="n">
        <v>44</v>
      </c>
      <c r="X158" s="12" t="n">
        <v>49</v>
      </c>
      <c r="Y158" s="12" t="s">
        <v>45</v>
      </c>
      <c r="Z158" s="13" t="n">
        <v>49</v>
      </c>
      <c r="AA158" s="14" t="n">
        <v>96</v>
      </c>
      <c r="AB158" s="14" t="s">
        <v>54</v>
      </c>
      <c r="AC158" s="15" t="n">
        <v>96</v>
      </c>
      <c r="AD158" s="2" t="n">
        <f aca="false">SUM(L158,O158,R158,U158,X158,AA158)</f>
        <v>402</v>
      </c>
      <c r="AE158" s="16" t="n">
        <f aca="false">AD158/6</f>
        <v>67</v>
      </c>
      <c r="AF158" s="2" t="str">
        <f aca="false">IF(SUM(COUNTIF(M158,"RA"),COUNTIF(P158,"RA"),COUNTIF(S158,"RA"),COUNTIF(V158,"RA"),COUNTIF(Y158,"RA"),COUNTIF(AB158,"RA"))&gt;0,"FAIL","PASS")</f>
        <v>FAIL</v>
      </c>
    </row>
    <row r="159" customFormat="false" ht="15" hidden="false" customHeight="false" outlineLevel="0" collapsed="false">
      <c r="A159" s="2" t="n">
        <v>158</v>
      </c>
      <c r="B159" s="3" t="s">
        <v>979</v>
      </c>
      <c r="C159" s="2" t="s">
        <v>750</v>
      </c>
      <c r="D159" s="2" t="s">
        <v>980</v>
      </c>
      <c r="E159" s="2" t="s">
        <v>57</v>
      </c>
      <c r="F159" s="2" t="s">
        <v>36</v>
      </c>
      <c r="G159" s="2" t="s">
        <v>44</v>
      </c>
      <c r="H159" s="2" t="s">
        <v>981</v>
      </c>
      <c r="I159" s="3" t="s">
        <v>982</v>
      </c>
      <c r="J159" s="2" t="s">
        <v>983</v>
      </c>
      <c r="K159" s="2" t="s">
        <v>984</v>
      </c>
      <c r="L159" s="4" t="n">
        <v>80</v>
      </c>
      <c r="M159" s="4" t="s">
        <v>42</v>
      </c>
      <c r="N159" s="5" t="n">
        <v>80</v>
      </c>
      <c r="O159" s="6" t="n">
        <v>87</v>
      </c>
      <c r="P159" s="6" t="s">
        <v>42</v>
      </c>
      <c r="Q159" s="7" t="n">
        <v>87</v>
      </c>
      <c r="R159" s="8" t="n">
        <v>46</v>
      </c>
      <c r="S159" s="8" t="s">
        <v>45</v>
      </c>
      <c r="T159" s="9" t="n">
        <v>46</v>
      </c>
      <c r="U159" s="10" t="n">
        <v>51</v>
      </c>
      <c r="V159" s="10" t="s">
        <v>53</v>
      </c>
      <c r="W159" s="11" t="n">
        <v>51</v>
      </c>
      <c r="X159" s="12" t="n">
        <v>55</v>
      </c>
      <c r="Y159" s="12" t="s">
        <v>53</v>
      </c>
      <c r="Z159" s="13" t="n">
        <v>55</v>
      </c>
      <c r="AA159" s="14" t="n">
        <v>95</v>
      </c>
      <c r="AB159" s="14" t="s">
        <v>54</v>
      </c>
      <c r="AC159" s="15" t="n">
        <v>95</v>
      </c>
      <c r="AD159" s="2" t="n">
        <f aca="false">SUM(L159,O159,R159,U159,X159,AA159)</f>
        <v>414</v>
      </c>
      <c r="AE159" s="16" t="n">
        <f aca="false">AD159/6</f>
        <v>69</v>
      </c>
      <c r="AF159" s="2" t="str">
        <f aca="false">IF(SUM(COUNTIF(M159,"RA"),COUNTIF(P159,"RA"),COUNTIF(S159,"RA"),COUNTIF(V159,"RA"),COUNTIF(Y159,"RA"),COUNTIF(AB159,"RA"))&gt;0,"FAIL","PASS")</f>
        <v>FAIL</v>
      </c>
    </row>
    <row r="160" customFormat="false" ht="15" hidden="false" customHeight="false" outlineLevel="0" collapsed="false">
      <c r="A160" s="2" t="n">
        <v>159</v>
      </c>
      <c r="B160" s="3" t="s">
        <v>985</v>
      </c>
      <c r="C160" s="2" t="s">
        <v>790</v>
      </c>
      <c r="D160" s="2" t="s">
        <v>986</v>
      </c>
      <c r="E160" s="2" t="s">
        <v>35</v>
      </c>
      <c r="F160" s="2" t="s">
        <v>36</v>
      </c>
      <c r="G160" s="2" t="s">
        <v>48</v>
      </c>
      <c r="H160" s="2" t="s">
        <v>987</v>
      </c>
      <c r="I160" s="3" t="s">
        <v>988</v>
      </c>
      <c r="J160" s="2" t="s">
        <v>989</v>
      </c>
      <c r="K160" s="2" t="s">
        <v>990</v>
      </c>
      <c r="L160" s="4" t="n">
        <v>65</v>
      </c>
      <c r="M160" s="4" t="s">
        <v>44</v>
      </c>
      <c r="N160" s="5" t="n">
        <v>65</v>
      </c>
      <c r="O160" s="6" t="n">
        <v>41</v>
      </c>
      <c r="P160" s="6" t="s">
        <v>45</v>
      </c>
      <c r="Q160" s="7" t="n">
        <v>41</v>
      </c>
      <c r="R160" s="8" t="n">
        <v>86</v>
      </c>
      <c r="S160" s="8" t="s">
        <v>42</v>
      </c>
      <c r="T160" s="9" t="n">
        <v>86</v>
      </c>
      <c r="U160" s="10" t="n">
        <v>61</v>
      </c>
      <c r="V160" s="10" t="s">
        <v>44</v>
      </c>
      <c r="W160" s="11" t="n">
        <v>61</v>
      </c>
      <c r="X160" s="12" t="n">
        <v>45</v>
      </c>
      <c r="Y160" s="12" t="s">
        <v>45</v>
      </c>
      <c r="Z160" s="13" t="n">
        <v>45</v>
      </c>
      <c r="AA160" s="14" t="n">
        <v>93</v>
      </c>
      <c r="AB160" s="14" t="s">
        <v>54</v>
      </c>
      <c r="AC160" s="15" t="n">
        <v>93</v>
      </c>
      <c r="AD160" s="2" t="n">
        <f aca="false">SUM(L160,O160,R160,U160,X160,AA160)</f>
        <v>391</v>
      </c>
      <c r="AE160" s="16" t="n">
        <f aca="false">AD160/6</f>
        <v>65.1666666666667</v>
      </c>
      <c r="AF160" s="2" t="str">
        <f aca="false">IF(SUM(COUNTIF(M160,"RA"),COUNTIF(P160,"RA"),COUNTIF(S160,"RA"),COUNTIF(V160,"RA"),COUNTIF(Y160,"RA"),COUNTIF(AB160,"RA"))&gt;0,"FAIL","PASS")</f>
        <v>FAIL</v>
      </c>
    </row>
    <row r="161" customFormat="false" ht="15" hidden="false" customHeight="false" outlineLevel="0" collapsed="false">
      <c r="A161" s="2" t="n">
        <v>160</v>
      </c>
      <c r="B161" s="3" t="s">
        <v>991</v>
      </c>
      <c r="C161" s="2" t="s">
        <v>803</v>
      </c>
      <c r="D161" s="2" t="s">
        <v>992</v>
      </c>
      <c r="E161" s="2" t="s">
        <v>35</v>
      </c>
      <c r="F161" s="2" t="s">
        <v>36</v>
      </c>
      <c r="G161" s="2" t="s">
        <v>37</v>
      </c>
      <c r="H161" s="2" t="s">
        <v>584</v>
      </c>
      <c r="I161" s="3" t="s">
        <v>993</v>
      </c>
      <c r="J161" s="2" t="s">
        <v>994</v>
      </c>
      <c r="K161" s="2" t="s">
        <v>995</v>
      </c>
      <c r="L161" s="4" t="n">
        <v>67</v>
      </c>
      <c r="M161" s="4" t="s">
        <v>44</v>
      </c>
      <c r="N161" s="5" t="n">
        <v>67</v>
      </c>
      <c r="O161" s="6" t="n">
        <v>81</v>
      </c>
      <c r="P161" s="6" t="s">
        <v>42</v>
      </c>
      <c r="Q161" s="7" t="n">
        <v>81</v>
      </c>
      <c r="R161" s="8" t="n">
        <v>94</v>
      </c>
      <c r="S161" s="8" t="s">
        <v>54</v>
      </c>
      <c r="T161" s="9" t="n">
        <v>94</v>
      </c>
      <c r="U161" s="10" t="n">
        <v>40</v>
      </c>
      <c r="V161" s="10" t="s">
        <v>45</v>
      </c>
      <c r="W161" s="11" t="n">
        <v>40</v>
      </c>
      <c r="X161" s="12" t="n">
        <v>96</v>
      </c>
      <c r="Y161" s="12" t="s">
        <v>54</v>
      </c>
      <c r="Z161" s="13" t="n">
        <v>96</v>
      </c>
      <c r="AA161" s="14" t="n">
        <v>69</v>
      </c>
      <c r="AB161" s="14" t="s">
        <v>44</v>
      </c>
      <c r="AC161" s="15" t="n">
        <v>69</v>
      </c>
      <c r="AD161" s="2" t="n">
        <f aca="false">SUM(L161,O161,R161,U161,X161,AA161)</f>
        <v>447</v>
      </c>
      <c r="AE161" s="16" t="n">
        <f aca="false">AD161/6</f>
        <v>74.5</v>
      </c>
      <c r="AF161" s="2" t="str">
        <f aca="false">IF(SUM(COUNTIF(M161,"RA"),COUNTIF(P161,"RA"),COUNTIF(S161,"RA"),COUNTIF(V161,"RA"),COUNTIF(Y161,"RA"),COUNTIF(AB161,"RA"))&gt;0,"FAIL","PASS")</f>
        <v>FAIL</v>
      </c>
    </row>
    <row r="162" customFormat="false" ht="15" hidden="false" customHeight="false" outlineLevel="0" collapsed="false">
      <c r="A162" s="2" t="n">
        <v>161</v>
      </c>
      <c r="B162" s="3" t="s">
        <v>996</v>
      </c>
      <c r="C162" s="2" t="s">
        <v>816</v>
      </c>
      <c r="D162" s="2" t="s">
        <v>997</v>
      </c>
      <c r="E162" s="2" t="s">
        <v>35</v>
      </c>
      <c r="F162" s="2" t="s">
        <v>36</v>
      </c>
      <c r="G162" s="2" t="s">
        <v>91</v>
      </c>
      <c r="H162" s="2" t="s">
        <v>998</v>
      </c>
      <c r="I162" s="3" t="s">
        <v>955</v>
      </c>
      <c r="J162" s="2" t="s">
        <v>999</v>
      </c>
      <c r="K162" s="2" t="s">
        <v>1000</v>
      </c>
      <c r="L162" s="4" t="n">
        <v>67</v>
      </c>
      <c r="M162" s="4" t="s">
        <v>44</v>
      </c>
      <c r="N162" s="5" t="n">
        <v>67</v>
      </c>
      <c r="O162" s="6" t="n">
        <v>84</v>
      </c>
      <c r="P162" s="6" t="s">
        <v>42</v>
      </c>
      <c r="Q162" s="7" t="n">
        <v>84</v>
      </c>
      <c r="R162" s="8" t="n">
        <v>60</v>
      </c>
      <c r="S162" s="8" t="s">
        <v>44</v>
      </c>
      <c r="T162" s="9" t="n">
        <v>60</v>
      </c>
      <c r="U162" s="10" t="n">
        <v>65</v>
      </c>
      <c r="V162" s="10" t="s">
        <v>44</v>
      </c>
      <c r="W162" s="11" t="n">
        <v>65</v>
      </c>
      <c r="X162" s="12" t="n">
        <v>61</v>
      </c>
      <c r="Y162" s="12" t="s">
        <v>44</v>
      </c>
      <c r="Z162" s="13" t="n">
        <v>61</v>
      </c>
      <c r="AA162" s="14" t="n">
        <v>85</v>
      </c>
      <c r="AB162" s="14" t="s">
        <v>42</v>
      </c>
      <c r="AC162" s="15" t="n">
        <v>85</v>
      </c>
      <c r="AD162" s="2" t="n">
        <f aca="false">SUM(L162,O162,R162,U162,X162,AA162)</f>
        <v>422</v>
      </c>
      <c r="AE162" s="16" t="n">
        <f aca="false">AD162/6</f>
        <v>70.3333333333333</v>
      </c>
      <c r="AF162" s="2" t="str">
        <f aca="false">IF(SUM(COUNTIF(M162,"RA"),COUNTIF(P162,"RA"),COUNTIF(S162,"RA"),COUNTIF(V162,"RA"),COUNTIF(Y162,"RA"),COUNTIF(AB162,"RA"))&gt;0,"FAIL","PASS")</f>
        <v>PASS</v>
      </c>
    </row>
    <row r="163" customFormat="false" ht="15" hidden="false" customHeight="false" outlineLevel="0" collapsed="false">
      <c r="A163" s="2" t="n">
        <v>162</v>
      </c>
      <c r="B163" s="3" t="s">
        <v>1001</v>
      </c>
      <c r="C163" s="2" t="s">
        <v>816</v>
      </c>
      <c r="D163" s="2" t="s">
        <v>1002</v>
      </c>
      <c r="E163" s="2" t="s">
        <v>35</v>
      </c>
      <c r="F163" s="2" t="s">
        <v>36</v>
      </c>
      <c r="G163" s="2" t="s">
        <v>71</v>
      </c>
      <c r="H163" s="2" t="s">
        <v>1003</v>
      </c>
      <c r="I163" s="3" t="s">
        <v>1004</v>
      </c>
      <c r="J163" s="2" t="s">
        <v>1005</v>
      </c>
      <c r="K163" s="2" t="s">
        <v>1006</v>
      </c>
      <c r="L163" s="4" t="n">
        <v>63</v>
      </c>
      <c r="M163" s="4" t="s">
        <v>44</v>
      </c>
      <c r="N163" s="5" t="n">
        <v>63</v>
      </c>
      <c r="O163" s="6" t="n">
        <v>63</v>
      </c>
      <c r="P163" s="6" t="s">
        <v>44</v>
      </c>
      <c r="Q163" s="7" t="n">
        <v>63</v>
      </c>
      <c r="R163" s="8" t="n">
        <v>53</v>
      </c>
      <c r="S163" s="8" t="s">
        <v>53</v>
      </c>
      <c r="T163" s="9" t="n">
        <v>53</v>
      </c>
      <c r="U163" s="10" t="n">
        <v>90</v>
      </c>
      <c r="V163" s="10" t="s">
        <v>54</v>
      </c>
      <c r="W163" s="11" t="n">
        <v>90</v>
      </c>
      <c r="X163" s="12" t="n">
        <v>56</v>
      </c>
      <c r="Y163" s="12" t="s">
        <v>53</v>
      </c>
      <c r="Z163" s="13" t="n">
        <v>56</v>
      </c>
      <c r="AA163" s="14" t="n">
        <v>74</v>
      </c>
      <c r="AB163" s="14" t="s">
        <v>43</v>
      </c>
      <c r="AC163" s="15" t="n">
        <v>74</v>
      </c>
      <c r="AD163" s="2" t="n">
        <f aca="false">SUM(L163,O163,R163,U163,X163,AA163)</f>
        <v>399</v>
      </c>
      <c r="AE163" s="16" t="n">
        <f aca="false">AD163/6</f>
        <v>66.5</v>
      </c>
      <c r="AF163" s="2" t="str">
        <f aca="false">IF(SUM(COUNTIF(M163,"RA"),COUNTIF(P163,"RA"),COUNTIF(S163,"RA"),COUNTIF(V163,"RA"),COUNTIF(Y163,"RA"),COUNTIF(AB163,"RA"))&gt;0,"FAIL","PASS")</f>
        <v>PASS</v>
      </c>
    </row>
    <row r="164" customFormat="false" ht="15" hidden="false" customHeight="false" outlineLevel="0" collapsed="false">
      <c r="A164" s="2" t="n">
        <v>163</v>
      </c>
      <c r="B164" s="3" t="s">
        <v>1007</v>
      </c>
      <c r="C164" s="2" t="s">
        <v>859</v>
      </c>
      <c r="D164" s="2" t="s">
        <v>1008</v>
      </c>
      <c r="E164" s="2" t="s">
        <v>35</v>
      </c>
      <c r="F164" s="2" t="s">
        <v>36</v>
      </c>
      <c r="G164" s="2" t="s">
        <v>71</v>
      </c>
      <c r="H164" s="2" t="s">
        <v>1009</v>
      </c>
      <c r="I164" s="3" t="s">
        <v>361</v>
      </c>
      <c r="J164" s="2" t="s">
        <v>1010</v>
      </c>
      <c r="K164" s="2" t="s">
        <v>1011</v>
      </c>
      <c r="L164" s="4" t="n">
        <v>44</v>
      </c>
      <c r="M164" s="4" t="s">
        <v>45</v>
      </c>
      <c r="N164" s="5" t="n">
        <v>44</v>
      </c>
      <c r="O164" s="6" t="n">
        <v>41</v>
      </c>
      <c r="P164" s="6" t="s">
        <v>45</v>
      </c>
      <c r="Q164" s="7" t="n">
        <v>41</v>
      </c>
      <c r="R164" s="8" t="n">
        <v>56</v>
      </c>
      <c r="S164" s="8" t="s">
        <v>53</v>
      </c>
      <c r="T164" s="9" t="n">
        <v>56</v>
      </c>
      <c r="U164" s="10" t="n">
        <v>100</v>
      </c>
      <c r="V164" s="10" t="s">
        <v>54</v>
      </c>
      <c r="W164" s="11" t="n">
        <v>100</v>
      </c>
      <c r="X164" s="12" t="n">
        <v>70</v>
      </c>
      <c r="Y164" s="12" t="s">
        <v>43</v>
      </c>
      <c r="Z164" s="13" t="n">
        <v>70</v>
      </c>
      <c r="AA164" s="14" t="n">
        <v>74</v>
      </c>
      <c r="AB164" s="14" t="s">
        <v>43</v>
      </c>
      <c r="AC164" s="15" t="n">
        <v>74</v>
      </c>
      <c r="AD164" s="2" t="n">
        <f aca="false">SUM(L164,O164,R164,U164,X164,AA164)</f>
        <v>385</v>
      </c>
      <c r="AE164" s="16" t="n">
        <f aca="false">AD164/6</f>
        <v>64.1666666666667</v>
      </c>
      <c r="AF164" s="2" t="str">
        <f aca="false">IF(SUM(COUNTIF(M164,"RA"),COUNTIF(P164,"RA"),COUNTIF(S164,"RA"),COUNTIF(V164,"RA"),COUNTIF(Y164,"RA"),COUNTIF(AB164,"RA"))&gt;0,"FAIL","PASS")</f>
        <v>FAIL</v>
      </c>
    </row>
    <row r="165" customFormat="false" ht="15" hidden="false" customHeight="false" outlineLevel="0" collapsed="false">
      <c r="A165" s="2" t="n">
        <v>164</v>
      </c>
      <c r="B165" s="3" t="s">
        <v>1012</v>
      </c>
      <c r="C165" s="2" t="s">
        <v>783</v>
      </c>
      <c r="D165" s="2" t="s">
        <v>1013</v>
      </c>
      <c r="E165" s="2" t="s">
        <v>57</v>
      </c>
      <c r="F165" s="2" t="s">
        <v>36</v>
      </c>
      <c r="G165" s="2" t="s">
        <v>37</v>
      </c>
      <c r="H165" s="2" t="s">
        <v>1014</v>
      </c>
      <c r="I165" s="3" t="s">
        <v>1015</v>
      </c>
      <c r="J165" s="2" t="s">
        <v>1016</v>
      </c>
      <c r="K165" s="2" t="s">
        <v>1017</v>
      </c>
      <c r="L165" s="4" t="n">
        <v>85</v>
      </c>
      <c r="M165" s="4" t="s">
        <v>42</v>
      </c>
      <c r="N165" s="5" t="n">
        <v>85</v>
      </c>
      <c r="O165" s="6" t="n">
        <v>100</v>
      </c>
      <c r="P165" s="6" t="s">
        <v>54</v>
      </c>
      <c r="Q165" s="7" t="n">
        <v>100</v>
      </c>
      <c r="R165" s="8" t="n">
        <v>58</v>
      </c>
      <c r="S165" s="8" t="s">
        <v>53</v>
      </c>
      <c r="T165" s="9" t="n">
        <v>58</v>
      </c>
      <c r="U165" s="10" t="n">
        <v>97</v>
      </c>
      <c r="V165" s="10" t="s">
        <v>54</v>
      </c>
      <c r="W165" s="11" t="n">
        <v>97</v>
      </c>
      <c r="X165" s="12" t="n">
        <v>64</v>
      </c>
      <c r="Y165" s="12" t="s">
        <v>44</v>
      </c>
      <c r="Z165" s="13" t="n">
        <v>64</v>
      </c>
      <c r="AA165" s="14" t="n">
        <v>75</v>
      </c>
      <c r="AB165" s="14" t="s">
        <v>43</v>
      </c>
      <c r="AC165" s="15" t="n">
        <v>75</v>
      </c>
      <c r="AD165" s="2" t="n">
        <f aca="false">SUM(L165,O165,R165,U165,X165,AA165)</f>
        <v>479</v>
      </c>
      <c r="AE165" s="16" t="n">
        <f aca="false">AD165/6</f>
        <v>79.8333333333333</v>
      </c>
      <c r="AF165" s="2" t="str">
        <f aca="false">IF(SUM(COUNTIF(M165,"RA"),COUNTIF(P165,"RA"),COUNTIF(S165,"RA"),COUNTIF(V165,"RA"),COUNTIF(Y165,"RA"),COUNTIF(AB165,"RA"))&gt;0,"FAIL","PASS")</f>
        <v>PASS</v>
      </c>
    </row>
    <row r="166" customFormat="false" ht="15" hidden="false" customHeight="false" outlineLevel="0" collapsed="false">
      <c r="A166" s="2" t="n">
        <v>165</v>
      </c>
      <c r="B166" s="3" t="s">
        <v>1018</v>
      </c>
      <c r="C166" s="2" t="s">
        <v>770</v>
      </c>
      <c r="D166" s="2" t="s">
        <v>1019</v>
      </c>
      <c r="E166" s="2" t="s">
        <v>57</v>
      </c>
      <c r="F166" s="2" t="s">
        <v>36</v>
      </c>
      <c r="G166" s="2" t="s">
        <v>42</v>
      </c>
      <c r="H166" s="2" t="s">
        <v>1020</v>
      </c>
      <c r="I166" s="3" t="s">
        <v>1021</v>
      </c>
      <c r="J166" s="2" t="s">
        <v>1022</v>
      </c>
      <c r="K166" s="2" t="s">
        <v>1023</v>
      </c>
      <c r="L166" s="4" t="n">
        <v>75</v>
      </c>
      <c r="M166" s="4" t="s">
        <v>43</v>
      </c>
      <c r="N166" s="5" t="n">
        <v>75</v>
      </c>
      <c r="O166" s="6" t="n">
        <v>84</v>
      </c>
      <c r="P166" s="6" t="s">
        <v>42</v>
      </c>
      <c r="Q166" s="7" t="n">
        <v>84</v>
      </c>
      <c r="R166" s="8" t="n">
        <v>79</v>
      </c>
      <c r="S166" s="8" t="s">
        <v>43</v>
      </c>
      <c r="T166" s="9" t="n">
        <v>79</v>
      </c>
      <c r="U166" s="10" t="n">
        <v>61</v>
      </c>
      <c r="V166" s="10" t="s">
        <v>44</v>
      </c>
      <c r="W166" s="11" t="n">
        <v>61</v>
      </c>
      <c r="X166" s="12" t="n">
        <v>56</v>
      </c>
      <c r="Y166" s="12" t="s">
        <v>53</v>
      </c>
      <c r="Z166" s="13" t="n">
        <v>56</v>
      </c>
      <c r="AA166" s="14" t="n">
        <v>45</v>
      </c>
      <c r="AB166" s="14" t="s">
        <v>45</v>
      </c>
      <c r="AC166" s="15" t="n">
        <v>45</v>
      </c>
      <c r="AD166" s="2" t="n">
        <f aca="false">SUM(L166,O166,R166,U166,X166,AA166)</f>
        <v>400</v>
      </c>
      <c r="AE166" s="16" t="n">
        <f aca="false">AD166/6</f>
        <v>66.6666666666667</v>
      </c>
      <c r="AF166" s="2" t="str">
        <f aca="false">IF(SUM(COUNTIF(M166,"RA"),COUNTIF(P166,"RA"),COUNTIF(S166,"RA"),COUNTIF(V166,"RA"),COUNTIF(Y166,"RA"),COUNTIF(AB166,"RA"))&gt;0,"FAIL","PASS")</f>
        <v>FAIL</v>
      </c>
    </row>
    <row r="167" customFormat="false" ht="15" hidden="false" customHeight="false" outlineLevel="0" collapsed="false">
      <c r="A167" s="2" t="n">
        <v>166</v>
      </c>
      <c r="B167" s="3" t="s">
        <v>1024</v>
      </c>
      <c r="C167" s="2" t="s">
        <v>790</v>
      </c>
      <c r="D167" s="2" t="s">
        <v>1025</v>
      </c>
      <c r="E167" s="2" t="s">
        <v>35</v>
      </c>
      <c r="F167" s="2" t="s">
        <v>36</v>
      </c>
      <c r="G167" s="2" t="s">
        <v>44</v>
      </c>
      <c r="H167" s="2" t="s">
        <v>1026</v>
      </c>
      <c r="I167" s="3" t="s">
        <v>1027</v>
      </c>
      <c r="J167" s="2" t="s">
        <v>1028</v>
      </c>
      <c r="K167" s="2" t="s">
        <v>1029</v>
      </c>
      <c r="L167" s="4" t="n">
        <v>92</v>
      </c>
      <c r="M167" s="4" t="s">
        <v>54</v>
      </c>
      <c r="N167" s="5" t="n">
        <v>92</v>
      </c>
      <c r="O167" s="6" t="n">
        <v>66</v>
      </c>
      <c r="P167" s="6" t="s">
        <v>44</v>
      </c>
      <c r="Q167" s="7" t="n">
        <v>66</v>
      </c>
      <c r="R167" s="8" t="n">
        <v>69</v>
      </c>
      <c r="S167" s="8" t="s">
        <v>44</v>
      </c>
      <c r="T167" s="9" t="n">
        <v>69</v>
      </c>
      <c r="U167" s="10" t="n">
        <v>84</v>
      </c>
      <c r="V167" s="10" t="s">
        <v>42</v>
      </c>
      <c r="W167" s="11" t="n">
        <v>84</v>
      </c>
      <c r="X167" s="12" t="n">
        <v>88</v>
      </c>
      <c r="Y167" s="12" t="s">
        <v>42</v>
      </c>
      <c r="Z167" s="13" t="n">
        <v>88</v>
      </c>
      <c r="AA167" s="14" t="n">
        <v>83</v>
      </c>
      <c r="AB167" s="14" t="s">
        <v>42</v>
      </c>
      <c r="AC167" s="15" t="n">
        <v>83</v>
      </c>
      <c r="AD167" s="2" t="n">
        <f aca="false">SUM(L167,O167,R167,U167,X167,AA167)</f>
        <v>482</v>
      </c>
      <c r="AE167" s="16" t="n">
        <f aca="false">AD167/6</f>
        <v>80.3333333333333</v>
      </c>
      <c r="AF167" s="2" t="str">
        <f aca="false">IF(SUM(COUNTIF(M167,"RA"),COUNTIF(P167,"RA"),COUNTIF(S167,"RA"),COUNTIF(V167,"RA"),COUNTIF(Y167,"RA"),COUNTIF(AB167,"RA"))&gt;0,"FAIL","PASS")</f>
        <v>PASS</v>
      </c>
    </row>
    <row r="168" customFormat="false" ht="15" hidden="false" customHeight="false" outlineLevel="0" collapsed="false">
      <c r="A168" s="2" t="n">
        <v>167</v>
      </c>
      <c r="B168" s="3" t="s">
        <v>1030</v>
      </c>
      <c r="C168" s="2" t="s">
        <v>841</v>
      </c>
      <c r="D168" s="2" t="s">
        <v>1031</v>
      </c>
      <c r="E168" s="2" t="s">
        <v>57</v>
      </c>
      <c r="F168" s="2" t="s">
        <v>36</v>
      </c>
      <c r="G168" s="2" t="s">
        <v>78</v>
      </c>
      <c r="H168" s="2" t="s">
        <v>1032</v>
      </c>
      <c r="I168" s="3" t="s">
        <v>1033</v>
      </c>
      <c r="J168" s="2" t="s">
        <v>1034</v>
      </c>
      <c r="K168" s="2" t="s">
        <v>1035</v>
      </c>
      <c r="L168" s="4" t="n">
        <v>75</v>
      </c>
      <c r="M168" s="4" t="s">
        <v>43</v>
      </c>
      <c r="N168" s="5" t="n">
        <v>75</v>
      </c>
      <c r="O168" s="6" t="n">
        <v>76</v>
      </c>
      <c r="P168" s="6" t="s">
        <v>43</v>
      </c>
      <c r="Q168" s="7" t="n">
        <v>76</v>
      </c>
      <c r="R168" s="8" t="n">
        <v>60</v>
      </c>
      <c r="S168" s="8" t="s">
        <v>44</v>
      </c>
      <c r="T168" s="9" t="n">
        <v>60</v>
      </c>
      <c r="U168" s="10" t="n">
        <v>45</v>
      </c>
      <c r="V168" s="10" t="s">
        <v>45</v>
      </c>
      <c r="W168" s="11" t="n">
        <v>45</v>
      </c>
      <c r="X168" s="12" t="n">
        <v>47</v>
      </c>
      <c r="Y168" s="12" t="s">
        <v>45</v>
      </c>
      <c r="Z168" s="13" t="n">
        <v>47</v>
      </c>
      <c r="AA168" s="14" t="n">
        <v>79</v>
      </c>
      <c r="AB168" s="14" t="s">
        <v>43</v>
      </c>
      <c r="AC168" s="15" t="n">
        <v>79</v>
      </c>
      <c r="AD168" s="2" t="n">
        <f aca="false">SUM(L168,O168,R168,U168,X168,AA168)</f>
        <v>382</v>
      </c>
      <c r="AE168" s="16" t="n">
        <f aca="false">AD168/6</f>
        <v>63.6666666666667</v>
      </c>
      <c r="AF168" s="2" t="str">
        <f aca="false">IF(SUM(COUNTIF(M168,"RA"),COUNTIF(P168,"RA"),COUNTIF(S168,"RA"),COUNTIF(V168,"RA"),COUNTIF(Y168,"RA"),COUNTIF(AB168,"RA"))&gt;0,"FAIL","PASS")</f>
        <v>FAIL</v>
      </c>
    </row>
    <row r="169" customFormat="false" ht="15" hidden="false" customHeight="false" outlineLevel="0" collapsed="false">
      <c r="A169" s="2" t="n">
        <v>168</v>
      </c>
      <c r="B169" s="3" t="s">
        <v>1036</v>
      </c>
      <c r="C169" s="2" t="s">
        <v>790</v>
      </c>
      <c r="D169" s="2" t="s">
        <v>1037</v>
      </c>
      <c r="E169" s="2" t="s">
        <v>35</v>
      </c>
      <c r="F169" s="2" t="s">
        <v>36</v>
      </c>
      <c r="G169" s="2" t="s">
        <v>71</v>
      </c>
      <c r="H169" s="2" t="s">
        <v>1038</v>
      </c>
      <c r="I169" s="3" t="s">
        <v>1039</v>
      </c>
      <c r="J169" s="2" t="s">
        <v>1040</v>
      </c>
      <c r="K169" s="2" t="s">
        <v>1041</v>
      </c>
      <c r="L169" s="4" t="n">
        <v>67</v>
      </c>
      <c r="M169" s="4" t="s">
        <v>44</v>
      </c>
      <c r="N169" s="5" t="n">
        <v>67</v>
      </c>
      <c r="O169" s="6" t="n">
        <v>89</v>
      </c>
      <c r="P169" s="6" t="s">
        <v>42</v>
      </c>
      <c r="Q169" s="7" t="n">
        <v>89</v>
      </c>
      <c r="R169" s="8" t="n">
        <v>92</v>
      </c>
      <c r="S169" s="8" t="s">
        <v>54</v>
      </c>
      <c r="T169" s="9" t="n">
        <v>92</v>
      </c>
      <c r="U169" s="10" t="n">
        <v>84</v>
      </c>
      <c r="V169" s="10" t="s">
        <v>42</v>
      </c>
      <c r="W169" s="11" t="n">
        <v>84</v>
      </c>
      <c r="X169" s="12" t="n">
        <v>71</v>
      </c>
      <c r="Y169" s="12" t="s">
        <v>43</v>
      </c>
      <c r="Z169" s="13" t="n">
        <v>71</v>
      </c>
      <c r="AA169" s="14" t="n">
        <v>88</v>
      </c>
      <c r="AB169" s="14" t="s">
        <v>42</v>
      </c>
      <c r="AC169" s="15" t="n">
        <v>88</v>
      </c>
      <c r="AD169" s="2" t="n">
        <f aca="false">SUM(L169,O169,R169,U169,X169,AA169)</f>
        <v>491</v>
      </c>
      <c r="AE169" s="16" t="n">
        <f aca="false">AD169/6</f>
        <v>81.8333333333333</v>
      </c>
      <c r="AF169" s="2" t="str">
        <f aca="false">IF(SUM(COUNTIF(M169,"RA"),COUNTIF(P169,"RA"),COUNTIF(S169,"RA"),COUNTIF(V169,"RA"),COUNTIF(Y169,"RA"),COUNTIF(AB169,"RA"))&gt;0,"FAIL","PASS")</f>
        <v>PASS</v>
      </c>
    </row>
    <row r="170" customFormat="false" ht="15" hidden="false" customHeight="false" outlineLevel="0" collapsed="false">
      <c r="A170" s="2" t="n">
        <v>169</v>
      </c>
      <c r="B170" s="3" t="s">
        <v>1042</v>
      </c>
      <c r="C170" s="2" t="s">
        <v>816</v>
      </c>
      <c r="D170" s="2" t="s">
        <v>1043</v>
      </c>
      <c r="E170" s="2" t="s">
        <v>35</v>
      </c>
      <c r="F170" s="2" t="s">
        <v>36</v>
      </c>
      <c r="G170" s="2" t="s">
        <v>37</v>
      </c>
      <c r="H170" s="2" t="s">
        <v>1044</v>
      </c>
      <c r="I170" s="3" t="s">
        <v>1045</v>
      </c>
      <c r="J170" s="2" t="s">
        <v>1046</v>
      </c>
      <c r="K170" s="2" t="s">
        <v>1047</v>
      </c>
      <c r="L170" s="4" t="n">
        <v>92</v>
      </c>
      <c r="M170" s="4" t="s">
        <v>54</v>
      </c>
      <c r="N170" s="5" t="n">
        <v>92</v>
      </c>
      <c r="O170" s="6" t="n">
        <v>96</v>
      </c>
      <c r="P170" s="6" t="s">
        <v>54</v>
      </c>
      <c r="Q170" s="7" t="n">
        <v>96</v>
      </c>
      <c r="R170" s="8" t="n">
        <v>97</v>
      </c>
      <c r="S170" s="8" t="s">
        <v>54</v>
      </c>
      <c r="T170" s="9" t="n">
        <v>97</v>
      </c>
      <c r="U170" s="10" t="n">
        <v>62</v>
      </c>
      <c r="V170" s="10" t="s">
        <v>44</v>
      </c>
      <c r="W170" s="11" t="n">
        <v>62</v>
      </c>
      <c r="X170" s="12" t="n">
        <v>81</v>
      </c>
      <c r="Y170" s="12" t="s">
        <v>42</v>
      </c>
      <c r="Z170" s="13" t="n">
        <v>81</v>
      </c>
      <c r="AA170" s="14" t="n">
        <v>89</v>
      </c>
      <c r="AB170" s="14" t="s">
        <v>42</v>
      </c>
      <c r="AC170" s="15" t="n">
        <v>89</v>
      </c>
      <c r="AD170" s="2" t="n">
        <f aca="false">SUM(L170,O170,R170,U170,X170,AA170)</f>
        <v>517</v>
      </c>
      <c r="AE170" s="16" t="n">
        <f aca="false">AD170/6</f>
        <v>86.1666666666667</v>
      </c>
      <c r="AF170" s="2" t="str">
        <f aca="false">IF(SUM(COUNTIF(M170,"RA"),COUNTIF(P170,"RA"),COUNTIF(S170,"RA"),COUNTIF(V170,"RA"),COUNTIF(Y170,"RA"),COUNTIF(AB170,"RA"))&gt;0,"FAIL","PASS")</f>
        <v>PASS</v>
      </c>
    </row>
    <row r="171" customFormat="false" ht="15" hidden="false" customHeight="false" outlineLevel="0" collapsed="false">
      <c r="A171" s="2" t="n">
        <v>170</v>
      </c>
      <c r="B171" s="3" t="s">
        <v>1048</v>
      </c>
      <c r="C171" s="2" t="s">
        <v>859</v>
      </c>
      <c r="D171" s="2" t="s">
        <v>1049</v>
      </c>
      <c r="E171" s="2" t="s">
        <v>57</v>
      </c>
      <c r="F171" s="2" t="s">
        <v>36</v>
      </c>
      <c r="G171" s="2" t="s">
        <v>48</v>
      </c>
      <c r="H171" s="2" t="s">
        <v>1050</v>
      </c>
      <c r="I171" s="3" t="s">
        <v>153</v>
      </c>
      <c r="J171" s="2" t="s">
        <v>1051</v>
      </c>
      <c r="K171" s="2" t="s">
        <v>1052</v>
      </c>
      <c r="L171" s="4" t="n">
        <v>61</v>
      </c>
      <c r="M171" s="4" t="s">
        <v>44</v>
      </c>
      <c r="N171" s="5" t="n">
        <v>61</v>
      </c>
      <c r="O171" s="6" t="n">
        <v>91</v>
      </c>
      <c r="P171" s="6" t="s">
        <v>54</v>
      </c>
      <c r="Q171" s="7" t="n">
        <v>91</v>
      </c>
      <c r="R171" s="8" t="n">
        <v>93</v>
      </c>
      <c r="S171" s="8" t="s">
        <v>54</v>
      </c>
      <c r="T171" s="9" t="n">
        <v>93</v>
      </c>
      <c r="U171" s="10" t="n">
        <v>80</v>
      </c>
      <c r="V171" s="10" t="s">
        <v>42</v>
      </c>
      <c r="W171" s="11" t="n">
        <v>80</v>
      </c>
      <c r="X171" s="12" t="n">
        <v>61</v>
      </c>
      <c r="Y171" s="12" t="s">
        <v>44</v>
      </c>
      <c r="Z171" s="13" t="n">
        <v>61</v>
      </c>
      <c r="AA171" s="14" t="n">
        <v>63</v>
      </c>
      <c r="AB171" s="14" t="s">
        <v>44</v>
      </c>
      <c r="AC171" s="15" t="n">
        <v>63</v>
      </c>
      <c r="AD171" s="2" t="n">
        <f aca="false">SUM(L171,O171,R171,U171,X171,AA171)</f>
        <v>449</v>
      </c>
      <c r="AE171" s="16" t="n">
        <f aca="false">AD171/6</f>
        <v>74.8333333333333</v>
      </c>
      <c r="AF171" s="2" t="str">
        <f aca="false">IF(SUM(COUNTIF(M171,"RA"),COUNTIF(P171,"RA"),COUNTIF(S171,"RA"),COUNTIF(V171,"RA"),COUNTIF(Y171,"RA"),COUNTIF(AB171,"RA"))&gt;0,"FAIL","PASS")</f>
        <v>PASS</v>
      </c>
    </row>
    <row r="172" customFormat="false" ht="15" hidden="false" customHeight="false" outlineLevel="0" collapsed="false">
      <c r="A172" s="2" t="n">
        <v>171</v>
      </c>
      <c r="B172" s="3" t="s">
        <v>1053</v>
      </c>
      <c r="C172" s="2" t="s">
        <v>912</v>
      </c>
      <c r="D172" s="2" t="s">
        <v>1054</v>
      </c>
      <c r="E172" s="2" t="s">
        <v>57</v>
      </c>
      <c r="F172" s="2" t="s">
        <v>36</v>
      </c>
      <c r="G172" s="2" t="s">
        <v>91</v>
      </c>
      <c r="H172" s="2" t="s">
        <v>1055</v>
      </c>
      <c r="I172" s="3" t="s">
        <v>59</v>
      </c>
      <c r="J172" s="2" t="s">
        <v>1056</v>
      </c>
      <c r="K172" s="2" t="s">
        <v>1057</v>
      </c>
      <c r="L172" s="4" t="n">
        <v>77</v>
      </c>
      <c r="M172" s="4" t="s">
        <v>43</v>
      </c>
      <c r="N172" s="5" t="n">
        <v>77</v>
      </c>
      <c r="O172" s="6" t="n">
        <v>97</v>
      </c>
      <c r="P172" s="6" t="s">
        <v>54</v>
      </c>
      <c r="Q172" s="7" t="n">
        <v>97</v>
      </c>
      <c r="R172" s="8" t="n">
        <v>77</v>
      </c>
      <c r="S172" s="8" t="s">
        <v>43</v>
      </c>
      <c r="T172" s="9" t="n">
        <v>77</v>
      </c>
      <c r="U172" s="10" t="n">
        <v>73</v>
      </c>
      <c r="V172" s="10" t="s">
        <v>43</v>
      </c>
      <c r="W172" s="11" t="n">
        <v>73</v>
      </c>
      <c r="X172" s="12" t="n">
        <v>44</v>
      </c>
      <c r="Y172" s="12" t="s">
        <v>45</v>
      </c>
      <c r="Z172" s="13" t="n">
        <v>44</v>
      </c>
      <c r="AA172" s="14" t="n">
        <v>81</v>
      </c>
      <c r="AB172" s="14" t="s">
        <v>42</v>
      </c>
      <c r="AC172" s="15" t="n">
        <v>81</v>
      </c>
      <c r="AD172" s="2" t="n">
        <f aca="false">SUM(L172,O172,R172,U172,X172,AA172)</f>
        <v>449</v>
      </c>
      <c r="AE172" s="16" t="n">
        <f aca="false">AD172/6</f>
        <v>74.8333333333333</v>
      </c>
      <c r="AF172" s="2" t="str">
        <f aca="false">IF(SUM(COUNTIF(M172,"RA"),COUNTIF(P172,"RA"),COUNTIF(S172,"RA"),COUNTIF(V172,"RA"),COUNTIF(Y172,"RA"),COUNTIF(AB172,"RA"))&gt;0,"FAIL","PASS")</f>
        <v>FAIL</v>
      </c>
    </row>
    <row r="173" customFormat="false" ht="15" hidden="false" customHeight="false" outlineLevel="0" collapsed="false">
      <c r="A173" s="2" t="n">
        <v>172</v>
      </c>
      <c r="B173" s="3" t="s">
        <v>1058</v>
      </c>
      <c r="C173" s="2" t="s">
        <v>750</v>
      </c>
      <c r="D173" s="2" t="s">
        <v>1059</v>
      </c>
      <c r="E173" s="2" t="s">
        <v>35</v>
      </c>
      <c r="F173" s="2" t="s">
        <v>36</v>
      </c>
      <c r="G173" s="2" t="s">
        <v>91</v>
      </c>
      <c r="H173" s="2" t="s">
        <v>1060</v>
      </c>
      <c r="I173" s="3" t="s">
        <v>1061</v>
      </c>
      <c r="J173" s="2" t="s">
        <v>1062</v>
      </c>
      <c r="K173" s="2" t="s">
        <v>1063</v>
      </c>
      <c r="L173" s="4" t="n">
        <v>93</v>
      </c>
      <c r="M173" s="4" t="s">
        <v>54</v>
      </c>
      <c r="N173" s="5" t="n">
        <v>93</v>
      </c>
      <c r="O173" s="6" t="n">
        <v>43</v>
      </c>
      <c r="P173" s="6" t="s">
        <v>45</v>
      </c>
      <c r="Q173" s="7" t="n">
        <v>43</v>
      </c>
      <c r="R173" s="8" t="n">
        <v>97</v>
      </c>
      <c r="S173" s="8" t="s">
        <v>54</v>
      </c>
      <c r="T173" s="9" t="n">
        <v>97</v>
      </c>
      <c r="U173" s="10" t="n">
        <v>63</v>
      </c>
      <c r="V173" s="10" t="s">
        <v>44</v>
      </c>
      <c r="W173" s="11" t="n">
        <v>63</v>
      </c>
      <c r="X173" s="12" t="n">
        <v>78</v>
      </c>
      <c r="Y173" s="12" t="s">
        <v>43</v>
      </c>
      <c r="Z173" s="13" t="n">
        <v>78</v>
      </c>
      <c r="AA173" s="14" t="n">
        <v>93</v>
      </c>
      <c r="AB173" s="14" t="s">
        <v>54</v>
      </c>
      <c r="AC173" s="15" t="n">
        <v>93</v>
      </c>
      <c r="AD173" s="2" t="n">
        <f aca="false">SUM(L173,O173,R173,U173,X173,AA173)</f>
        <v>467</v>
      </c>
      <c r="AE173" s="16" t="n">
        <f aca="false">AD173/6</f>
        <v>77.8333333333333</v>
      </c>
      <c r="AF173" s="2" t="str">
        <f aca="false">IF(SUM(COUNTIF(M173,"RA"),COUNTIF(P173,"RA"),COUNTIF(S173,"RA"),COUNTIF(V173,"RA"),COUNTIF(Y173,"RA"),COUNTIF(AB173,"RA"))&gt;0,"FAIL","PASS")</f>
        <v>FAIL</v>
      </c>
    </row>
    <row r="174" customFormat="false" ht="15" hidden="false" customHeight="false" outlineLevel="0" collapsed="false">
      <c r="A174" s="2" t="n">
        <v>173</v>
      </c>
      <c r="B174" s="3" t="s">
        <v>1064</v>
      </c>
      <c r="C174" s="2" t="s">
        <v>912</v>
      </c>
      <c r="D174" s="2" t="s">
        <v>1065</v>
      </c>
      <c r="E174" s="2" t="s">
        <v>35</v>
      </c>
      <c r="F174" s="2" t="s">
        <v>36</v>
      </c>
      <c r="G174" s="2" t="s">
        <v>64</v>
      </c>
      <c r="H174" s="2" t="s">
        <v>1066</v>
      </c>
      <c r="I174" s="3" t="s">
        <v>1067</v>
      </c>
      <c r="J174" s="2" t="s">
        <v>1068</v>
      </c>
      <c r="K174" s="2" t="s">
        <v>1069</v>
      </c>
      <c r="L174" s="4" t="n">
        <v>95</v>
      </c>
      <c r="M174" s="4" t="s">
        <v>54</v>
      </c>
      <c r="N174" s="5" t="n">
        <v>95</v>
      </c>
      <c r="O174" s="6" t="n">
        <v>44</v>
      </c>
      <c r="P174" s="6" t="s">
        <v>45</v>
      </c>
      <c r="Q174" s="7" t="n">
        <v>44</v>
      </c>
      <c r="R174" s="8" t="n">
        <v>76</v>
      </c>
      <c r="S174" s="8" t="s">
        <v>43</v>
      </c>
      <c r="T174" s="9" t="n">
        <v>76</v>
      </c>
      <c r="U174" s="10" t="n">
        <v>95</v>
      </c>
      <c r="V174" s="10" t="s">
        <v>54</v>
      </c>
      <c r="W174" s="11" t="n">
        <v>95</v>
      </c>
      <c r="X174" s="12" t="n">
        <v>46</v>
      </c>
      <c r="Y174" s="12" t="s">
        <v>45</v>
      </c>
      <c r="Z174" s="13" t="n">
        <v>46</v>
      </c>
      <c r="AA174" s="14" t="n">
        <v>89</v>
      </c>
      <c r="AB174" s="14" t="s">
        <v>42</v>
      </c>
      <c r="AC174" s="15" t="n">
        <v>89</v>
      </c>
      <c r="AD174" s="2" t="n">
        <f aca="false">SUM(L174,O174,R174,U174,X174,AA174)</f>
        <v>445</v>
      </c>
      <c r="AE174" s="16" t="n">
        <f aca="false">AD174/6</f>
        <v>74.1666666666667</v>
      </c>
      <c r="AF174" s="2" t="str">
        <f aca="false">IF(SUM(COUNTIF(M174,"RA"),COUNTIF(P174,"RA"),COUNTIF(S174,"RA"),COUNTIF(V174,"RA"),COUNTIF(Y174,"RA"),COUNTIF(AB174,"RA"))&gt;0,"FAIL","PASS")</f>
        <v>FAIL</v>
      </c>
    </row>
    <row r="175" customFormat="false" ht="15" hidden="false" customHeight="false" outlineLevel="0" collapsed="false">
      <c r="A175" s="2" t="n">
        <v>174</v>
      </c>
      <c r="B175" s="3" t="s">
        <v>1070</v>
      </c>
      <c r="C175" s="2" t="s">
        <v>783</v>
      </c>
      <c r="D175" s="2" t="s">
        <v>1071</v>
      </c>
      <c r="E175" s="2" t="s">
        <v>57</v>
      </c>
      <c r="F175" s="2" t="s">
        <v>36</v>
      </c>
      <c r="G175" s="2" t="s">
        <v>64</v>
      </c>
      <c r="H175" s="2" t="s">
        <v>1072</v>
      </c>
      <c r="I175" s="3" t="s">
        <v>1073</v>
      </c>
      <c r="J175" s="2" t="s">
        <v>1074</v>
      </c>
      <c r="K175" s="2" t="s">
        <v>1075</v>
      </c>
      <c r="L175" s="4" t="n">
        <v>79</v>
      </c>
      <c r="M175" s="4" t="s">
        <v>43</v>
      </c>
      <c r="N175" s="5" t="n">
        <v>79</v>
      </c>
      <c r="O175" s="6" t="n">
        <v>91</v>
      </c>
      <c r="P175" s="6" t="s">
        <v>54</v>
      </c>
      <c r="Q175" s="7" t="n">
        <v>91</v>
      </c>
      <c r="R175" s="8" t="n">
        <v>59</v>
      </c>
      <c r="S175" s="8" t="s">
        <v>53</v>
      </c>
      <c r="T175" s="9" t="n">
        <v>59</v>
      </c>
      <c r="U175" s="10" t="n">
        <v>67</v>
      </c>
      <c r="V175" s="10" t="s">
        <v>44</v>
      </c>
      <c r="W175" s="11" t="n">
        <v>67</v>
      </c>
      <c r="X175" s="12" t="n">
        <v>67</v>
      </c>
      <c r="Y175" s="12" t="s">
        <v>44</v>
      </c>
      <c r="Z175" s="13" t="n">
        <v>67</v>
      </c>
      <c r="AA175" s="14" t="n">
        <v>70</v>
      </c>
      <c r="AB175" s="14" t="s">
        <v>43</v>
      </c>
      <c r="AC175" s="15" t="n">
        <v>70</v>
      </c>
      <c r="AD175" s="2" t="n">
        <f aca="false">SUM(L175,O175,R175,U175,X175,AA175)</f>
        <v>433</v>
      </c>
      <c r="AE175" s="16" t="n">
        <f aca="false">AD175/6</f>
        <v>72.1666666666667</v>
      </c>
      <c r="AF175" s="2" t="str">
        <f aca="false">IF(SUM(COUNTIF(M175,"RA"),COUNTIF(P175,"RA"),COUNTIF(S175,"RA"),COUNTIF(V175,"RA"),COUNTIF(Y175,"RA"),COUNTIF(AB175,"RA"))&gt;0,"FAIL","PASS")</f>
        <v>PASS</v>
      </c>
    </row>
    <row r="176" customFormat="false" ht="15" hidden="false" customHeight="false" outlineLevel="0" collapsed="false">
      <c r="A176" s="2" t="n">
        <v>175</v>
      </c>
      <c r="B176" s="3" t="s">
        <v>1076</v>
      </c>
      <c r="C176" s="2" t="s">
        <v>790</v>
      </c>
      <c r="D176" s="2" t="s">
        <v>1077</v>
      </c>
      <c r="E176" s="2" t="s">
        <v>57</v>
      </c>
      <c r="F176" s="2" t="s">
        <v>36</v>
      </c>
      <c r="G176" s="2" t="s">
        <v>42</v>
      </c>
      <c r="H176" s="2" t="s">
        <v>1078</v>
      </c>
      <c r="I176" s="3" t="s">
        <v>1079</v>
      </c>
      <c r="J176" s="2" t="s">
        <v>1080</v>
      </c>
      <c r="K176" s="2" t="s">
        <v>1081</v>
      </c>
      <c r="L176" s="4" t="n">
        <v>76</v>
      </c>
      <c r="M176" s="4" t="s">
        <v>43</v>
      </c>
      <c r="N176" s="5" t="n">
        <v>76</v>
      </c>
      <c r="O176" s="6" t="n">
        <v>68</v>
      </c>
      <c r="P176" s="6" t="s">
        <v>44</v>
      </c>
      <c r="Q176" s="7" t="n">
        <v>68</v>
      </c>
      <c r="R176" s="8" t="n">
        <v>99</v>
      </c>
      <c r="S176" s="8" t="s">
        <v>54</v>
      </c>
      <c r="T176" s="9" t="n">
        <v>99</v>
      </c>
      <c r="U176" s="10" t="n">
        <v>52</v>
      </c>
      <c r="V176" s="10" t="s">
        <v>53</v>
      </c>
      <c r="W176" s="11" t="n">
        <v>52</v>
      </c>
      <c r="X176" s="12" t="n">
        <v>97</v>
      </c>
      <c r="Y176" s="12" t="s">
        <v>54</v>
      </c>
      <c r="Z176" s="13" t="n">
        <v>97</v>
      </c>
      <c r="AA176" s="14" t="n">
        <v>66</v>
      </c>
      <c r="AB176" s="14" t="s">
        <v>44</v>
      </c>
      <c r="AC176" s="15" t="n">
        <v>66</v>
      </c>
      <c r="AD176" s="2" t="n">
        <f aca="false">SUM(L176,O176,R176,U176,X176,AA176)</f>
        <v>458</v>
      </c>
      <c r="AE176" s="16" t="n">
        <f aca="false">AD176/6</f>
        <v>76.3333333333333</v>
      </c>
      <c r="AF176" s="2" t="str">
        <f aca="false">IF(SUM(COUNTIF(M176,"RA"),COUNTIF(P176,"RA"),COUNTIF(S176,"RA"),COUNTIF(V176,"RA"),COUNTIF(Y176,"RA"),COUNTIF(AB176,"RA"))&gt;0,"FAIL","PASS")</f>
        <v>PASS</v>
      </c>
    </row>
    <row r="177" customFormat="false" ht="15" hidden="false" customHeight="false" outlineLevel="0" collapsed="false">
      <c r="A177" s="2" t="n">
        <v>176</v>
      </c>
      <c r="B177" s="3" t="s">
        <v>1082</v>
      </c>
      <c r="C177" s="2" t="s">
        <v>790</v>
      </c>
      <c r="D177" s="2" t="s">
        <v>1083</v>
      </c>
      <c r="E177" s="2" t="s">
        <v>35</v>
      </c>
      <c r="F177" s="2" t="s">
        <v>36</v>
      </c>
      <c r="G177" s="2" t="s">
        <v>42</v>
      </c>
      <c r="H177" s="2" t="s">
        <v>1084</v>
      </c>
      <c r="I177" s="3" t="s">
        <v>1085</v>
      </c>
      <c r="J177" s="2" t="s">
        <v>1086</v>
      </c>
      <c r="K177" s="2" t="s">
        <v>1087</v>
      </c>
      <c r="L177" s="4" t="n">
        <v>87</v>
      </c>
      <c r="M177" s="4" t="s">
        <v>42</v>
      </c>
      <c r="N177" s="5" t="n">
        <v>87</v>
      </c>
      <c r="O177" s="6" t="n">
        <v>89</v>
      </c>
      <c r="P177" s="6" t="s">
        <v>42</v>
      </c>
      <c r="Q177" s="7" t="n">
        <v>89</v>
      </c>
      <c r="R177" s="8" t="n">
        <v>63</v>
      </c>
      <c r="S177" s="8" t="s">
        <v>44</v>
      </c>
      <c r="T177" s="9" t="n">
        <v>63</v>
      </c>
      <c r="U177" s="10" t="n">
        <v>77</v>
      </c>
      <c r="V177" s="10" t="s">
        <v>43</v>
      </c>
      <c r="W177" s="11" t="n">
        <v>77</v>
      </c>
      <c r="X177" s="12" t="n">
        <v>78</v>
      </c>
      <c r="Y177" s="12" t="s">
        <v>43</v>
      </c>
      <c r="Z177" s="13" t="n">
        <v>78</v>
      </c>
      <c r="AA177" s="14" t="n">
        <v>84</v>
      </c>
      <c r="AB177" s="14" t="s">
        <v>42</v>
      </c>
      <c r="AC177" s="15" t="n">
        <v>84</v>
      </c>
      <c r="AD177" s="2" t="n">
        <f aca="false">SUM(L177,O177,R177,U177,X177,AA177)</f>
        <v>478</v>
      </c>
      <c r="AE177" s="16" t="n">
        <f aca="false">AD177/6</f>
        <v>79.6666666666667</v>
      </c>
      <c r="AF177" s="2" t="str">
        <f aca="false">IF(SUM(COUNTIF(M177,"RA"),COUNTIF(P177,"RA"),COUNTIF(S177,"RA"),COUNTIF(V177,"RA"),COUNTIF(Y177,"RA"),COUNTIF(AB177,"RA"))&gt;0,"FAIL","PASS")</f>
        <v>PASS</v>
      </c>
    </row>
    <row r="178" customFormat="false" ht="15" hidden="false" customHeight="false" outlineLevel="0" collapsed="false">
      <c r="A178" s="2" t="n">
        <v>177</v>
      </c>
      <c r="B178" s="3" t="s">
        <v>1088</v>
      </c>
      <c r="C178" s="2" t="s">
        <v>783</v>
      </c>
      <c r="D178" s="2" t="s">
        <v>1089</v>
      </c>
      <c r="E178" s="2" t="s">
        <v>35</v>
      </c>
      <c r="F178" s="2" t="s">
        <v>36</v>
      </c>
      <c r="G178" s="2" t="s">
        <v>91</v>
      </c>
      <c r="H178" s="2" t="s">
        <v>1090</v>
      </c>
      <c r="I178" s="3" t="s">
        <v>1091</v>
      </c>
      <c r="J178" s="2" t="s">
        <v>1092</v>
      </c>
      <c r="K178" s="2" t="s">
        <v>1093</v>
      </c>
      <c r="L178" s="4" t="n">
        <v>79</v>
      </c>
      <c r="M178" s="4" t="s">
        <v>43</v>
      </c>
      <c r="N178" s="5" t="n">
        <v>79</v>
      </c>
      <c r="O178" s="6" t="n">
        <v>72</v>
      </c>
      <c r="P178" s="6" t="s">
        <v>43</v>
      </c>
      <c r="Q178" s="7" t="n">
        <v>72</v>
      </c>
      <c r="R178" s="8" t="n">
        <v>75</v>
      </c>
      <c r="S178" s="8" t="s">
        <v>43</v>
      </c>
      <c r="T178" s="9" t="n">
        <v>75</v>
      </c>
      <c r="U178" s="10" t="n">
        <v>72</v>
      </c>
      <c r="V178" s="10" t="s">
        <v>43</v>
      </c>
      <c r="W178" s="11" t="n">
        <v>72</v>
      </c>
      <c r="X178" s="12" t="n">
        <v>88</v>
      </c>
      <c r="Y178" s="12" t="s">
        <v>42</v>
      </c>
      <c r="Z178" s="13" t="n">
        <v>88</v>
      </c>
      <c r="AA178" s="14" t="n">
        <v>91</v>
      </c>
      <c r="AB178" s="14" t="s">
        <v>54</v>
      </c>
      <c r="AC178" s="15" t="n">
        <v>91</v>
      </c>
      <c r="AD178" s="2" t="n">
        <f aca="false">SUM(L178,O178,R178,U178,X178,AA178)</f>
        <v>477</v>
      </c>
      <c r="AE178" s="16" t="n">
        <f aca="false">AD178/6</f>
        <v>79.5</v>
      </c>
      <c r="AF178" s="2" t="str">
        <f aca="false">IF(SUM(COUNTIF(M178,"RA"),COUNTIF(P178,"RA"),COUNTIF(S178,"RA"),COUNTIF(V178,"RA"),COUNTIF(Y178,"RA"),COUNTIF(AB178,"RA"))&gt;0,"FAIL","PASS")</f>
        <v>PASS</v>
      </c>
    </row>
    <row r="179" customFormat="false" ht="15" hidden="false" customHeight="false" outlineLevel="0" collapsed="false">
      <c r="A179" s="2" t="n">
        <v>178</v>
      </c>
      <c r="B179" s="3" t="s">
        <v>1094</v>
      </c>
      <c r="C179" s="2" t="s">
        <v>790</v>
      </c>
      <c r="D179" s="2" t="s">
        <v>1095</v>
      </c>
      <c r="E179" s="2" t="s">
        <v>35</v>
      </c>
      <c r="F179" s="2" t="s">
        <v>36</v>
      </c>
      <c r="G179" s="2" t="s">
        <v>42</v>
      </c>
      <c r="H179" s="2" t="s">
        <v>1096</v>
      </c>
      <c r="I179" s="3" t="s">
        <v>1097</v>
      </c>
      <c r="J179" s="2" t="s">
        <v>1098</v>
      </c>
      <c r="K179" s="2" t="s">
        <v>1099</v>
      </c>
      <c r="L179" s="4" t="n">
        <v>82</v>
      </c>
      <c r="M179" s="4" t="s">
        <v>42</v>
      </c>
      <c r="N179" s="5" t="n">
        <v>82</v>
      </c>
      <c r="O179" s="6" t="n">
        <v>43</v>
      </c>
      <c r="P179" s="6" t="s">
        <v>45</v>
      </c>
      <c r="Q179" s="7" t="n">
        <v>43</v>
      </c>
      <c r="R179" s="8" t="n">
        <v>61</v>
      </c>
      <c r="S179" s="8" t="s">
        <v>44</v>
      </c>
      <c r="T179" s="9" t="n">
        <v>61</v>
      </c>
      <c r="U179" s="10" t="n">
        <v>63</v>
      </c>
      <c r="V179" s="10" t="s">
        <v>44</v>
      </c>
      <c r="W179" s="11" t="n">
        <v>63</v>
      </c>
      <c r="X179" s="12" t="n">
        <v>51</v>
      </c>
      <c r="Y179" s="12" t="s">
        <v>53</v>
      </c>
      <c r="Z179" s="13" t="n">
        <v>51</v>
      </c>
      <c r="AA179" s="14" t="n">
        <v>84</v>
      </c>
      <c r="AB179" s="14" t="s">
        <v>42</v>
      </c>
      <c r="AC179" s="15" t="n">
        <v>84</v>
      </c>
      <c r="AD179" s="2" t="n">
        <f aca="false">SUM(L179,O179,R179,U179,X179,AA179)</f>
        <v>384</v>
      </c>
      <c r="AE179" s="16" t="n">
        <f aca="false">AD179/6</f>
        <v>64</v>
      </c>
      <c r="AF179" s="2" t="str">
        <f aca="false">IF(SUM(COUNTIF(M179,"RA"),COUNTIF(P179,"RA"),COUNTIF(S179,"RA"),COUNTIF(V179,"RA"),COUNTIF(Y179,"RA"),COUNTIF(AB179,"RA"))&gt;0,"FAIL","PASS")</f>
        <v>FAIL</v>
      </c>
    </row>
    <row r="180" customFormat="false" ht="15" hidden="false" customHeight="false" outlineLevel="0" collapsed="false">
      <c r="A180" s="2" t="n">
        <v>179</v>
      </c>
      <c r="B180" s="3" t="s">
        <v>1100</v>
      </c>
      <c r="C180" s="2" t="s">
        <v>783</v>
      </c>
      <c r="D180" s="2" t="s">
        <v>1101</v>
      </c>
      <c r="E180" s="2" t="s">
        <v>35</v>
      </c>
      <c r="F180" s="2" t="s">
        <v>36</v>
      </c>
      <c r="G180" s="2" t="s">
        <v>44</v>
      </c>
      <c r="H180" s="2" t="s">
        <v>1102</v>
      </c>
      <c r="I180" s="3" t="s">
        <v>117</v>
      </c>
      <c r="J180" s="2" t="s">
        <v>1103</v>
      </c>
      <c r="K180" s="2" t="s">
        <v>1104</v>
      </c>
      <c r="L180" s="4" t="n">
        <v>64</v>
      </c>
      <c r="M180" s="4" t="s">
        <v>44</v>
      </c>
      <c r="N180" s="5" t="n">
        <v>64</v>
      </c>
      <c r="O180" s="6" t="n">
        <v>87</v>
      </c>
      <c r="P180" s="6" t="s">
        <v>42</v>
      </c>
      <c r="Q180" s="7" t="n">
        <v>87</v>
      </c>
      <c r="R180" s="8" t="n">
        <v>79</v>
      </c>
      <c r="S180" s="8" t="s">
        <v>43</v>
      </c>
      <c r="T180" s="9" t="n">
        <v>79</v>
      </c>
      <c r="U180" s="10" t="n">
        <v>63</v>
      </c>
      <c r="V180" s="10" t="s">
        <v>44</v>
      </c>
      <c r="W180" s="11" t="n">
        <v>63</v>
      </c>
      <c r="X180" s="12" t="n">
        <v>79</v>
      </c>
      <c r="Y180" s="12" t="s">
        <v>43</v>
      </c>
      <c r="Z180" s="13" t="n">
        <v>79</v>
      </c>
      <c r="AA180" s="14" t="n">
        <v>63</v>
      </c>
      <c r="AB180" s="14" t="s">
        <v>44</v>
      </c>
      <c r="AC180" s="15" t="n">
        <v>63</v>
      </c>
      <c r="AD180" s="2" t="n">
        <f aca="false">SUM(L180,O180,R180,U180,X180,AA180)</f>
        <v>435</v>
      </c>
      <c r="AE180" s="16" t="n">
        <f aca="false">AD180/6</f>
        <v>72.5</v>
      </c>
      <c r="AF180" s="2" t="str">
        <f aca="false">IF(SUM(COUNTIF(M180,"RA"),COUNTIF(P180,"RA"),COUNTIF(S180,"RA"),COUNTIF(V180,"RA"),COUNTIF(Y180,"RA"),COUNTIF(AB180,"RA"))&gt;0,"FAIL","PASS")</f>
        <v>PASS</v>
      </c>
    </row>
    <row r="181" customFormat="false" ht="15" hidden="false" customHeight="false" outlineLevel="0" collapsed="false">
      <c r="A181" s="2" t="n">
        <v>180</v>
      </c>
      <c r="B181" s="3" t="s">
        <v>1105</v>
      </c>
      <c r="C181" s="2" t="s">
        <v>783</v>
      </c>
      <c r="D181" s="2" t="s">
        <v>1106</v>
      </c>
      <c r="E181" s="2" t="s">
        <v>35</v>
      </c>
      <c r="F181" s="2" t="s">
        <v>36</v>
      </c>
      <c r="G181" s="2" t="s">
        <v>78</v>
      </c>
      <c r="H181" s="2" t="s">
        <v>943</v>
      </c>
      <c r="I181" s="3" t="s">
        <v>1107</v>
      </c>
      <c r="J181" s="2" t="s">
        <v>1108</v>
      </c>
      <c r="K181" s="2" t="s">
        <v>1109</v>
      </c>
      <c r="L181" s="4" t="n">
        <v>86</v>
      </c>
      <c r="M181" s="4" t="s">
        <v>42</v>
      </c>
      <c r="N181" s="5" t="n">
        <v>86</v>
      </c>
      <c r="O181" s="6" t="n">
        <v>90</v>
      </c>
      <c r="P181" s="6" t="s">
        <v>54</v>
      </c>
      <c r="Q181" s="7" t="n">
        <v>90</v>
      </c>
      <c r="R181" s="8" t="n">
        <v>64</v>
      </c>
      <c r="S181" s="8" t="s">
        <v>44</v>
      </c>
      <c r="T181" s="9" t="n">
        <v>64</v>
      </c>
      <c r="U181" s="10" t="n">
        <v>72</v>
      </c>
      <c r="V181" s="10" t="s">
        <v>43</v>
      </c>
      <c r="W181" s="11" t="n">
        <v>72</v>
      </c>
      <c r="X181" s="12" t="n">
        <v>72</v>
      </c>
      <c r="Y181" s="12" t="s">
        <v>43</v>
      </c>
      <c r="Z181" s="13" t="n">
        <v>72</v>
      </c>
      <c r="AA181" s="14" t="n">
        <v>50</v>
      </c>
      <c r="AB181" s="14" t="s">
        <v>53</v>
      </c>
      <c r="AC181" s="15" t="n">
        <v>50</v>
      </c>
      <c r="AD181" s="2" t="n">
        <f aca="false">SUM(L181,O181,R181,U181,X181,AA181)</f>
        <v>434</v>
      </c>
      <c r="AE181" s="16" t="n">
        <f aca="false">AD181/6</f>
        <v>72.3333333333333</v>
      </c>
      <c r="AF181" s="2" t="str">
        <f aca="false">IF(SUM(COUNTIF(M181,"RA"),COUNTIF(P181,"RA"),COUNTIF(S181,"RA"),COUNTIF(V181,"RA"),COUNTIF(Y181,"RA"),COUNTIF(AB181,"RA"))&gt;0,"FAIL","PASS")</f>
        <v>PASS</v>
      </c>
    </row>
    <row r="182" customFormat="false" ht="15" hidden="false" customHeight="false" outlineLevel="0" collapsed="false">
      <c r="A182" s="2" t="n">
        <v>181</v>
      </c>
      <c r="B182" s="3" t="s">
        <v>1110</v>
      </c>
      <c r="C182" s="2" t="s">
        <v>770</v>
      </c>
      <c r="D182" s="2" t="s">
        <v>1111</v>
      </c>
      <c r="E182" s="2" t="s">
        <v>35</v>
      </c>
      <c r="F182" s="2" t="s">
        <v>36</v>
      </c>
      <c r="G182" s="2" t="s">
        <v>44</v>
      </c>
      <c r="H182" s="2" t="s">
        <v>1112</v>
      </c>
      <c r="I182" s="3" t="s">
        <v>1113</v>
      </c>
      <c r="J182" s="2" t="s">
        <v>1114</v>
      </c>
      <c r="K182" s="2" t="s">
        <v>1115</v>
      </c>
      <c r="L182" s="4" t="n">
        <v>79</v>
      </c>
      <c r="M182" s="4" t="s">
        <v>43</v>
      </c>
      <c r="N182" s="5" t="n">
        <v>79</v>
      </c>
      <c r="O182" s="6" t="n">
        <v>99</v>
      </c>
      <c r="P182" s="6" t="s">
        <v>54</v>
      </c>
      <c r="Q182" s="7" t="n">
        <v>99</v>
      </c>
      <c r="R182" s="8" t="n">
        <v>82</v>
      </c>
      <c r="S182" s="8" t="s">
        <v>42</v>
      </c>
      <c r="T182" s="9" t="n">
        <v>82</v>
      </c>
      <c r="U182" s="10" t="n">
        <v>73</v>
      </c>
      <c r="V182" s="10" t="s">
        <v>43</v>
      </c>
      <c r="W182" s="11" t="n">
        <v>73</v>
      </c>
      <c r="X182" s="12" t="n">
        <v>62</v>
      </c>
      <c r="Y182" s="12" t="s">
        <v>44</v>
      </c>
      <c r="Z182" s="13" t="n">
        <v>62</v>
      </c>
      <c r="AA182" s="14" t="n">
        <v>93</v>
      </c>
      <c r="AB182" s="14" t="s">
        <v>54</v>
      </c>
      <c r="AC182" s="15" t="n">
        <v>93</v>
      </c>
      <c r="AD182" s="2" t="n">
        <f aca="false">SUM(L182,O182,R182,U182,X182,AA182)</f>
        <v>488</v>
      </c>
      <c r="AE182" s="16" t="n">
        <f aca="false">AD182/6</f>
        <v>81.3333333333333</v>
      </c>
      <c r="AF182" s="2" t="str">
        <f aca="false">IF(SUM(COUNTIF(M182,"RA"),COUNTIF(P182,"RA"),COUNTIF(S182,"RA"),COUNTIF(V182,"RA"),COUNTIF(Y182,"RA"),COUNTIF(AB182,"RA"))&gt;0,"FAIL","PASS")</f>
        <v>PASS</v>
      </c>
    </row>
    <row r="183" customFormat="false" ht="15" hidden="false" customHeight="false" outlineLevel="0" collapsed="false">
      <c r="A183" s="2" t="n">
        <v>182</v>
      </c>
      <c r="B183" s="3" t="s">
        <v>1116</v>
      </c>
      <c r="C183" s="2" t="s">
        <v>816</v>
      </c>
      <c r="D183" s="2" t="s">
        <v>1117</v>
      </c>
      <c r="E183" s="2" t="s">
        <v>35</v>
      </c>
      <c r="F183" s="2" t="s">
        <v>36</v>
      </c>
      <c r="G183" s="2" t="s">
        <v>42</v>
      </c>
      <c r="H183" s="2" t="s">
        <v>1118</v>
      </c>
      <c r="I183" s="3" t="s">
        <v>1119</v>
      </c>
      <c r="J183" s="2" t="s">
        <v>1120</v>
      </c>
      <c r="K183" s="2" t="s">
        <v>1121</v>
      </c>
      <c r="L183" s="4" t="n">
        <v>97</v>
      </c>
      <c r="M183" s="4" t="s">
        <v>54</v>
      </c>
      <c r="N183" s="5" t="n">
        <v>97</v>
      </c>
      <c r="O183" s="6" t="n">
        <v>91</v>
      </c>
      <c r="P183" s="6" t="s">
        <v>54</v>
      </c>
      <c r="Q183" s="7" t="n">
        <v>91</v>
      </c>
      <c r="R183" s="8" t="n">
        <v>60</v>
      </c>
      <c r="S183" s="8" t="s">
        <v>44</v>
      </c>
      <c r="T183" s="9" t="n">
        <v>60</v>
      </c>
      <c r="U183" s="10" t="n">
        <v>52</v>
      </c>
      <c r="V183" s="10" t="s">
        <v>53</v>
      </c>
      <c r="W183" s="11" t="n">
        <v>52</v>
      </c>
      <c r="X183" s="12" t="n">
        <v>82</v>
      </c>
      <c r="Y183" s="12" t="s">
        <v>42</v>
      </c>
      <c r="Z183" s="13" t="n">
        <v>82</v>
      </c>
      <c r="AA183" s="14" t="n">
        <v>86</v>
      </c>
      <c r="AB183" s="14" t="s">
        <v>42</v>
      </c>
      <c r="AC183" s="15" t="n">
        <v>86</v>
      </c>
      <c r="AD183" s="2" t="n">
        <f aca="false">SUM(L183,O183,R183,U183,X183,AA183)</f>
        <v>468</v>
      </c>
      <c r="AE183" s="16" t="n">
        <f aca="false">AD183/6</f>
        <v>78</v>
      </c>
      <c r="AF183" s="2" t="str">
        <f aca="false">IF(SUM(COUNTIF(M183,"RA"),COUNTIF(P183,"RA"),COUNTIF(S183,"RA"),COUNTIF(V183,"RA"),COUNTIF(Y183,"RA"),COUNTIF(AB183,"RA"))&gt;0,"FAIL","PASS")</f>
        <v>PASS</v>
      </c>
    </row>
    <row r="184" customFormat="false" ht="15" hidden="false" customHeight="false" outlineLevel="0" collapsed="false">
      <c r="A184" s="2" t="n">
        <v>183</v>
      </c>
      <c r="B184" s="3" t="s">
        <v>1122</v>
      </c>
      <c r="C184" s="2" t="s">
        <v>859</v>
      </c>
      <c r="D184" s="2" t="s">
        <v>1123</v>
      </c>
      <c r="E184" s="2" t="s">
        <v>57</v>
      </c>
      <c r="F184" s="2" t="s">
        <v>36</v>
      </c>
      <c r="G184" s="2" t="s">
        <v>37</v>
      </c>
      <c r="H184" s="2" t="s">
        <v>1124</v>
      </c>
      <c r="I184" s="3" t="s">
        <v>521</v>
      </c>
      <c r="J184" s="2" t="s">
        <v>1125</v>
      </c>
      <c r="K184" s="2" t="s">
        <v>1126</v>
      </c>
      <c r="L184" s="4" t="n">
        <v>99</v>
      </c>
      <c r="M184" s="4" t="s">
        <v>54</v>
      </c>
      <c r="N184" s="5" t="n">
        <v>99</v>
      </c>
      <c r="O184" s="6" t="n">
        <v>87</v>
      </c>
      <c r="P184" s="6" t="s">
        <v>42</v>
      </c>
      <c r="Q184" s="7" t="n">
        <v>87</v>
      </c>
      <c r="R184" s="8" t="n">
        <v>60</v>
      </c>
      <c r="S184" s="8" t="s">
        <v>44</v>
      </c>
      <c r="T184" s="9" t="n">
        <v>60</v>
      </c>
      <c r="U184" s="10" t="n">
        <v>78</v>
      </c>
      <c r="V184" s="10" t="s">
        <v>43</v>
      </c>
      <c r="W184" s="11" t="n">
        <v>78</v>
      </c>
      <c r="X184" s="12" t="n">
        <v>79</v>
      </c>
      <c r="Y184" s="12" t="s">
        <v>43</v>
      </c>
      <c r="Z184" s="13" t="n">
        <v>79</v>
      </c>
      <c r="AA184" s="14" t="n">
        <v>90</v>
      </c>
      <c r="AB184" s="14" t="s">
        <v>54</v>
      </c>
      <c r="AC184" s="15" t="n">
        <v>90</v>
      </c>
      <c r="AD184" s="2" t="n">
        <f aca="false">SUM(L184,O184,R184,U184,X184,AA184)</f>
        <v>493</v>
      </c>
      <c r="AE184" s="16" t="n">
        <f aca="false">AD184/6</f>
        <v>82.1666666666667</v>
      </c>
      <c r="AF184" s="2" t="str">
        <f aca="false">IF(SUM(COUNTIF(M184,"RA"),COUNTIF(P184,"RA"),COUNTIF(S184,"RA"),COUNTIF(V184,"RA"),COUNTIF(Y184,"RA"),COUNTIF(AB184,"RA"))&gt;0,"FAIL","PASS")</f>
        <v>PASS</v>
      </c>
    </row>
    <row r="185" customFormat="false" ht="15" hidden="false" customHeight="false" outlineLevel="0" collapsed="false">
      <c r="A185" s="2" t="n">
        <v>184</v>
      </c>
      <c r="B185" s="3" t="s">
        <v>1127</v>
      </c>
      <c r="C185" s="2" t="s">
        <v>770</v>
      </c>
      <c r="D185" s="2" t="s">
        <v>1128</v>
      </c>
      <c r="E185" s="2" t="s">
        <v>57</v>
      </c>
      <c r="F185" s="2" t="s">
        <v>36</v>
      </c>
      <c r="G185" s="2" t="s">
        <v>42</v>
      </c>
      <c r="H185" s="2" t="s">
        <v>1129</v>
      </c>
      <c r="I185" s="3" t="s">
        <v>1130</v>
      </c>
      <c r="J185" s="2" t="s">
        <v>1131</v>
      </c>
      <c r="K185" s="2" t="s">
        <v>1132</v>
      </c>
      <c r="L185" s="4" t="n">
        <v>74</v>
      </c>
      <c r="M185" s="4" t="s">
        <v>43</v>
      </c>
      <c r="N185" s="5" t="n">
        <v>74</v>
      </c>
      <c r="O185" s="6" t="n">
        <v>88</v>
      </c>
      <c r="P185" s="6" t="s">
        <v>42</v>
      </c>
      <c r="Q185" s="7" t="n">
        <v>88</v>
      </c>
      <c r="R185" s="8" t="n">
        <v>81</v>
      </c>
      <c r="S185" s="8" t="s">
        <v>42</v>
      </c>
      <c r="T185" s="9" t="n">
        <v>81</v>
      </c>
      <c r="U185" s="10" t="n">
        <v>95</v>
      </c>
      <c r="V185" s="10" t="s">
        <v>54</v>
      </c>
      <c r="W185" s="11" t="n">
        <v>95</v>
      </c>
      <c r="X185" s="12" t="n">
        <v>82</v>
      </c>
      <c r="Y185" s="12" t="s">
        <v>42</v>
      </c>
      <c r="Z185" s="13" t="n">
        <v>82</v>
      </c>
      <c r="AA185" s="14" t="n">
        <v>76</v>
      </c>
      <c r="AB185" s="14" t="s">
        <v>43</v>
      </c>
      <c r="AC185" s="15" t="n">
        <v>76</v>
      </c>
      <c r="AD185" s="2" t="n">
        <f aca="false">SUM(L185,O185,R185,U185,X185,AA185)</f>
        <v>496</v>
      </c>
      <c r="AE185" s="16" t="n">
        <f aca="false">AD185/6</f>
        <v>82.6666666666667</v>
      </c>
      <c r="AF185" s="2" t="str">
        <f aca="false">IF(SUM(COUNTIF(M185,"RA"),COUNTIF(P185,"RA"),COUNTIF(S185,"RA"),COUNTIF(V185,"RA"),COUNTIF(Y185,"RA"),COUNTIF(AB185,"RA"))&gt;0,"FAIL","PASS")</f>
        <v>PASS</v>
      </c>
    </row>
    <row r="186" customFormat="false" ht="15" hidden="false" customHeight="false" outlineLevel="0" collapsed="false">
      <c r="A186" s="2" t="n">
        <v>185</v>
      </c>
      <c r="B186" s="3" t="s">
        <v>1133</v>
      </c>
      <c r="C186" s="2" t="s">
        <v>750</v>
      </c>
      <c r="D186" s="2" t="s">
        <v>1134</v>
      </c>
      <c r="E186" s="2" t="s">
        <v>57</v>
      </c>
      <c r="F186" s="2" t="s">
        <v>36</v>
      </c>
      <c r="G186" s="2" t="s">
        <v>37</v>
      </c>
      <c r="H186" s="2" t="s">
        <v>1135</v>
      </c>
      <c r="I186" s="3" t="s">
        <v>1136</v>
      </c>
      <c r="J186" s="2" t="s">
        <v>1137</v>
      </c>
      <c r="K186" s="2" t="s">
        <v>1138</v>
      </c>
      <c r="L186" s="4" t="n">
        <v>47</v>
      </c>
      <c r="M186" s="4" t="s">
        <v>45</v>
      </c>
      <c r="N186" s="5" t="n">
        <v>47</v>
      </c>
      <c r="O186" s="6" t="n">
        <v>83</v>
      </c>
      <c r="P186" s="6" t="s">
        <v>42</v>
      </c>
      <c r="Q186" s="7" t="n">
        <v>83</v>
      </c>
      <c r="R186" s="8" t="n">
        <v>43</v>
      </c>
      <c r="S186" s="8" t="s">
        <v>45</v>
      </c>
      <c r="T186" s="9" t="n">
        <v>43</v>
      </c>
      <c r="U186" s="10" t="n">
        <v>77</v>
      </c>
      <c r="V186" s="10" t="s">
        <v>43</v>
      </c>
      <c r="W186" s="11" t="n">
        <v>77</v>
      </c>
      <c r="X186" s="12" t="n">
        <v>98</v>
      </c>
      <c r="Y186" s="12" t="s">
        <v>54</v>
      </c>
      <c r="Z186" s="13" t="n">
        <v>98</v>
      </c>
      <c r="AA186" s="14" t="n">
        <v>81</v>
      </c>
      <c r="AB186" s="14" t="s">
        <v>42</v>
      </c>
      <c r="AC186" s="15" t="n">
        <v>81</v>
      </c>
      <c r="AD186" s="2" t="n">
        <f aca="false">SUM(L186,O186,R186,U186,X186,AA186)</f>
        <v>429</v>
      </c>
      <c r="AE186" s="16" t="n">
        <f aca="false">AD186/6</f>
        <v>71.5</v>
      </c>
      <c r="AF186" s="2" t="str">
        <f aca="false">IF(SUM(COUNTIF(M186,"RA"),COUNTIF(P186,"RA"),COUNTIF(S186,"RA"),COUNTIF(V186,"RA"),COUNTIF(Y186,"RA"),COUNTIF(AB186,"RA"))&gt;0,"FAIL","PASS")</f>
        <v>FAIL</v>
      </c>
    </row>
    <row r="187" customFormat="false" ht="15" hidden="false" customHeight="false" outlineLevel="0" collapsed="false">
      <c r="A187" s="2" t="n">
        <v>186</v>
      </c>
      <c r="B187" s="3" t="s">
        <v>1139</v>
      </c>
      <c r="C187" s="2" t="s">
        <v>841</v>
      </c>
      <c r="D187" s="2" t="s">
        <v>1140</v>
      </c>
      <c r="E187" s="2" t="s">
        <v>35</v>
      </c>
      <c r="F187" s="2" t="s">
        <v>36</v>
      </c>
      <c r="G187" s="2" t="s">
        <v>64</v>
      </c>
      <c r="H187" s="2" t="s">
        <v>1141</v>
      </c>
      <c r="I187" s="3" t="s">
        <v>1142</v>
      </c>
      <c r="J187" s="2" t="s">
        <v>1143</v>
      </c>
      <c r="K187" s="2" t="s">
        <v>1144</v>
      </c>
      <c r="L187" s="4" t="n">
        <v>85</v>
      </c>
      <c r="M187" s="4" t="s">
        <v>42</v>
      </c>
      <c r="N187" s="5" t="n">
        <v>85</v>
      </c>
      <c r="O187" s="6" t="n">
        <v>60</v>
      </c>
      <c r="P187" s="6" t="s">
        <v>44</v>
      </c>
      <c r="Q187" s="7" t="n">
        <v>60</v>
      </c>
      <c r="R187" s="8" t="n">
        <v>81</v>
      </c>
      <c r="S187" s="8" t="s">
        <v>42</v>
      </c>
      <c r="T187" s="9" t="n">
        <v>81</v>
      </c>
      <c r="U187" s="10" t="n">
        <v>73</v>
      </c>
      <c r="V187" s="10" t="s">
        <v>43</v>
      </c>
      <c r="W187" s="11" t="n">
        <v>73</v>
      </c>
      <c r="X187" s="12" t="n">
        <v>57</v>
      </c>
      <c r="Y187" s="12" t="s">
        <v>53</v>
      </c>
      <c r="Z187" s="13" t="n">
        <v>57</v>
      </c>
      <c r="AA187" s="14" t="n">
        <v>76</v>
      </c>
      <c r="AB187" s="14" t="s">
        <v>43</v>
      </c>
      <c r="AC187" s="15" t="n">
        <v>76</v>
      </c>
      <c r="AD187" s="2" t="n">
        <f aca="false">SUM(L187,O187,R187,U187,X187,AA187)</f>
        <v>432</v>
      </c>
      <c r="AE187" s="16" t="n">
        <f aca="false">AD187/6</f>
        <v>72</v>
      </c>
      <c r="AF187" s="2" t="str">
        <f aca="false">IF(SUM(COUNTIF(M187,"RA"),COUNTIF(P187,"RA"),COUNTIF(S187,"RA"),COUNTIF(V187,"RA"),COUNTIF(Y187,"RA"),COUNTIF(AB187,"RA"))&gt;0,"FAIL","PASS")</f>
        <v>PASS</v>
      </c>
    </row>
    <row r="188" customFormat="false" ht="15" hidden="false" customHeight="false" outlineLevel="0" collapsed="false">
      <c r="A188" s="2" t="n">
        <v>187</v>
      </c>
      <c r="B188" s="3" t="s">
        <v>1145</v>
      </c>
      <c r="C188" s="2" t="s">
        <v>841</v>
      </c>
      <c r="D188" s="2" t="s">
        <v>1146</v>
      </c>
      <c r="E188" s="2" t="s">
        <v>57</v>
      </c>
      <c r="F188" s="2" t="s">
        <v>36</v>
      </c>
      <c r="G188" s="2" t="s">
        <v>44</v>
      </c>
      <c r="H188" s="2" t="s">
        <v>520</v>
      </c>
      <c r="I188" s="3" t="s">
        <v>1039</v>
      </c>
      <c r="J188" s="2" t="s">
        <v>1147</v>
      </c>
      <c r="K188" s="2" t="s">
        <v>1148</v>
      </c>
      <c r="L188" s="4" t="n">
        <v>61</v>
      </c>
      <c r="M188" s="4" t="s">
        <v>44</v>
      </c>
      <c r="N188" s="5" t="n">
        <v>61</v>
      </c>
      <c r="O188" s="6" t="n">
        <v>64</v>
      </c>
      <c r="P188" s="6" t="s">
        <v>44</v>
      </c>
      <c r="Q188" s="7" t="n">
        <v>64</v>
      </c>
      <c r="R188" s="8" t="n">
        <v>89</v>
      </c>
      <c r="S188" s="8" t="s">
        <v>42</v>
      </c>
      <c r="T188" s="9" t="n">
        <v>89</v>
      </c>
      <c r="U188" s="10" t="n">
        <v>65</v>
      </c>
      <c r="V188" s="10" t="s">
        <v>44</v>
      </c>
      <c r="W188" s="11" t="n">
        <v>65</v>
      </c>
      <c r="X188" s="12" t="n">
        <v>83</v>
      </c>
      <c r="Y188" s="12" t="s">
        <v>42</v>
      </c>
      <c r="Z188" s="13" t="n">
        <v>83</v>
      </c>
      <c r="AA188" s="14" t="n">
        <v>86</v>
      </c>
      <c r="AB188" s="14" t="s">
        <v>42</v>
      </c>
      <c r="AC188" s="15" t="n">
        <v>86</v>
      </c>
      <c r="AD188" s="2" t="n">
        <f aca="false">SUM(L188,O188,R188,U188,X188,AA188)</f>
        <v>448</v>
      </c>
      <c r="AE188" s="16" t="n">
        <f aca="false">AD188/6</f>
        <v>74.6666666666667</v>
      </c>
      <c r="AF188" s="2" t="str">
        <f aca="false">IF(SUM(COUNTIF(M188,"RA"),COUNTIF(P188,"RA"),COUNTIF(S188,"RA"),COUNTIF(V188,"RA"),COUNTIF(Y188,"RA"),COUNTIF(AB188,"RA"))&gt;0,"FAIL","PASS")</f>
        <v>PASS</v>
      </c>
    </row>
    <row r="189" customFormat="false" ht="15" hidden="false" customHeight="false" outlineLevel="0" collapsed="false">
      <c r="A189" s="2" t="n">
        <v>188</v>
      </c>
      <c r="B189" s="3" t="s">
        <v>1149</v>
      </c>
      <c r="C189" s="2" t="s">
        <v>803</v>
      </c>
      <c r="D189" s="2" t="s">
        <v>1150</v>
      </c>
      <c r="E189" s="2" t="s">
        <v>57</v>
      </c>
      <c r="F189" s="2" t="s">
        <v>36</v>
      </c>
      <c r="G189" s="2" t="s">
        <v>91</v>
      </c>
      <c r="H189" s="2" t="s">
        <v>1151</v>
      </c>
      <c r="I189" s="3" t="s">
        <v>1152</v>
      </c>
      <c r="J189" s="2" t="s">
        <v>1153</v>
      </c>
      <c r="K189" s="2" t="s">
        <v>1154</v>
      </c>
      <c r="L189" s="4" t="n">
        <v>61</v>
      </c>
      <c r="M189" s="4" t="s">
        <v>44</v>
      </c>
      <c r="N189" s="5" t="n">
        <v>61</v>
      </c>
      <c r="O189" s="6" t="n">
        <v>82</v>
      </c>
      <c r="P189" s="6" t="s">
        <v>42</v>
      </c>
      <c r="Q189" s="7" t="n">
        <v>82</v>
      </c>
      <c r="R189" s="8" t="n">
        <v>62</v>
      </c>
      <c r="S189" s="8" t="s">
        <v>44</v>
      </c>
      <c r="T189" s="9" t="n">
        <v>62</v>
      </c>
      <c r="U189" s="10" t="n">
        <v>73</v>
      </c>
      <c r="V189" s="10" t="s">
        <v>43</v>
      </c>
      <c r="W189" s="11" t="n">
        <v>73</v>
      </c>
      <c r="X189" s="12" t="n">
        <v>90</v>
      </c>
      <c r="Y189" s="12" t="s">
        <v>54</v>
      </c>
      <c r="Z189" s="13" t="n">
        <v>90</v>
      </c>
      <c r="AA189" s="14" t="n">
        <v>80</v>
      </c>
      <c r="AB189" s="14" t="s">
        <v>42</v>
      </c>
      <c r="AC189" s="15" t="n">
        <v>80</v>
      </c>
      <c r="AD189" s="2" t="n">
        <f aca="false">SUM(L189,O189,R189,U189,X189,AA189)</f>
        <v>448</v>
      </c>
      <c r="AE189" s="16" t="n">
        <f aca="false">AD189/6</f>
        <v>74.6666666666667</v>
      </c>
      <c r="AF189" s="2" t="str">
        <f aca="false">IF(SUM(COUNTIF(M189,"RA"),COUNTIF(P189,"RA"),COUNTIF(S189,"RA"),COUNTIF(V189,"RA"),COUNTIF(Y189,"RA"),COUNTIF(AB189,"RA"))&gt;0,"FAIL","PASS")</f>
        <v>PASS</v>
      </c>
    </row>
    <row r="190" customFormat="false" ht="15" hidden="false" customHeight="false" outlineLevel="0" collapsed="false">
      <c r="A190" s="2" t="n">
        <v>189</v>
      </c>
      <c r="B190" s="3" t="s">
        <v>1155</v>
      </c>
      <c r="C190" s="2" t="s">
        <v>803</v>
      </c>
      <c r="D190" s="2" t="s">
        <v>1156</v>
      </c>
      <c r="E190" s="2" t="s">
        <v>35</v>
      </c>
      <c r="F190" s="2" t="s">
        <v>36</v>
      </c>
      <c r="G190" s="2" t="s">
        <v>71</v>
      </c>
      <c r="H190" s="2" t="s">
        <v>1157</v>
      </c>
      <c r="I190" s="3" t="s">
        <v>1158</v>
      </c>
      <c r="J190" s="2" t="s">
        <v>1159</v>
      </c>
      <c r="K190" s="2" t="s">
        <v>1160</v>
      </c>
      <c r="L190" s="4" t="n">
        <v>53</v>
      </c>
      <c r="M190" s="4" t="s">
        <v>53</v>
      </c>
      <c r="N190" s="5" t="n">
        <v>53</v>
      </c>
      <c r="O190" s="6" t="n">
        <v>71</v>
      </c>
      <c r="P190" s="6" t="s">
        <v>43</v>
      </c>
      <c r="Q190" s="7" t="n">
        <v>71</v>
      </c>
      <c r="R190" s="8" t="n">
        <v>63</v>
      </c>
      <c r="S190" s="8" t="s">
        <v>44</v>
      </c>
      <c r="T190" s="9" t="n">
        <v>63</v>
      </c>
      <c r="U190" s="10" t="n">
        <v>97</v>
      </c>
      <c r="V190" s="10" t="s">
        <v>54</v>
      </c>
      <c r="W190" s="11" t="n">
        <v>97</v>
      </c>
      <c r="X190" s="12" t="n">
        <v>76</v>
      </c>
      <c r="Y190" s="12" t="s">
        <v>43</v>
      </c>
      <c r="Z190" s="13" t="n">
        <v>76</v>
      </c>
      <c r="AA190" s="14" t="n">
        <v>61</v>
      </c>
      <c r="AB190" s="14" t="s">
        <v>44</v>
      </c>
      <c r="AC190" s="15" t="n">
        <v>61</v>
      </c>
      <c r="AD190" s="2" t="n">
        <f aca="false">SUM(L190,O190,R190,U190,X190,AA190)</f>
        <v>421</v>
      </c>
      <c r="AE190" s="16" t="n">
        <f aca="false">AD190/6</f>
        <v>70.1666666666667</v>
      </c>
      <c r="AF190" s="2" t="str">
        <f aca="false">IF(SUM(COUNTIF(M190,"RA"),COUNTIF(P190,"RA"),COUNTIF(S190,"RA"),COUNTIF(V190,"RA"),COUNTIF(Y190,"RA"),COUNTIF(AB190,"RA"))&gt;0,"FAIL","PASS")</f>
        <v>PASS</v>
      </c>
    </row>
    <row r="191" customFormat="false" ht="15" hidden="false" customHeight="false" outlineLevel="0" collapsed="false">
      <c r="A191" s="2" t="n">
        <v>190</v>
      </c>
      <c r="B191" s="3" t="s">
        <v>1161</v>
      </c>
      <c r="C191" s="2" t="s">
        <v>816</v>
      </c>
      <c r="D191" s="2" t="s">
        <v>1162</v>
      </c>
      <c r="E191" s="2" t="s">
        <v>35</v>
      </c>
      <c r="F191" s="2" t="s">
        <v>36</v>
      </c>
      <c r="G191" s="2" t="s">
        <v>37</v>
      </c>
      <c r="H191" s="2" t="s">
        <v>1163</v>
      </c>
      <c r="I191" s="3" t="s">
        <v>1164</v>
      </c>
      <c r="J191" s="2" t="s">
        <v>1165</v>
      </c>
      <c r="K191" s="2" t="s">
        <v>1166</v>
      </c>
      <c r="L191" s="4" t="n">
        <v>86</v>
      </c>
      <c r="M191" s="4" t="s">
        <v>42</v>
      </c>
      <c r="N191" s="5" t="n">
        <v>86</v>
      </c>
      <c r="O191" s="6" t="n">
        <v>64</v>
      </c>
      <c r="P191" s="6" t="s">
        <v>44</v>
      </c>
      <c r="Q191" s="7" t="n">
        <v>64</v>
      </c>
      <c r="R191" s="8" t="n">
        <v>85</v>
      </c>
      <c r="S191" s="8" t="s">
        <v>42</v>
      </c>
      <c r="T191" s="9" t="n">
        <v>85</v>
      </c>
      <c r="U191" s="10" t="n">
        <v>80</v>
      </c>
      <c r="V191" s="10" t="s">
        <v>42</v>
      </c>
      <c r="W191" s="11" t="n">
        <v>80</v>
      </c>
      <c r="X191" s="12" t="n">
        <v>83</v>
      </c>
      <c r="Y191" s="12" t="s">
        <v>42</v>
      </c>
      <c r="Z191" s="13" t="n">
        <v>83</v>
      </c>
      <c r="AA191" s="14" t="n">
        <v>84</v>
      </c>
      <c r="AB191" s="14" t="s">
        <v>42</v>
      </c>
      <c r="AC191" s="15" t="n">
        <v>84</v>
      </c>
      <c r="AD191" s="2" t="n">
        <f aca="false">SUM(L191,O191,R191,U191,X191,AA191)</f>
        <v>482</v>
      </c>
      <c r="AE191" s="16" t="n">
        <f aca="false">AD191/6</f>
        <v>80.3333333333333</v>
      </c>
      <c r="AF191" s="2" t="str">
        <f aca="false">IF(SUM(COUNTIF(M191,"RA"),COUNTIF(P191,"RA"),COUNTIF(S191,"RA"),COUNTIF(V191,"RA"),COUNTIF(Y191,"RA"),COUNTIF(AB191,"RA"))&gt;0,"FAIL","PASS")</f>
        <v>PASS</v>
      </c>
    </row>
    <row r="192" customFormat="false" ht="15" hidden="false" customHeight="false" outlineLevel="0" collapsed="false">
      <c r="A192" s="2" t="n">
        <v>191</v>
      </c>
      <c r="B192" s="3" t="s">
        <v>1167</v>
      </c>
      <c r="C192" s="2" t="s">
        <v>783</v>
      </c>
      <c r="D192" s="2" t="s">
        <v>1168</v>
      </c>
      <c r="E192" s="2" t="s">
        <v>57</v>
      </c>
      <c r="F192" s="2" t="s">
        <v>36</v>
      </c>
      <c r="G192" s="2" t="s">
        <v>42</v>
      </c>
      <c r="H192" s="2" t="s">
        <v>188</v>
      </c>
      <c r="I192" s="3" t="s">
        <v>1169</v>
      </c>
      <c r="J192" s="2" t="s">
        <v>1170</v>
      </c>
      <c r="K192" s="2" t="s">
        <v>1171</v>
      </c>
      <c r="L192" s="4" t="n">
        <v>72</v>
      </c>
      <c r="M192" s="4" t="s">
        <v>43</v>
      </c>
      <c r="N192" s="5" t="n">
        <v>72</v>
      </c>
      <c r="O192" s="6" t="n">
        <v>46</v>
      </c>
      <c r="P192" s="6" t="s">
        <v>45</v>
      </c>
      <c r="Q192" s="7" t="n">
        <v>46</v>
      </c>
      <c r="R192" s="8" t="n">
        <v>81</v>
      </c>
      <c r="S192" s="8" t="s">
        <v>42</v>
      </c>
      <c r="T192" s="9" t="n">
        <v>81</v>
      </c>
      <c r="U192" s="10" t="n">
        <v>43</v>
      </c>
      <c r="V192" s="10" t="s">
        <v>45</v>
      </c>
      <c r="W192" s="11" t="n">
        <v>43</v>
      </c>
      <c r="X192" s="12" t="n">
        <v>95</v>
      </c>
      <c r="Y192" s="12" t="s">
        <v>54</v>
      </c>
      <c r="Z192" s="13" t="n">
        <v>95</v>
      </c>
      <c r="AA192" s="14" t="n">
        <v>78</v>
      </c>
      <c r="AB192" s="14" t="s">
        <v>43</v>
      </c>
      <c r="AC192" s="15" t="n">
        <v>78</v>
      </c>
      <c r="AD192" s="2" t="n">
        <f aca="false">SUM(L192,O192,R192,U192,X192,AA192)</f>
        <v>415</v>
      </c>
      <c r="AE192" s="16" t="n">
        <f aca="false">AD192/6</f>
        <v>69.1666666666667</v>
      </c>
      <c r="AF192" s="2" t="str">
        <f aca="false">IF(SUM(COUNTIF(M192,"RA"),COUNTIF(P192,"RA"),COUNTIF(S192,"RA"),COUNTIF(V192,"RA"),COUNTIF(Y192,"RA"),COUNTIF(AB192,"RA"))&gt;0,"FAIL","PASS")</f>
        <v>FAIL</v>
      </c>
    </row>
    <row r="193" customFormat="false" ht="15" hidden="false" customHeight="false" outlineLevel="0" collapsed="false">
      <c r="A193" s="2" t="n">
        <v>192</v>
      </c>
      <c r="B193" s="3" t="s">
        <v>1172</v>
      </c>
      <c r="C193" s="2" t="s">
        <v>841</v>
      </c>
      <c r="D193" s="2" t="s">
        <v>1173</v>
      </c>
      <c r="E193" s="2" t="s">
        <v>35</v>
      </c>
      <c r="F193" s="2" t="s">
        <v>36</v>
      </c>
      <c r="G193" s="2" t="s">
        <v>64</v>
      </c>
      <c r="H193" s="2" t="s">
        <v>1174</v>
      </c>
      <c r="I193" s="3" t="s">
        <v>1175</v>
      </c>
      <c r="J193" s="2" t="s">
        <v>1176</v>
      </c>
      <c r="K193" s="2" t="s">
        <v>1177</v>
      </c>
      <c r="L193" s="4" t="n">
        <v>73</v>
      </c>
      <c r="M193" s="4" t="s">
        <v>43</v>
      </c>
      <c r="N193" s="5" t="n">
        <v>73</v>
      </c>
      <c r="O193" s="6" t="n">
        <v>83</v>
      </c>
      <c r="P193" s="6" t="s">
        <v>42</v>
      </c>
      <c r="Q193" s="7" t="n">
        <v>83</v>
      </c>
      <c r="R193" s="8" t="n">
        <v>76</v>
      </c>
      <c r="S193" s="8" t="s">
        <v>43</v>
      </c>
      <c r="T193" s="9" t="n">
        <v>76</v>
      </c>
      <c r="U193" s="10" t="n">
        <v>97</v>
      </c>
      <c r="V193" s="10" t="s">
        <v>54</v>
      </c>
      <c r="W193" s="11" t="n">
        <v>97</v>
      </c>
      <c r="X193" s="12" t="n">
        <v>69</v>
      </c>
      <c r="Y193" s="12" t="s">
        <v>44</v>
      </c>
      <c r="Z193" s="13" t="n">
        <v>69</v>
      </c>
      <c r="AA193" s="14" t="n">
        <v>67</v>
      </c>
      <c r="AB193" s="14" t="s">
        <v>44</v>
      </c>
      <c r="AC193" s="15" t="n">
        <v>67</v>
      </c>
      <c r="AD193" s="2" t="n">
        <f aca="false">SUM(L193,O193,R193,U193,X193,AA193)</f>
        <v>465</v>
      </c>
      <c r="AE193" s="16" t="n">
        <f aca="false">AD193/6</f>
        <v>77.5</v>
      </c>
      <c r="AF193" s="2" t="str">
        <f aca="false">IF(SUM(COUNTIF(M193,"RA"),COUNTIF(P193,"RA"),COUNTIF(S193,"RA"),COUNTIF(V193,"RA"),COUNTIF(Y193,"RA"),COUNTIF(AB193,"RA"))&gt;0,"FAIL","PASS")</f>
        <v>PASS</v>
      </c>
    </row>
    <row r="194" customFormat="false" ht="15" hidden="false" customHeight="false" outlineLevel="0" collapsed="false">
      <c r="A194" s="2" t="n">
        <v>193</v>
      </c>
      <c r="B194" s="3" t="s">
        <v>1178</v>
      </c>
      <c r="C194" s="2" t="s">
        <v>770</v>
      </c>
      <c r="D194" s="2" t="s">
        <v>1179</v>
      </c>
      <c r="E194" s="2" t="s">
        <v>57</v>
      </c>
      <c r="F194" s="2" t="s">
        <v>36</v>
      </c>
      <c r="G194" s="2" t="s">
        <v>64</v>
      </c>
      <c r="H194" s="2" t="s">
        <v>683</v>
      </c>
      <c r="I194" s="3" t="s">
        <v>1180</v>
      </c>
      <c r="J194" s="2" t="s">
        <v>1181</v>
      </c>
      <c r="K194" s="2" t="s">
        <v>1182</v>
      </c>
      <c r="L194" s="4" t="n">
        <v>58</v>
      </c>
      <c r="M194" s="4" t="s">
        <v>53</v>
      </c>
      <c r="N194" s="5" t="n">
        <v>58</v>
      </c>
      <c r="O194" s="6" t="n">
        <v>85</v>
      </c>
      <c r="P194" s="6" t="s">
        <v>42</v>
      </c>
      <c r="Q194" s="7" t="n">
        <v>85</v>
      </c>
      <c r="R194" s="8" t="n">
        <v>70</v>
      </c>
      <c r="S194" s="8" t="s">
        <v>43</v>
      </c>
      <c r="T194" s="9" t="n">
        <v>70</v>
      </c>
      <c r="U194" s="10" t="n">
        <v>94</v>
      </c>
      <c r="V194" s="10" t="s">
        <v>54</v>
      </c>
      <c r="W194" s="11" t="n">
        <v>94</v>
      </c>
      <c r="X194" s="12" t="n">
        <v>79</v>
      </c>
      <c r="Y194" s="12" t="s">
        <v>43</v>
      </c>
      <c r="Z194" s="13" t="n">
        <v>79</v>
      </c>
      <c r="AA194" s="14" t="n">
        <v>95</v>
      </c>
      <c r="AB194" s="14" t="s">
        <v>54</v>
      </c>
      <c r="AC194" s="15" t="n">
        <v>95</v>
      </c>
      <c r="AD194" s="2" t="n">
        <f aca="false">SUM(L194,O194,R194,U194,X194,AA194)</f>
        <v>481</v>
      </c>
      <c r="AE194" s="16" t="n">
        <f aca="false">AD194/6</f>
        <v>80.1666666666667</v>
      </c>
      <c r="AF194" s="2" t="str">
        <f aca="false">IF(SUM(COUNTIF(M194,"RA"),COUNTIF(P194,"RA"),COUNTIF(S194,"RA"),COUNTIF(V194,"RA"),COUNTIF(Y194,"RA"),COUNTIF(AB194,"RA"))&gt;0,"FAIL","PASS")</f>
        <v>PASS</v>
      </c>
    </row>
    <row r="195" customFormat="false" ht="15" hidden="false" customHeight="false" outlineLevel="0" collapsed="false">
      <c r="A195" s="2" t="n">
        <v>194</v>
      </c>
      <c r="B195" s="3" t="s">
        <v>1183</v>
      </c>
      <c r="C195" s="2" t="s">
        <v>841</v>
      </c>
      <c r="D195" s="2" t="s">
        <v>1184</v>
      </c>
      <c r="E195" s="2" t="s">
        <v>57</v>
      </c>
      <c r="F195" s="2" t="s">
        <v>36</v>
      </c>
      <c r="G195" s="2" t="s">
        <v>91</v>
      </c>
      <c r="H195" s="2" t="s">
        <v>1185</v>
      </c>
      <c r="I195" s="3" t="s">
        <v>1186</v>
      </c>
      <c r="J195" s="2" t="s">
        <v>1187</v>
      </c>
      <c r="K195" s="2" t="s">
        <v>1188</v>
      </c>
      <c r="L195" s="4" t="n">
        <v>44</v>
      </c>
      <c r="M195" s="4" t="s">
        <v>45</v>
      </c>
      <c r="N195" s="5" t="n">
        <v>44</v>
      </c>
      <c r="O195" s="6" t="n">
        <v>70</v>
      </c>
      <c r="P195" s="6" t="s">
        <v>43</v>
      </c>
      <c r="Q195" s="7" t="n">
        <v>70</v>
      </c>
      <c r="R195" s="8" t="n">
        <v>67</v>
      </c>
      <c r="S195" s="8" t="s">
        <v>44</v>
      </c>
      <c r="T195" s="9" t="n">
        <v>67</v>
      </c>
      <c r="U195" s="10" t="n">
        <v>71</v>
      </c>
      <c r="V195" s="10" t="s">
        <v>43</v>
      </c>
      <c r="W195" s="11" t="n">
        <v>71</v>
      </c>
      <c r="X195" s="12" t="n">
        <v>81</v>
      </c>
      <c r="Y195" s="12" t="s">
        <v>42</v>
      </c>
      <c r="Z195" s="13" t="n">
        <v>81</v>
      </c>
      <c r="AA195" s="14" t="n">
        <v>62</v>
      </c>
      <c r="AB195" s="14" t="s">
        <v>44</v>
      </c>
      <c r="AC195" s="15" t="n">
        <v>62</v>
      </c>
      <c r="AD195" s="2" t="n">
        <f aca="false">SUM(L195,O195,R195,U195,X195,AA195)</f>
        <v>395</v>
      </c>
      <c r="AE195" s="16" t="n">
        <f aca="false">AD195/6</f>
        <v>65.8333333333333</v>
      </c>
      <c r="AF195" s="2" t="str">
        <f aca="false">IF(SUM(COUNTIF(M195,"RA"),COUNTIF(P195,"RA"),COUNTIF(S195,"RA"),COUNTIF(V195,"RA"),COUNTIF(Y195,"RA"),COUNTIF(AB195,"RA"))&gt;0,"FAIL","PASS")</f>
        <v>FAIL</v>
      </c>
    </row>
    <row r="196" customFormat="false" ht="15" hidden="false" customHeight="false" outlineLevel="0" collapsed="false">
      <c r="A196" s="2" t="n">
        <v>195</v>
      </c>
      <c r="B196" s="3" t="s">
        <v>1189</v>
      </c>
      <c r="C196" s="2" t="s">
        <v>750</v>
      </c>
      <c r="D196" s="2" t="s">
        <v>1190</v>
      </c>
      <c r="E196" s="2" t="s">
        <v>35</v>
      </c>
      <c r="F196" s="2" t="s">
        <v>36</v>
      </c>
      <c r="G196" s="2" t="s">
        <v>37</v>
      </c>
      <c r="H196" s="2" t="s">
        <v>1191</v>
      </c>
      <c r="I196" s="3" t="s">
        <v>1192</v>
      </c>
      <c r="J196" s="2" t="s">
        <v>1193</v>
      </c>
      <c r="K196" s="2" t="s">
        <v>1194</v>
      </c>
      <c r="L196" s="4" t="n">
        <v>85</v>
      </c>
      <c r="M196" s="4" t="s">
        <v>42</v>
      </c>
      <c r="N196" s="5" t="n">
        <v>85</v>
      </c>
      <c r="O196" s="6" t="n">
        <v>77</v>
      </c>
      <c r="P196" s="6" t="s">
        <v>43</v>
      </c>
      <c r="Q196" s="7" t="n">
        <v>77</v>
      </c>
      <c r="R196" s="8" t="n">
        <v>84</v>
      </c>
      <c r="S196" s="8" t="s">
        <v>42</v>
      </c>
      <c r="T196" s="9" t="n">
        <v>84</v>
      </c>
      <c r="U196" s="10" t="n">
        <v>65</v>
      </c>
      <c r="V196" s="10" t="s">
        <v>44</v>
      </c>
      <c r="W196" s="11" t="n">
        <v>65</v>
      </c>
      <c r="X196" s="12" t="n">
        <v>74</v>
      </c>
      <c r="Y196" s="12" t="s">
        <v>43</v>
      </c>
      <c r="Z196" s="13" t="n">
        <v>74</v>
      </c>
      <c r="AA196" s="14" t="n">
        <v>75</v>
      </c>
      <c r="AB196" s="14" t="s">
        <v>43</v>
      </c>
      <c r="AC196" s="15" t="n">
        <v>75</v>
      </c>
      <c r="AD196" s="2" t="n">
        <f aca="false">SUM(L196,O196,R196,U196,X196,AA196)</f>
        <v>460</v>
      </c>
      <c r="AE196" s="16" t="n">
        <f aca="false">AD196/6</f>
        <v>76.6666666666667</v>
      </c>
      <c r="AF196" s="2" t="str">
        <f aca="false">IF(SUM(COUNTIF(M196,"RA"),COUNTIF(P196,"RA"),COUNTIF(S196,"RA"),COUNTIF(V196,"RA"),COUNTIF(Y196,"RA"),COUNTIF(AB196,"RA"))&gt;0,"FAIL","PASS")</f>
        <v>PASS</v>
      </c>
    </row>
    <row r="197" customFormat="false" ht="15" hidden="false" customHeight="false" outlineLevel="0" collapsed="false">
      <c r="A197" s="2" t="n">
        <v>196</v>
      </c>
      <c r="B197" s="3" t="s">
        <v>1195</v>
      </c>
      <c r="C197" s="2" t="s">
        <v>770</v>
      </c>
      <c r="D197" s="2" t="s">
        <v>1196</v>
      </c>
      <c r="E197" s="2" t="s">
        <v>35</v>
      </c>
      <c r="F197" s="2" t="s">
        <v>36</v>
      </c>
      <c r="G197" s="2" t="s">
        <v>71</v>
      </c>
      <c r="H197" s="2" t="s">
        <v>1197</v>
      </c>
      <c r="I197" s="3" t="s">
        <v>1004</v>
      </c>
      <c r="J197" s="2" t="s">
        <v>1198</v>
      </c>
      <c r="K197" s="2" t="s">
        <v>1199</v>
      </c>
      <c r="L197" s="4" t="n">
        <v>64</v>
      </c>
      <c r="M197" s="4" t="s">
        <v>44</v>
      </c>
      <c r="N197" s="5" t="n">
        <v>64</v>
      </c>
      <c r="O197" s="6" t="n">
        <v>55</v>
      </c>
      <c r="P197" s="6" t="s">
        <v>53</v>
      </c>
      <c r="Q197" s="7" t="n">
        <v>55</v>
      </c>
      <c r="R197" s="8" t="n">
        <v>83</v>
      </c>
      <c r="S197" s="8" t="s">
        <v>42</v>
      </c>
      <c r="T197" s="9" t="n">
        <v>83</v>
      </c>
      <c r="U197" s="10" t="n">
        <v>41</v>
      </c>
      <c r="V197" s="10" t="s">
        <v>45</v>
      </c>
      <c r="W197" s="11" t="n">
        <v>41</v>
      </c>
      <c r="X197" s="12" t="n">
        <v>83</v>
      </c>
      <c r="Y197" s="12" t="s">
        <v>42</v>
      </c>
      <c r="Z197" s="13" t="n">
        <v>83</v>
      </c>
      <c r="AA197" s="14" t="n">
        <v>51</v>
      </c>
      <c r="AB197" s="14" t="s">
        <v>53</v>
      </c>
      <c r="AC197" s="15" t="n">
        <v>51</v>
      </c>
      <c r="AD197" s="2" t="n">
        <f aca="false">SUM(L197,O197,R197,U197,X197,AA197)</f>
        <v>377</v>
      </c>
      <c r="AE197" s="16" t="n">
        <f aca="false">AD197/6</f>
        <v>62.8333333333333</v>
      </c>
      <c r="AF197" s="2" t="str">
        <f aca="false">IF(SUM(COUNTIF(M197,"RA"),COUNTIF(P197,"RA"),COUNTIF(S197,"RA"),COUNTIF(V197,"RA"),COUNTIF(Y197,"RA"),COUNTIF(AB197,"RA"))&gt;0,"FAIL","PASS")</f>
        <v>FAIL</v>
      </c>
    </row>
    <row r="198" customFormat="false" ht="15" hidden="false" customHeight="false" outlineLevel="0" collapsed="false">
      <c r="A198" s="2" t="n">
        <v>197</v>
      </c>
      <c r="B198" s="3" t="s">
        <v>1200</v>
      </c>
      <c r="C198" s="2" t="s">
        <v>803</v>
      </c>
      <c r="D198" s="2" t="s">
        <v>1201</v>
      </c>
      <c r="E198" s="2" t="s">
        <v>57</v>
      </c>
      <c r="F198" s="2" t="s">
        <v>36</v>
      </c>
      <c r="G198" s="2" t="s">
        <v>91</v>
      </c>
      <c r="H198" s="2" t="s">
        <v>1202</v>
      </c>
      <c r="I198" s="3" t="s">
        <v>1203</v>
      </c>
      <c r="J198" s="2" t="s">
        <v>1204</v>
      </c>
      <c r="K198" s="2" t="s">
        <v>1205</v>
      </c>
      <c r="L198" s="4" t="n">
        <v>95</v>
      </c>
      <c r="M198" s="4" t="s">
        <v>54</v>
      </c>
      <c r="N198" s="5" t="n">
        <v>95</v>
      </c>
      <c r="O198" s="6" t="n">
        <v>96</v>
      </c>
      <c r="P198" s="6" t="s">
        <v>54</v>
      </c>
      <c r="Q198" s="7" t="n">
        <v>96</v>
      </c>
      <c r="R198" s="8" t="n">
        <v>81</v>
      </c>
      <c r="S198" s="8" t="s">
        <v>42</v>
      </c>
      <c r="T198" s="9" t="n">
        <v>81</v>
      </c>
      <c r="U198" s="10" t="n">
        <v>64</v>
      </c>
      <c r="V198" s="10" t="s">
        <v>44</v>
      </c>
      <c r="W198" s="11" t="n">
        <v>64</v>
      </c>
      <c r="X198" s="12" t="n">
        <v>42</v>
      </c>
      <c r="Y198" s="12" t="s">
        <v>45</v>
      </c>
      <c r="Z198" s="13" t="n">
        <v>42</v>
      </c>
      <c r="AA198" s="14" t="n">
        <v>86</v>
      </c>
      <c r="AB198" s="14" t="s">
        <v>42</v>
      </c>
      <c r="AC198" s="15" t="n">
        <v>86</v>
      </c>
      <c r="AD198" s="2" t="n">
        <f aca="false">SUM(L198,O198,R198,U198,X198,AA198)</f>
        <v>464</v>
      </c>
      <c r="AE198" s="16" t="n">
        <f aca="false">AD198/6</f>
        <v>77.3333333333333</v>
      </c>
      <c r="AF198" s="2" t="str">
        <f aca="false">IF(SUM(COUNTIF(M198,"RA"),COUNTIF(P198,"RA"),COUNTIF(S198,"RA"),COUNTIF(V198,"RA"),COUNTIF(Y198,"RA"),COUNTIF(AB198,"RA"))&gt;0,"FAIL","PASS")</f>
        <v>FAIL</v>
      </c>
    </row>
    <row r="199" customFormat="false" ht="15" hidden="false" customHeight="false" outlineLevel="0" collapsed="false">
      <c r="A199" s="2" t="n">
        <v>198</v>
      </c>
      <c r="B199" s="3" t="s">
        <v>1206</v>
      </c>
      <c r="C199" s="2" t="s">
        <v>757</v>
      </c>
      <c r="D199" s="2" t="s">
        <v>1207</v>
      </c>
      <c r="E199" s="2" t="s">
        <v>35</v>
      </c>
      <c r="F199" s="2" t="s">
        <v>36</v>
      </c>
      <c r="G199" s="2" t="s">
        <v>91</v>
      </c>
      <c r="H199" s="2" t="s">
        <v>1208</v>
      </c>
      <c r="I199" s="3" t="s">
        <v>760</v>
      </c>
      <c r="J199" s="2" t="s">
        <v>1209</v>
      </c>
      <c r="K199" s="2" t="s">
        <v>1210</v>
      </c>
      <c r="L199" s="4" t="n">
        <v>48</v>
      </c>
      <c r="M199" s="4" t="s">
        <v>45</v>
      </c>
      <c r="N199" s="5" t="n">
        <v>48</v>
      </c>
      <c r="O199" s="6" t="n">
        <v>91</v>
      </c>
      <c r="P199" s="6" t="s">
        <v>54</v>
      </c>
      <c r="Q199" s="7" t="n">
        <v>91</v>
      </c>
      <c r="R199" s="8" t="n">
        <v>77</v>
      </c>
      <c r="S199" s="8" t="s">
        <v>43</v>
      </c>
      <c r="T199" s="9" t="n">
        <v>77</v>
      </c>
      <c r="U199" s="10" t="n">
        <v>74</v>
      </c>
      <c r="V199" s="10" t="s">
        <v>43</v>
      </c>
      <c r="W199" s="11" t="n">
        <v>74</v>
      </c>
      <c r="X199" s="12" t="n">
        <v>83</v>
      </c>
      <c r="Y199" s="12" t="s">
        <v>42</v>
      </c>
      <c r="Z199" s="13" t="n">
        <v>83</v>
      </c>
      <c r="AA199" s="14" t="n">
        <v>98</v>
      </c>
      <c r="AB199" s="14" t="s">
        <v>54</v>
      </c>
      <c r="AC199" s="15" t="n">
        <v>98</v>
      </c>
      <c r="AD199" s="2" t="n">
        <f aca="false">SUM(L199,O199,R199,U199,X199,AA199)</f>
        <v>471</v>
      </c>
      <c r="AE199" s="16" t="n">
        <f aca="false">AD199/6</f>
        <v>78.5</v>
      </c>
      <c r="AF199" s="2" t="str">
        <f aca="false">IF(SUM(COUNTIF(M199,"RA"),COUNTIF(P199,"RA"),COUNTIF(S199,"RA"),COUNTIF(V199,"RA"),COUNTIF(Y199,"RA"),COUNTIF(AB199,"RA"))&gt;0,"FAIL","PASS")</f>
        <v>FAIL</v>
      </c>
    </row>
    <row r="200" customFormat="false" ht="15" hidden="false" customHeight="false" outlineLevel="0" collapsed="false">
      <c r="A200" s="2" t="n">
        <v>199</v>
      </c>
      <c r="B200" s="3" t="s">
        <v>1211</v>
      </c>
      <c r="C200" s="2" t="s">
        <v>770</v>
      </c>
      <c r="D200" s="2" t="s">
        <v>1212</v>
      </c>
      <c r="E200" s="2" t="s">
        <v>57</v>
      </c>
      <c r="F200" s="2" t="s">
        <v>36</v>
      </c>
      <c r="G200" s="2" t="s">
        <v>91</v>
      </c>
      <c r="H200" s="2" t="s">
        <v>1213</v>
      </c>
      <c r="I200" s="3" t="s">
        <v>1214</v>
      </c>
      <c r="J200" s="2" t="s">
        <v>1215</v>
      </c>
      <c r="K200" s="2" t="s">
        <v>1216</v>
      </c>
      <c r="L200" s="4" t="n">
        <v>93</v>
      </c>
      <c r="M200" s="4" t="s">
        <v>54</v>
      </c>
      <c r="N200" s="5" t="n">
        <v>93</v>
      </c>
      <c r="O200" s="6" t="n">
        <v>81</v>
      </c>
      <c r="P200" s="6" t="s">
        <v>42</v>
      </c>
      <c r="Q200" s="7" t="n">
        <v>81</v>
      </c>
      <c r="R200" s="8" t="n">
        <v>82</v>
      </c>
      <c r="S200" s="8" t="s">
        <v>42</v>
      </c>
      <c r="T200" s="9" t="n">
        <v>82</v>
      </c>
      <c r="U200" s="10" t="n">
        <v>70</v>
      </c>
      <c r="V200" s="10" t="s">
        <v>43</v>
      </c>
      <c r="W200" s="11" t="n">
        <v>70</v>
      </c>
      <c r="X200" s="12" t="n">
        <v>90</v>
      </c>
      <c r="Y200" s="12" t="s">
        <v>54</v>
      </c>
      <c r="Z200" s="13" t="n">
        <v>90</v>
      </c>
      <c r="AA200" s="14" t="n">
        <v>98</v>
      </c>
      <c r="AB200" s="14" t="s">
        <v>54</v>
      </c>
      <c r="AC200" s="15" t="n">
        <v>98</v>
      </c>
      <c r="AD200" s="2" t="n">
        <f aca="false">SUM(L200,O200,R200,U200,X200,AA200)</f>
        <v>514</v>
      </c>
      <c r="AE200" s="16" t="n">
        <f aca="false">AD200/6</f>
        <v>85.6666666666667</v>
      </c>
      <c r="AF200" s="2" t="str">
        <f aca="false">IF(SUM(COUNTIF(M200,"RA"),COUNTIF(P200,"RA"),COUNTIF(S200,"RA"),COUNTIF(V200,"RA"),COUNTIF(Y200,"RA"),COUNTIF(AB200,"RA"))&gt;0,"FAIL","PASS")</f>
        <v>PASS</v>
      </c>
    </row>
    <row r="201" customFormat="false" ht="15" hidden="false" customHeight="false" outlineLevel="0" collapsed="false">
      <c r="A201" s="2" t="n">
        <v>200</v>
      </c>
      <c r="B201" s="3" t="s">
        <v>1217</v>
      </c>
      <c r="C201" s="2" t="s">
        <v>757</v>
      </c>
      <c r="D201" s="2" t="s">
        <v>1218</v>
      </c>
      <c r="E201" s="2" t="s">
        <v>35</v>
      </c>
      <c r="F201" s="2" t="s">
        <v>36</v>
      </c>
      <c r="G201" s="2" t="s">
        <v>42</v>
      </c>
      <c r="H201" s="2" t="s">
        <v>1219</v>
      </c>
      <c r="I201" s="3" t="s">
        <v>1220</v>
      </c>
      <c r="J201" s="2" t="s">
        <v>1221</v>
      </c>
      <c r="K201" s="2" t="s">
        <v>1222</v>
      </c>
      <c r="L201" s="4" t="n">
        <v>59</v>
      </c>
      <c r="M201" s="4" t="s">
        <v>53</v>
      </c>
      <c r="N201" s="5" t="n">
        <v>59</v>
      </c>
      <c r="O201" s="6" t="n">
        <v>93</v>
      </c>
      <c r="P201" s="6" t="s">
        <v>54</v>
      </c>
      <c r="Q201" s="7" t="n">
        <v>93</v>
      </c>
      <c r="R201" s="8" t="n">
        <v>88</v>
      </c>
      <c r="S201" s="8" t="s">
        <v>42</v>
      </c>
      <c r="T201" s="9" t="n">
        <v>88</v>
      </c>
      <c r="U201" s="10" t="n">
        <v>83</v>
      </c>
      <c r="V201" s="10" t="s">
        <v>42</v>
      </c>
      <c r="W201" s="11" t="n">
        <v>83</v>
      </c>
      <c r="X201" s="12" t="n">
        <v>62</v>
      </c>
      <c r="Y201" s="12" t="s">
        <v>44</v>
      </c>
      <c r="Z201" s="13" t="n">
        <v>62</v>
      </c>
      <c r="AA201" s="14" t="n">
        <v>44</v>
      </c>
      <c r="AB201" s="14" t="s">
        <v>45</v>
      </c>
      <c r="AC201" s="15" t="n">
        <v>44</v>
      </c>
      <c r="AD201" s="2" t="n">
        <f aca="false">SUM(L201,O201,R201,U201,X201,AA201)</f>
        <v>429</v>
      </c>
      <c r="AE201" s="16" t="n">
        <f aca="false">AD201/6</f>
        <v>71.5</v>
      </c>
      <c r="AF201" s="2" t="str">
        <f aca="false">IF(SUM(COUNTIF(M201,"RA"),COUNTIF(P201,"RA"),COUNTIF(S201,"RA"),COUNTIF(V201,"RA"),COUNTIF(Y201,"RA"),COUNTIF(AB201,"RA"))&gt;0,"FAIL","PASS")</f>
        <v>FAIL</v>
      </c>
    </row>
    <row r="202" customFormat="false" ht="15" hidden="false" customHeight="false" outlineLevel="0" collapsed="false">
      <c r="A202" s="2" t="n">
        <v>201</v>
      </c>
      <c r="B202" s="3" t="s">
        <v>1223</v>
      </c>
      <c r="C202" s="2" t="s">
        <v>783</v>
      </c>
      <c r="D202" s="2" t="s">
        <v>1224</v>
      </c>
      <c r="E202" s="2" t="s">
        <v>35</v>
      </c>
      <c r="F202" s="2" t="s">
        <v>36</v>
      </c>
      <c r="G202" s="2" t="s">
        <v>71</v>
      </c>
      <c r="H202" s="2" t="s">
        <v>1225</v>
      </c>
      <c r="I202" s="3" t="s">
        <v>1226</v>
      </c>
      <c r="J202" s="2" t="s">
        <v>1227</v>
      </c>
      <c r="K202" s="2" t="s">
        <v>1228</v>
      </c>
      <c r="L202" s="4" t="n">
        <v>76</v>
      </c>
      <c r="M202" s="4" t="s">
        <v>43</v>
      </c>
      <c r="N202" s="5" t="n">
        <v>76</v>
      </c>
      <c r="O202" s="6" t="n">
        <v>72</v>
      </c>
      <c r="P202" s="6" t="s">
        <v>43</v>
      </c>
      <c r="Q202" s="7" t="n">
        <v>72</v>
      </c>
      <c r="R202" s="8" t="n">
        <v>79</v>
      </c>
      <c r="S202" s="8" t="s">
        <v>43</v>
      </c>
      <c r="T202" s="9" t="n">
        <v>79</v>
      </c>
      <c r="U202" s="10" t="n">
        <v>56</v>
      </c>
      <c r="V202" s="10" t="s">
        <v>53</v>
      </c>
      <c r="W202" s="11" t="n">
        <v>56</v>
      </c>
      <c r="X202" s="12" t="n">
        <v>78</v>
      </c>
      <c r="Y202" s="12" t="s">
        <v>43</v>
      </c>
      <c r="Z202" s="13" t="n">
        <v>78</v>
      </c>
      <c r="AA202" s="14" t="n">
        <v>44</v>
      </c>
      <c r="AB202" s="14" t="s">
        <v>45</v>
      </c>
      <c r="AC202" s="15" t="n">
        <v>44</v>
      </c>
      <c r="AD202" s="2" t="n">
        <f aca="false">SUM(L202,O202,R202,U202,X202,AA202)</f>
        <v>405</v>
      </c>
      <c r="AE202" s="16" t="n">
        <f aca="false">AD202/6</f>
        <v>67.5</v>
      </c>
      <c r="AF202" s="2" t="str">
        <f aca="false">IF(SUM(COUNTIF(M202,"RA"),COUNTIF(P202,"RA"),COUNTIF(S202,"RA"),COUNTIF(V202,"RA"),COUNTIF(Y202,"RA"),COUNTIF(AB202,"RA"))&gt;0,"FAIL","PASS")</f>
        <v>FAIL</v>
      </c>
    </row>
    <row r="203" customFormat="false" ht="15" hidden="false" customHeight="false" outlineLevel="0" collapsed="false">
      <c r="A203" s="2" t="n">
        <v>202</v>
      </c>
      <c r="B203" s="3" t="s">
        <v>1229</v>
      </c>
      <c r="C203" s="2" t="s">
        <v>859</v>
      </c>
      <c r="D203" s="2" t="s">
        <v>1230</v>
      </c>
      <c r="E203" s="2" t="s">
        <v>57</v>
      </c>
      <c r="F203" s="2" t="s">
        <v>36</v>
      </c>
      <c r="G203" s="2" t="s">
        <v>71</v>
      </c>
      <c r="H203" s="2" t="s">
        <v>1231</v>
      </c>
      <c r="I203" s="3" t="s">
        <v>1232</v>
      </c>
      <c r="J203" s="2" t="s">
        <v>1233</v>
      </c>
      <c r="K203" s="2" t="s">
        <v>1234</v>
      </c>
      <c r="L203" s="4" t="n">
        <v>77</v>
      </c>
      <c r="M203" s="4" t="s">
        <v>43</v>
      </c>
      <c r="N203" s="5" t="n">
        <v>77</v>
      </c>
      <c r="O203" s="6" t="n">
        <v>86</v>
      </c>
      <c r="P203" s="6" t="s">
        <v>42</v>
      </c>
      <c r="Q203" s="7" t="n">
        <v>86</v>
      </c>
      <c r="R203" s="8" t="n">
        <v>98</v>
      </c>
      <c r="S203" s="8" t="s">
        <v>54</v>
      </c>
      <c r="T203" s="9" t="n">
        <v>98</v>
      </c>
      <c r="U203" s="10" t="n">
        <v>93</v>
      </c>
      <c r="V203" s="10" t="s">
        <v>54</v>
      </c>
      <c r="W203" s="11" t="n">
        <v>93</v>
      </c>
      <c r="X203" s="12" t="n">
        <v>73</v>
      </c>
      <c r="Y203" s="12" t="s">
        <v>43</v>
      </c>
      <c r="Z203" s="13" t="n">
        <v>73</v>
      </c>
      <c r="AA203" s="14" t="n">
        <v>77</v>
      </c>
      <c r="AB203" s="14" t="s">
        <v>43</v>
      </c>
      <c r="AC203" s="15" t="n">
        <v>77</v>
      </c>
      <c r="AD203" s="2" t="n">
        <f aca="false">SUM(L203,O203,R203,U203,X203,AA203)</f>
        <v>504</v>
      </c>
      <c r="AE203" s="16" t="n">
        <f aca="false">AD203/6</f>
        <v>84</v>
      </c>
      <c r="AF203" s="2" t="str">
        <f aca="false">IF(SUM(COUNTIF(M203,"RA"),COUNTIF(P203,"RA"),COUNTIF(S203,"RA"),COUNTIF(V203,"RA"),COUNTIF(Y203,"RA"),COUNTIF(AB203,"RA"))&gt;0,"FAIL","PASS")</f>
        <v>PASS</v>
      </c>
    </row>
    <row r="204" customFormat="false" ht="15" hidden="false" customHeight="false" outlineLevel="0" collapsed="false">
      <c r="A204" s="2" t="n">
        <v>203</v>
      </c>
      <c r="B204" s="3" t="s">
        <v>1235</v>
      </c>
      <c r="C204" s="2" t="s">
        <v>816</v>
      </c>
      <c r="D204" s="2" t="s">
        <v>1236</v>
      </c>
      <c r="E204" s="2" t="s">
        <v>35</v>
      </c>
      <c r="F204" s="2" t="s">
        <v>36</v>
      </c>
      <c r="G204" s="2" t="s">
        <v>71</v>
      </c>
      <c r="H204" s="2" t="s">
        <v>1237</v>
      </c>
      <c r="I204" s="3" t="s">
        <v>607</v>
      </c>
      <c r="J204" s="2" t="s">
        <v>1238</v>
      </c>
      <c r="K204" s="2" t="s">
        <v>1239</v>
      </c>
      <c r="L204" s="4" t="n">
        <v>77</v>
      </c>
      <c r="M204" s="4" t="s">
        <v>43</v>
      </c>
      <c r="N204" s="5" t="n">
        <v>77</v>
      </c>
      <c r="O204" s="6" t="n">
        <v>67</v>
      </c>
      <c r="P204" s="6" t="s">
        <v>44</v>
      </c>
      <c r="Q204" s="7" t="n">
        <v>67</v>
      </c>
      <c r="R204" s="8" t="n">
        <v>91</v>
      </c>
      <c r="S204" s="8" t="s">
        <v>54</v>
      </c>
      <c r="T204" s="9" t="n">
        <v>91</v>
      </c>
      <c r="U204" s="10" t="n">
        <v>89</v>
      </c>
      <c r="V204" s="10" t="s">
        <v>42</v>
      </c>
      <c r="W204" s="11" t="n">
        <v>89</v>
      </c>
      <c r="X204" s="12" t="n">
        <v>68</v>
      </c>
      <c r="Y204" s="12" t="s">
        <v>44</v>
      </c>
      <c r="Z204" s="13" t="n">
        <v>68</v>
      </c>
      <c r="AA204" s="14" t="n">
        <v>71</v>
      </c>
      <c r="AB204" s="14" t="s">
        <v>43</v>
      </c>
      <c r="AC204" s="15" t="n">
        <v>71</v>
      </c>
      <c r="AD204" s="2" t="n">
        <f aca="false">SUM(L204,O204,R204,U204,X204,AA204)</f>
        <v>463</v>
      </c>
      <c r="AE204" s="16" t="n">
        <f aca="false">AD204/6</f>
        <v>77.1666666666667</v>
      </c>
      <c r="AF204" s="2" t="str">
        <f aca="false">IF(SUM(COUNTIF(M204,"RA"),COUNTIF(P204,"RA"),COUNTIF(S204,"RA"),COUNTIF(V204,"RA"),COUNTIF(Y204,"RA"),COUNTIF(AB204,"RA"))&gt;0,"FAIL","PASS")</f>
        <v>PASS</v>
      </c>
    </row>
    <row r="205" customFormat="false" ht="15" hidden="false" customHeight="false" outlineLevel="0" collapsed="false">
      <c r="A205" s="2" t="n">
        <v>204</v>
      </c>
      <c r="B205" s="3" t="s">
        <v>1240</v>
      </c>
      <c r="C205" s="2" t="s">
        <v>803</v>
      </c>
      <c r="D205" s="2" t="s">
        <v>1241</v>
      </c>
      <c r="E205" s="2" t="s">
        <v>35</v>
      </c>
      <c r="F205" s="2" t="s">
        <v>36</v>
      </c>
      <c r="G205" s="2" t="s">
        <v>42</v>
      </c>
      <c r="H205" s="2" t="s">
        <v>1242</v>
      </c>
      <c r="I205" s="3" t="s">
        <v>1243</v>
      </c>
      <c r="J205" s="2" t="s">
        <v>1244</v>
      </c>
      <c r="K205" s="2" t="s">
        <v>1245</v>
      </c>
      <c r="L205" s="4" t="n">
        <v>86</v>
      </c>
      <c r="M205" s="4" t="s">
        <v>42</v>
      </c>
      <c r="N205" s="5" t="n">
        <v>86</v>
      </c>
      <c r="O205" s="6" t="n">
        <v>73</v>
      </c>
      <c r="P205" s="6" t="s">
        <v>43</v>
      </c>
      <c r="Q205" s="7" t="n">
        <v>73</v>
      </c>
      <c r="R205" s="8" t="n">
        <v>93</v>
      </c>
      <c r="S205" s="8" t="s">
        <v>54</v>
      </c>
      <c r="T205" s="9" t="n">
        <v>93</v>
      </c>
      <c r="U205" s="10" t="n">
        <v>85</v>
      </c>
      <c r="V205" s="10" t="s">
        <v>42</v>
      </c>
      <c r="W205" s="11" t="n">
        <v>85</v>
      </c>
      <c r="X205" s="12" t="n">
        <v>65</v>
      </c>
      <c r="Y205" s="12" t="s">
        <v>44</v>
      </c>
      <c r="Z205" s="13" t="n">
        <v>65</v>
      </c>
      <c r="AA205" s="14" t="n">
        <v>94</v>
      </c>
      <c r="AB205" s="14" t="s">
        <v>54</v>
      </c>
      <c r="AC205" s="15" t="n">
        <v>94</v>
      </c>
      <c r="AD205" s="2" t="n">
        <f aca="false">SUM(L205,O205,R205,U205,X205,AA205)</f>
        <v>496</v>
      </c>
      <c r="AE205" s="16" t="n">
        <f aca="false">AD205/6</f>
        <v>82.6666666666667</v>
      </c>
      <c r="AF205" s="2" t="str">
        <f aca="false">IF(SUM(COUNTIF(M205,"RA"),COUNTIF(P205,"RA"),COUNTIF(S205,"RA"),COUNTIF(V205,"RA"),COUNTIF(Y205,"RA"),COUNTIF(AB205,"RA"))&gt;0,"FAIL","PASS")</f>
        <v>PASS</v>
      </c>
    </row>
    <row r="206" customFormat="false" ht="15" hidden="false" customHeight="false" outlineLevel="0" collapsed="false">
      <c r="A206" s="2" t="n">
        <v>205</v>
      </c>
      <c r="B206" s="3" t="s">
        <v>1246</v>
      </c>
      <c r="C206" s="2" t="s">
        <v>757</v>
      </c>
      <c r="D206" s="2" t="s">
        <v>1247</v>
      </c>
      <c r="E206" s="2" t="s">
        <v>57</v>
      </c>
      <c r="F206" s="2" t="s">
        <v>36</v>
      </c>
      <c r="G206" s="2" t="s">
        <v>78</v>
      </c>
      <c r="H206" s="2" t="s">
        <v>1248</v>
      </c>
      <c r="I206" s="3" t="s">
        <v>684</v>
      </c>
      <c r="J206" s="2" t="s">
        <v>1249</v>
      </c>
      <c r="K206" s="2" t="s">
        <v>1250</v>
      </c>
      <c r="L206" s="4" t="n">
        <v>73</v>
      </c>
      <c r="M206" s="4" t="s">
        <v>43</v>
      </c>
      <c r="N206" s="5" t="n">
        <v>73</v>
      </c>
      <c r="O206" s="6" t="n">
        <v>93</v>
      </c>
      <c r="P206" s="6" t="s">
        <v>54</v>
      </c>
      <c r="Q206" s="7" t="n">
        <v>93</v>
      </c>
      <c r="R206" s="8" t="n">
        <v>73</v>
      </c>
      <c r="S206" s="8" t="s">
        <v>43</v>
      </c>
      <c r="T206" s="9" t="n">
        <v>73</v>
      </c>
      <c r="U206" s="10" t="n">
        <v>94</v>
      </c>
      <c r="V206" s="10" t="s">
        <v>54</v>
      </c>
      <c r="W206" s="11" t="n">
        <v>94</v>
      </c>
      <c r="X206" s="12" t="n">
        <v>89</v>
      </c>
      <c r="Y206" s="12" t="s">
        <v>42</v>
      </c>
      <c r="Z206" s="13" t="n">
        <v>89</v>
      </c>
      <c r="AA206" s="14" t="n">
        <v>71</v>
      </c>
      <c r="AB206" s="14" t="s">
        <v>43</v>
      </c>
      <c r="AC206" s="15" t="n">
        <v>71</v>
      </c>
      <c r="AD206" s="2" t="n">
        <f aca="false">SUM(L206,O206,R206,U206,X206,AA206)</f>
        <v>493</v>
      </c>
      <c r="AE206" s="16" t="n">
        <f aca="false">AD206/6</f>
        <v>82.1666666666667</v>
      </c>
      <c r="AF206" s="2" t="str">
        <f aca="false">IF(SUM(COUNTIF(M206,"RA"),COUNTIF(P206,"RA"),COUNTIF(S206,"RA"),COUNTIF(V206,"RA"),COUNTIF(Y206,"RA"),COUNTIF(AB206,"RA"))&gt;0,"FAIL","PASS")</f>
        <v>PASS</v>
      </c>
    </row>
    <row r="207" customFormat="false" ht="15" hidden="false" customHeight="false" outlineLevel="0" collapsed="false">
      <c r="A207" s="2" t="n">
        <v>206</v>
      </c>
      <c r="B207" s="3" t="s">
        <v>1251</v>
      </c>
      <c r="C207" s="2" t="s">
        <v>770</v>
      </c>
      <c r="D207" s="2" t="s">
        <v>1252</v>
      </c>
      <c r="E207" s="2" t="s">
        <v>35</v>
      </c>
      <c r="F207" s="2" t="s">
        <v>36</v>
      </c>
      <c r="G207" s="2" t="s">
        <v>78</v>
      </c>
      <c r="H207" s="2" t="s">
        <v>1253</v>
      </c>
      <c r="I207" s="3" t="s">
        <v>1254</v>
      </c>
      <c r="J207" s="2" t="s">
        <v>1255</v>
      </c>
      <c r="K207" s="2" t="s">
        <v>1256</v>
      </c>
      <c r="L207" s="4" t="n">
        <v>75</v>
      </c>
      <c r="M207" s="4" t="s">
        <v>43</v>
      </c>
      <c r="N207" s="5" t="n">
        <v>75</v>
      </c>
      <c r="O207" s="6" t="n">
        <v>65</v>
      </c>
      <c r="P207" s="6" t="s">
        <v>44</v>
      </c>
      <c r="Q207" s="7" t="n">
        <v>65</v>
      </c>
      <c r="R207" s="8" t="n">
        <v>88</v>
      </c>
      <c r="S207" s="8" t="s">
        <v>42</v>
      </c>
      <c r="T207" s="9" t="n">
        <v>88</v>
      </c>
      <c r="U207" s="10" t="n">
        <v>83</v>
      </c>
      <c r="V207" s="10" t="s">
        <v>42</v>
      </c>
      <c r="W207" s="11" t="n">
        <v>83</v>
      </c>
      <c r="X207" s="12" t="n">
        <v>90</v>
      </c>
      <c r="Y207" s="12" t="s">
        <v>54</v>
      </c>
      <c r="Z207" s="13" t="n">
        <v>90</v>
      </c>
      <c r="AA207" s="14" t="n">
        <v>90</v>
      </c>
      <c r="AB207" s="14" t="s">
        <v>54</v>
      </c>
      <c r="AC207" s="15" t="n">
        <v>90</v>
      </c>
      <c r="AD207" s="2" t="n">
        <f aca="false">SUM(L207,O207,R207,U207,X207,AA207)</f>
        <v>491</v>
      </c>
      <c r="AE207" s="16" t="n">
        <f aca="false">AD207/6</f>
        <v>81.8333333333333</v>
      </c>
      <c r="AF207" s="2" t="str">
        <f aca="false">IF(SUM(COUNTIF(M207,"RA"),COUNTIF(P207,"RA"),COUNTIF(S207,"RA"),COUNTIF(V207,"RA"),COUNTIF(Y207,"RA"),COUNTIF(AB207,"RA"))&gt;0,"FAIL","PASS")</f>
        <v>PASS</v>
      </c>
    </row>
    <row r="208" customFormat="false" ht="15" hidden="false" customHeight="false" outlineLevel="0" collapsed="false">
      <c r="A208" s="2" t="n">
        <v>207</v>
      </c>
      <c r="B208" s="3" t="s">
        <v>1257</v>
      </c>
      <c r="C208" s="2" t="s">
        <v>816</v>
      </c>
      <c r="D208" s="2" t="s">
        <v>1258</v>
      </c>
      <c r="E208" s="2" t="s">
        <v>57</v>
      </c>
      <c r="F208" s="2" t="s">
        <v>36</v>
      </c>
      <c r="G208" s="2" t="s">
        <v>48</v>
      </c>
      <c r="H208" s="2" t="s">
        <v>1259</v>
      </c>
      <c r="I208" s="3" t="s">
        <v>1260</v>
      </c>
      <c r="J208" s="2" t="s">
        <v>1261</v>
      </c>
      <c r="K208" s="2" t="s">
        <v>1262</v>
      </c>
      <c r="L208" s="4" t="n">
        <v>80</v>
      </c>
      <c r="M208" s="4" t="s">
        <v>42</v>
      </c>
      <c r="N208" s="5" t="n">
        <v>80</v>
      </c>
      <c r="O208" s="6" t="n">
        <v>82</v>
      </c>
      <c r="P208" s="6" t="s">
        <v>42</v>
      </c>
      <c r="Q208" s="7" t="n">
        <v>82</v>
      </c>
      <c r="R208" s="8" t="n">
        <v>87</v>
      </c>
      <c r="S208" s="8" t="s">
        <v>42</v>
      </c>
      <c r="T208" s="9" t="n">
        <v>87</v>
      </c>
      <c r="U208" s="10" t="n">
        <v>74</v>
      </c>
      <c r="V208" s="10" t="s">
        <v>43</v>
      </c>
      <c r="W208" s="11" t="n">
        <v>74</v>
      </c>
      <c r="X208" s="12" t="n">
        <v>94</v>
      </c>
      <c r="Y208" s="12" t="s">
        <v>54</v>
      </c>
      <c r="Z208" s="13" t="n">
        <v>94</v>
      </c>
      <c r="AA208" s="14" t="n">
        <v>66</v>
      </c>
      <c r="AB208" s="14" t="s">
        <v>44</v>
      </c>
      <c r="AC208" s="15" t="n">
        <v>66</v>
      </c>
      <c r="AD208" s="2" t="n">
        <f aca="false">SUM(L208,O208,R208,U208,X208,AA208)</f>
        <v>483</v>
      </c>
      <c r="AE208" s="16" t="n">
        <f aca="false">AD208/6</f>
        <v>80.5</v>
      </c>
      <c r="AF208" s="2" t="str">
        <f aca="false">IF(SUM(COUNTIF(M208,"RA"),COUNTIF(P208,"RA"),COUNTIF(S208,"RA"),COUNTIF(V208,"RA"),COUNTIF(Y208,"RA"),COUNTIF(AB208,"RA"))&gt;0,"FAIL","PASS")</f>
        <v>PASS</v>
      </c>
    </row>
    <row r="209" customFormat="false" ht="15" hidden="false" customHeight="false" outlineLevel="0" collapsed="false">
      <c r="A209" s="2" t="n">
        <v>208</v>
      </c>
      <c r="B209" s="3" t="s">
        <v>1263</v>
      </c>
      <c r="C209" s="2" t="s">
        <v>859</v>
      </c>
      <c r="D209" s="2" t="s">
        <v>1264</v>
      </c>
      <c r="E209" s="2" t="s">
        <v>35</v>
      </c>
      <c r="F209" s="2" t="s">
        <v>36</v>
      </c>
      <c r="G209" s="2" t="s">
        <v>44</v>
      </c>
      <c r="H209" s="2" t="s">
        <v>1265</v>
      </c>
      <c r="I209" s="3" t="s">
        <v>1266</v>
      </c>
      <c r="J209" s="2" t="s">
        <v>1267</v>
      </c>
      <c r="K209" s="2" t="s">
        <v>1268</v>
      </c>
      <c r="L209" s="4" t="n">
        <v>90</v>
      </c>
      <c r="M209" s="4" t="s">
        <v>54</v>
      </c>
      <c r="N209" s="5" t="n">
        <v>90</v>
      </c>
      <c r="O209" s="6" t="n">
        <v>81</v>
      </c>
      <c r="P209" s="6" t="s">
        <v>42</v>
      </c>
      <c r="Q209" s="7" t="n">
        <v>81</v>
      </c>
      <c r="R209" s="8" t="n">
        <v>90</v>
      </c>
      <c r="S209" s="8" t="s">
        <v>54</v>
      </c>
      <c r="T209" s="9" t="n">
        <v>90</v>
      </c>
      <c r="U209" s="10" t="n">
        <v>88</v>
      </c>
      <c r="V209" s="10" t="s">
        <v>42</v>
      </c>
      <c r="W209" s="11" t="n">
        <v>88</v>
      </c>
      <c r="X209" s="12" t="n">
        <v>79</v>
      </c>
      <c r="Y209" s="12" t="s">
        <v>43</v>
      </c>
      <c r="Z209" s="13" t="n">
        <v>79</v>
      </c>
      <c r="AA209" s="14" t="n">
        <v>89</v>
      </c>
      <c r="AB209" s="14" t="s">
        <v>42</v>
      </c>
      <c r="AC209" s="15" t="n">
        <v>89</v>
      </c>
      <c r="AD209" s="2" t="n">
        <f aca="false">SUM(L209,O209,R209,U209,X209,AA209)</f>
        <v>517</v>
      </c>
      <c r="AE209" s="16" t="n">
        <f aca="false">AD209/6</f>
        <v>86.1666666666667</v>
      </c>
      <c r="AF209" s="2" t="str">
        <f aca="false">IF(SUM(COUNTIF(M209,"RA"),COUNTIF(P209,"RA"),COUNTIF(S209,"RA"),COUNTIF(V209,"RA"),COUNTIF(Y209,"RA"),COUNTIF(AB209,"RA"))&gt;0,"FAIL","PASS")</f>
        <v>PASS</v>
      </c>
    </row>
    <row r="210" customFormat="false" ht="15" hidden="false" customHeight="false" outlineLevel="0" collapsed="false">
      <c r="A210" s="2" t="n">
        <v>209</v>
      </c>
      <c r="B210" s="3" t="s">
        <v>1269</v>
      </c>
      <c r="C210" s="2" t="s">
        <v>803</v>
      </c>
      <c r="D210" s="2" t="s">
        <v>1270</v>
      </c>
      <c r="E210" s="2" t="s">
        <v>57</v>
      </c>
      <c r="F210" s="2" t="s">
        <v>36</v>
      </c>
      <c r="G210" s="2" t="s">
        <v>78</v>
      </c>
      <c r="H210" s="2" t="s">
        <v>1271</v>
      </c>
      <c r="I210" s="3" t="s">
        <v>1272</v>
      </c>
      <c r="J210" s="2" t="s">
        <v>1273</v>
      </c>
      <c r="K210" s="2" t="s">
        <v>1274</v>
      </c>
      <c r="L210" s="4" t="n">
        <v>75</v>
      </c>
      <c r="M210" s="4" t="s">
        <v>43</v>
      </c>
      <c r="N210" s="5" t="n">
        <v>75</v>
      </c>
      <c r="O210" s="6" t="n">
        <v>55</v>
      </c>
      <c r="P210" s="6" t="s">
        <v>53</v>
      </c>
      <c r="Q210" s="7" t="n">
        <v>55</v>
      </c>
      <c r="R210" s="8" t="n">
        <v>67</v>
      </c>
      <c r="S210" s="8" t="s">
        <v>44</v>
      </c>
      <c r="T210" s="9" t="n">
        <v>67</v>
      </c>
      <c r="U210" s="10" t="n">
        <v>61</v>
      </c>
      <c r="V210" s="10" t="s">
        <v>44</v>
      </c>
      <c r="W210" s="11" t="n">
        <v>61</v>
      </c>
      <c r="X210" s="12" t="n">
        <v>65</v>
      </c>
      <c r="Y210" s="12" t="s">
        <v>44</v>
      </c>
      <c r="Z210" s="13" t="n">
        <v>65</v>
      </c>
      <c r="AA210" s="14" t="n">
        <v>91</v>
      </c>
      <c r="AB210" s="14" t="s">
        <v>54</v>
      </c>
      <c r="AC210" s="15" t="n">
        <v>91</v>
      </c>
      <c r="AD210" s="2" t="n">
        <f aca="false">SUM(L210,O210,R210,U210,X210,AA210)</f>
        <v>414</v>
      </c>
      <c r="AE210" s="16" t="n">
        <f aca="false">AD210/6</f>
        <v>69</v>
      </c>
      <c r="AF210" s="2" t="str">
        <f aca="false">IF(SUM(COUNTIF(M210,"RA"),COUNTIF(P210,"RA"),COUNTIF(S210,"RA"),COUNTIF(V210,"RA"),COUNTIF(Y210,"RA"),COUNTIF(AB210,"RA"))&gt;0,"FAIL","PASS")</f>
        <v>PASS</v>
      </c>
    </row>
    <row r="211" customFormat="false" ht="15" hidden="false" customHeight="false" outlineLevel="0" collapsed="false">
      <c r="A211" s="2" t="n">
        <v>210</v>
      </c>
      <c r="B211" s="3" t="s">
        <v>1275</v>
      </c>
      <c r="C211" s="2" t="s">
        <v>783</v>
      </c>
      <c r="D211" s="2" t="s">
        <v>1276</v>
      </c>
      <c r="E211" s="2" t="s">
        <v>35</v>
      </c>
      <c r="F211" s="2" t="s">
        <v>36</v>
      </c>
      <c r="G211" s="2" t="s">
        <v>44</v>
      </c>
      <c r="H211" s="2" t="s">
        <v>1277</v>
      </c>
      <c r="I211" s="3" t="s">
        <v>1278</v>
      </c>
      <c r="J211" s="2" t="s">
        <v>1279</v>
      </c>
      <c r="K211" s="2" t="s">
        <v>1280</v>
      </c>
      <c r="L211" s="4" t="n">
        <v>62</v>
      </c>
      <c r="M211" s="4" t="s">
        <v>44</v>
      </c>
      <c r="N211" s="5" t="n">
        <v>62</v>
      </c>
      <c r="O211" s="6" t="n">
        <v>80</v>
      </c>
      <c r="P211" s="6" t="s">
        <v>42</v>
      </c>
      <c r="Q211" s="7" t="n">
        <v>80</v>
      </c>
      <c r="R211" s="8" t="n">
        <v>61</v>
      </c>
      <c r="S211" s="8" t="s">
        <v>44</v>
      </c>
      <c r="T211" s="9" t="n">
        <v>61</v>
      </c>
      <c r="U211" s="10" t="n">
        <v>61</v>
      </c>
      <c r="V211" s="10" t="s">
        <v>44</v>
      </c>
      <c r="W211" s="11" t="n">
        <v>61</v>
      </c>
      <c r="X211" s="12" t="n">
        <v>90</v>
      </c>
      <c r="Y211" s="12" t="s">
        <v>54</v>
      </c>
      <c r="Z211" s="13" t="n">
        <v>90</v>
      </c>
      <c r="AA211" s="14" t="n">
        <v>99</v>
      </c>
      <c r="AB211" s="14" t="s">
        <v>54</v>
      </c>
      <c r="AC211" s="15" t="n">
        <v>99</v>
      </c>
      <c r="AD211" s="2" t="n">
        <f aca="false">SUM(L211,O211,R211,U211,X211,AA211)</f>
        <v>453</v>
      </c>
      <c r="AE211" s="16" t="n">
        <f aca="false">AD211/6</f>
        <v>75.5</v>
      </c>
      <c r="AF211" s="2" t="str">
        <f aca="false">IF(SUM(COUNTIF(M211,"RA"),COUNTIF(P211,"RA"),COUNTIF(S211,"RA"),COUNTIF(V211,"RA"),COUNTIF(Y211,"RA"),COUNTIF(AB211,"RA"))&gt;0,"FAIL","PASS")</f>
        <v>PASS</v>
      </c>
    </row>
    <row r="212" customFormat="false" ht="15" hidden="false" customHeight="false" outlineLevel="0" collapsed="false">
      <c r="A212" s="2" t="n">
        <v>211</v>
      </c>
      <c r="B212" s="3" t="s">
        <v>1281</v>
      </c>
      <c r="C212" s="2" t="s">
        <v>803</v>
      </c>
      <c r="D212" s="2" t="s">
        <v>1282</v>
      </c>
      <c r="E212" s="2" t="s">
        <v>57</v>
      </c>
      <c r="F212" s="2" t="s">
        <v>36</v>
      </c>
      <c r="G212" s="2" t="s">
        <v>91</v>
      </c>
      <c r="H212" s="2" t="s">
        <v>1283</v>
      </c>
      <c r="I212" s="3" t="s">
        <v>1284</v>
      </c>
      <c r="J212" s="2" t="s">
        <v>1285</v>
      </c>
      <c r="K212" s="2" t="s">
        <v>1286</v>
      </c>
      <c r="L212" s="4" t="n">
        <v>99</v>
      </c>
      <c r="M212" s="4" t="s">
        <v>54</v>
      </c>
      <c r="N212" s="5" t="n">
        <v>99</v>
      </c>
      <c r="O212" s="6" t="n">
        <v>70</v>
      </c>
      <c r="P212" s="6" t="s">
        <v>43</v>
      </c>
      <c r="Q212" s="7" t="n">
        <v>70</v>
      </c>
      <c r="R212" s="8" t="n">
        <v>63</v>
      </c>
      <c r="S212" s="8" t="s">
        <v>44</v>
      </c>
      <c r="T212" s="9" t="n">
        <v>63</v>
      </c>
      <c r="U212" s="10" t="n">
        <v>97</v>
      </c>
      <c r="V212" s="10" t="s">
        <v>54</v>
      </c>
      <c r="W212" s="11" t="n">
        <v>97</v>
      </c>
      <c r="X212" s="12" t="n">
        <v>85</v>
      </c>
      <c r="Y212" s="12" t="s">
        <v>42</v>
      </c>
      <c r="Z212" s="13" t="n">
        <v>85</v>
      </c>
      <c r="AA212" s="14" t="n">
        <v>66</v>
      </c>
      <c r="AB212" s="14" t="s">
        <v>44</v>
      </c>
      <c r="AC212" s="15" t="n">
        <v>66</v>
      </c>
      <c r="AD212" s="2" t="n">
        <f aca="false">SUM(L212,O212,R212,U212,X212,AA212)</f>
        <v>480</v>
      </c>
      <c r="AE212" s="16" t="n">
        <f aca="false">AD212/6</f>
        <v>80</v>
      </c>
      <c r="AF212" s="2" t="str">
        <f aca="false">IF(SUM(COUNTIF(M212,"RA"),COUNTIF(P212,"RA"),COUNTIF(S212,"RA"),COUNTIF(V212,"RA"),COUNTIF(Y212,"RA"),COUNTIF(AB212,"RA"))&gt;0,"FAIL","PASS")</f>
        <v>PASS</v>
      </c>
    </row>
    <row r="213" customFormat="false" ht="15" hidden="false" customHeight="false" outlineLevel="0" collapsed="false">
      <c r="A213" s="2" t="n">
        <v>212</v>
      </c>
      <c r="B213" s="3" t="s">
        <v>1287</v>
      </c>
      <c r="C213" s="2" t="s">
        <v>783</v>
      </c>
      <c r="D213" s="2" t="s">
        <v>1288</v>
      </c>
      <c r="E213" s="2" t="s">
        <v>35</v>
      </c>
      <c r="F213" s="2" t="s">
        <v>36</v>
      </c>
      <c r="G213" s="2" t="s">
        <v>42</v>
      </c>
      <c r="H213" s="2" t="s">
        <v>92</v>
      </c>
      <c r="I213" s="3" t="s">
        <v>93</v>
      </c>
      <c r="J213" s="2" t="s">
        <v>1289</v>
      </c>
      <c r="K213" s="2" t="s">
        <v>1290</v>
      </c>
      <c r="L213" s="4" t="n">
        <v>89</v>
      </c>
      <c r="M213" s="4" t="s">
        <v>42</v>
      </c>
      <c r="N213" s="5" t="n">
        <v>89</v>
      </c>
      <c r="O213" s="6" t="n">
        <v>94</v>
      </c>
      <c r="P213" s="6" t="s">
        <v>54</v>
      </c>
      <c r="Q213" s="7" t="n">
        <v>94</v>
      </c>
      <c r="R213" s="8" t="n">
        <v>83</v>
      </c>
      <c r="S213" s="8" t="s">
        <v>42</v>
      </c>
      <c r="T213" s="9" t="n">
        <v>83</v>
      </c>
      <c r="U213" s="10" t="n">
        <v>69</v>
      </c>
      <c r="V213" s="10" t="s">
        <v>44</v>
      </c>
      <c r="W213" s="11" t="n">
        <v>69</v>
      </c>
      <c r="X213" s="12" t="n">
        <v>89</v>
      </c>
      <c r="Y213" s="12" t="s">
        <v>42</v>
      </c>
      <c r="Z213" s="13" t="n">
        <v>89</v>
      </c>
      <c r="AA213" s="14" t="n">
        <v>63</v>
      </c>
      <c r="AB213" s="14" t="s">
        <v>44</v>
      </c>
      <c r="AC213" s="15" t="n">
        <v>63</v>
      </c>
      <c r="AD213" s="2" t="n">
        <f aca="false">SUM(L213,O213,R213,U213,X213,AA213)</f>
        <v>487</v>
      </c>
      <c r="AE213" s="16" t="n">
        <f aca="false">AD213/6</f>
        <v>81.1666666666667</v>
      </c>
      <c r="AF213" s="2" t="str">
        <f aca="false">IF(SUM(COUNTIF(M213,"RA"),COUNTIF(P213,"RA"),COUNTIF(S213,"RA"),COUNTIF(V213,"RA"),COUNTIF(Y213,"RA"),COUNTIF(AB213,"RA"))&gt;0,"FAIL","PASS")</f>
        <v>PASS</v>
      </c>
    </row>
    <row r="214" customFormat="false" ht="15" hidden="false" customHeight="false" outlineLevel="0" collapsed="false">
      <c r="A214" s="2" t="n">
        <v>213</v>
      </c>
      <c r="B214" s="3" t="s">
        <v>1291</v>
      </c>
      <c r="C214" s="2" t="s">
        <v>803</v>
      </c>
      <c r="D214" s="2" t="s">
        <v>1292</v>
      </c>
      <c r="E214" s="2" t="s">
        <v>57</v>
      </c>
      <c r="F214" s="2" t="s">
        <v>36</v>
      </c>
      <c r="G214" s="2" t="s">
        <v>91</v>
      </c>
      <c r="H214" s="2" t="s">
        <v>1293</v>
      </c>
      <c r="I214" s="3" t="s">
        <v>1294</v>
      </c>
      <c r="J214" s="2" t="s">
        <v>1295</v>
      </c>
      <c r="K214" s="2" t="s">
        <v>1296</v>
      </c>
      <c r="L214" s="4" t="n">
        <v>97</v>
      </c>
      <c r="M214" s="4" t="s">
        <v>54</v>
      </c>
      <c r="N214" s="5" t="n">
        <v>97</v>
      </c>
      <c r="O214" s="6" t="n">
        <v>85</v>
      </c>
      <c r="P214" s="6" t="s">
        <v>42</v>
      </c>
      <c r="Q214" s="7" t="n">
        <v>85</v>
      </c>
      <c r="R214" s="8" t="n">
        <v>44</v>
      </c>
      <c r="S214" s="8" t="s">
        <v>45</v>
      </c>
      <c r="T214" s="9" t="n">
        <v>44</v>
      </c>
      <c r="U214" s="10" t="n">
        <v>63</v>
      </c>
      <c r="V214" s="10" t="s">
        <v>44</v>
      </c>
      <c r="W214" s="11" t="n">
        <v>63</v>
      </c>
      <c r="X214" s="12" t="n">
        <v>43</v>
      </c>
      <c r="Y214" s="12" t="s">
        <v>45</v>
      </c>
      <c r="Z214" s="13" t="n">
        <v>43</v>
      </c>
      <c r="AA214" s="14" t="n">
        <v>75</v>
      </c>
      <c r="AB214" s="14" t="s">
        <v>43</v>
      </c>
      <c r="AC214" s="15" t="n">
        <v>75</v>
      </c>
      <c r="AD214" s="2" t="n">
        <f aca="false">SUM(L214,O214,R214,U214,X214,AA214)</f>
        <v>407</v>
      </c>
      <c r="AE214" s="16" t="n">
        <f aca="false">AD214/6</f>
        <v>67.8333333333333</v>
      </c>
      <c r="AF214" s="2" t="str">
        <f aca="false">IF(SUM(COUNTIF(M214,"RA"),COUNTIF(P214,"RA"),COUNTIF(S214,"RA"),COUNTIF(V214,"RA"),COUNTIF(Y214,"RA"),COUNTIF(AB214,"RA"))&gt;0,"FAIL","PASS")</f>
        <v>FAIL</v>
      </c>
    </row>
    <row r="215" customFormat="false" ht="15" hidden="false" customHeight="false" outlineLevel="0" collapsed="false">
      <c r="A215" s="2" t="n">
        <v>214</v>
      </c>
      <c r="B215" s="3" t="s">
        <v>1297</v>
      </c>
      <c r="C215" s="2" t="s">
        <v>750</v>
      </c>
      <c r="D215" s="2" t="s">
        <v>1298</v>
      </c>
      <c r="E215" s="2" t="s">
        <v>57</v>
      </c>
      <c r="F215" s="2" t="s">
        <v>36</v>
      </c>
      <c r="G215" s="2" t="s">
        <v>37</v>
      </c>
      <c r="H215" s="2" t="s">
        <v>1299</v>
      </c>
      <c r="I215" s="3" t="s">
        <v>1300</v>
      </c>
      <c r="J215" s="2" t="s">
        <v>1301</v>
      </c>
      <c r="K215" s="2" t="s">
        <v>1302</v>
      </c>
      <c r="L215" s="4" t="n">
        <v>86</v>
      </c>
      <c r="M215" s="4" t="s">
        <v>42</v>
      </c>
      <c r="N215" s="5" t="n">
        <v>86</v>
      </c>
      <c r="O215" s="6" t="n">
        <v>95</v>
      </c>
      <c r="P215" s="6" t="s">
        <v>54</v>
      </c>
      <c r="Q215" s="7" t="n">
        <v>95</v>
      </c>
      <c r="R215" s="8" t="n">
        <v>87</v>
      </c>
      <c r="S215" s="8" t="s">
        <v>42</v>
      </c>
      <c r="T215" s="9" t="n">
        <v>87</v>
      </c>
      <c r="U215" s="10" t="n">
        <v>54</v>
      </c>
      <c r="V215" s="10" t="s">
        <v>53</v>
      </c>
      <c r="W215" s="11" t="n">
        <v>54</v>
      </c>
      <c r="X215" s="12" t="n">
        <v>69</v>
      </c>
      <c r="Y215" s="12" t="s">
        <v>44</v>
      </c>
      <c r="Z215" s="13" t="n">
        <v>69</v>
      </c>
      <c r="AA215" s="14" t="n">
        <v>91</v>
      </c>
      <c r="AB215" s="14" t="s">
        <v>54</v>
      </c>
      <c r="AC215" s="15" t="n">
        <v>91</v>
      </c>
      <c r="AD215" s="2" t="n">
        <f aca="false">SUM(L215,O215,R215,U215,X215,AA215)</f>
        <v>482</v>
      </c>
      <c r="AE215" s="16" t="n">
        <f aca="false">AD215/6</f>
        <v>80.3333333333333</v>
      </c>
      <c r="AF215" s="2" t="str">
        <f aca="false">IF(SUM(COUNTIF(M215,"RA"),COUNTIF(P215,"RA"),COUNTIF(S215,"RA"),COUNTIF(V215,"RA"),COUNTIF(Y215,"RA"),COUNTIF(AB215,"RA"))&gt;0,"FAIL","PASS")</f>
        <v>PASS</v>
      </c>
    </row>
    <row r="216" customFormat="false" ht="15" hidden="false" customHeight="false" outlineLevel="0" collapsed="false">
      <c r="A216" s="2" t="n">
        <v>215</v>
      </c>
      <c r="B216" s="3" t="s">
        <v>1303</v>
      </c>
      <c r="C216" s="2" t="s">
        <v>750</v>
      </c>
      <c r="D216" s="2" t="s">
        <v>1304</v>
      </c>
      <c r="E216" s="2" t="s">
        <v>35</v>
      </c>
      <c r="F216" s="2" t="s">
        <v>36</v>
      </c>
      <c r="G216" s="2" t="s">
        <v>44</v>
      </c>
      <c r="H216" s="2" t="s">
        <v>1305</v>
      </c>
      <c r="I216" s="3" t="s">
        <v>1306</v>
      </c>
      <c r="J216" s="2" t="s">
        <v>1307</v>
      </c>
      <c r="K216" s="2" t="s">
        <v>1308</v>
      </c>
      <c r="L216" s="4" t="n">
        <v>91</v>
      </c>
      <c r="M216" s="4" t="s">
        <v>54</v>
      </c>
      <c r="N216" s="5" t="n">
        <v>91</v>
      </c>
      <c r="O216" s="6" t="n">
        <v>66</v>
      </c>
      <c r="P216" s="6" t="s">
        <v>44</v>
      </c>
      <c r="Q216" s="7" t="n">
        <v>66</v>
      </c>
      <c r="R216" s="8" t="n">
        <v>70</v>
      </c>
      <c r="S216" s="8" t="s">
        <v>43</v>
      </c>
      <c r="T216" s="9" t="n">
        <v>70</v>
      </c>
      <c r="U216" s="10" t="n">
        <v>91</v>
      </c>
      <c r="V216" s="10" t="s">
        <v>54</v>
      </c>
      <c r="W216" s="11" t="n">
        <v>91</v>
      </c>
      <c r="X216" s="12" t="n">
        <v>77</v>
      </c>
      <c r="Y216" s="12" t="s">
        <v>43</v>
      </c>
      <c r="Z216" s="13" t="n">
        <v>77</v>
      </c>
      <c r="AA216" s="14" t="n">
        <v>100</v>
      </c>
      <c r="AB216" s="14" t="s">
        <v>54</v>
      </c>
      <c r="AC216" s="15" t="n">
        <v>100</v>
      </c>
      <c r="AD216" s="2" t="n">
        <f aca="false">SUM(L216,O216,R216,U216,X216,AA216)</f>
        <v>495</v>
      </c>
      <c r="AE216" s="16" t="n">
        <f aca="false">AD216/6</f>
        <v>82.5</v>
      </c>
      <c r="AF216" s="2" t="str">
        <f aca="false">IF(SUM(COUNTIF(M216,"RA"),COUNTIF(P216,"RA"),COUNTIF(S216,"RA"),COUNTIF(V216,"RA"),COUNTIF(Y216,"RA"),COUNTIF(AB216,"RA"))&gt;0,"FAIL","PASS")</f>
        <v>PASS</v>
      </c>
    </row>
    <row r="217" customFormat="false" ht="15" hidden="false" customHeight="false" outlineLevel="0" collapsed="false">
      <c r="A217" s="2" t="n">
        <v>216</v>
      </c>
      <c r="B217" s="3" t="s">
        <v>1309</v>
      </c>
      <c r="C217" s="2" t="s">
        <v>841</v>
      </c>
      <c r="D217" s="2" t="s">
        <v>1310</v>
      </c>
      <c r="E217" s="2" t="s">
        <v>57</v>
      </c>
      <c r="F217" s="2" t="s">
        <v>36</v>
      </c>
      <c r="G217" s="2" t="s">
        <v>37</v>
      </c>
      <c r="H217" s="2" t="s">
        <v>1311</v>
      </c>
      <c r="I217" s="3" t="s">
        <v>1312</v>
      </c>
      <c r="J217" s="2" t="s">
        <v>1313</v>
      </c>
      <c r="K217" s="2" t="s">
        <v>1314</v>
      </c>
      <c r="L217" s="4" t="n">
        <v>97</v>
      </c>
      <c r="M217" s="4" t="s">
        <v>54</v>
      </c>
      <c r="N217" s="5" t="n">
        <v>97</v>
      </c>
      <c r="O217" s="6" t="n">
        <v>76</v>
      </c>
      <c r="P217" s="6" t="s">
        <v>43</v>
      </c>
      <c r="Q217" s="7" t="n">
        <v>76</v>
      </c>
      <c r="R217" s="8" t="n">
        <v>54</v>
      </c>
      <c r="S217" s="8" t="s">
        <v>53</v>
      </c>
      <c r="T217" s="9" t="n">
        <v>54</v>
      </c>
      <c r="U217" s="10" t="n">
        <v>84</v>
      </c>
      <c r="V217" s="10" t="s">
        <v>42</v>
      </c>
      <c r="W217" s="11" t="n">
        <v>84</v>
      </c>
      <c r="X217" s="12" t="n">
        <v>73</v>
      </c>
      <c r="Y217" s="12" t="s">
        <v>43</v>
      </c>
      <c r="Z217" s="13" t="n">
        <v>73</v>
      </c>
      <c r="AA217" s="14" t="n">
        <v>65</v>
      </c>
      <c r="AB217" s="14" t="s">
        <v>44</v>
      </c>
      <c r="AC217" s="15" t="n">
        <v>65</v>
      </c>
      <c r="AD217" s="2" t="n">
        <f aca="false">SUM(L217,O217,R217,U217,X217,AA217)</f>
        <v>449</v>
      </c>
      <c r="AE217" s="16" t="n">
        <f aca="false">AD217/6</f>
        <v>74.8333333333333</v>
      </c>
      <c r="AF217" s="2" t="str">
        <f aca="false">IF(SUM(COUNTIF(M217,"RA"),COUNTIF(P217,"RA"),COUNTIF(S217,"RA"),COUNTIF(V217,"RA"),COUNTIF(Y217,"RA"),COUNTIF(AB217,"RA"))&gt;0,"FAIL","PASS")</f>
        <v>PASS</v>
      </c>
    </row>
    <row r="218" customFormat="false" ht="15" hidden="false" customHeight="false" outlineLevel="0" collapsed="false">
      <c r="A218" s="2" t="n">
        <v>217</v>
      </c>
      <c r="B218" s="3" t="s">
        <v>1315</v>
      </c>
      <c r="C218" s="2" t="s">
        <v>841</v>
      </c>
      <c r="D218" s="2" t="s">
        <v>1316</v>
      </c>
      <c r="E218" s="2" t="s">
        <v>57</v>
      </c>
      <c r="F218" s="2" t="s">
        <v>36</v>
      </c>
      <c r="G218" s="2" t="s">
        <v>64</v>
      </c>
      <c r="H218" s="2" t="s">
        <v>1317</v>
      </c>
      <c r="I218" s="3" t="s">
        <v>1318</v>
      </c>
      <c r="J218" s="2" t="s">
        <v>1319</v>
      </c>
      <c r="K218" s="2" t="s">
        <v>1320</v>
      </c>
      <c r="L218" s="4" t="n">
        <v>96</v>
      </c>
      <c r="M218" s="4" t="s">
        <v>54</v>
      </c>
      <c r="N218" s="5" t="n">
        <v>96</v>
      </c>
      <c r="O218" s="6" t="n">
        <v>81</v>
      </c>
      <c r="P218" s="6" t="s">
        <v>42</v>
      </c>
      <c r="Q218" s="7" t="n">
        <v>81</v>
      </c>
      <c r="R218" s="8" t="n">
        <v>75</v>
      </c>
      <c r="S218" s="8" t="s">
        <v>43</v>
      </c>
      <c r="T218" s="9" t="n">
        <v>75</v>
      </c>
      <c r="U218" s="10" t="n">
        <v>93</v>
      </c>
      <c r="V218" s="10" t="s">
        <v>54</v>
      </c>
      <c r="W218" s="11" t="n">
        <v>93</v>
      </c>
      <c r="X218" s="12" t="n">
        <v>60</v>
      </c>
      <c r="Y218" s="12" t="s">
        <v>44</v>
      </c>
      <c r="Z218" s="13" t="n">
        <v>60</v>
      </c>
      <c r="AA218" s="14" t="n">
        <v>64</v>
      </c>
      <c r="AB218" s="14" t="s">
        <v>44</v>
      </c>
      <c r="AC218" s="15" t="n">
        <v>64</v>
      </c>
      <c r="AD218" s="2" t="n">
        <f aca="false">SUM(L218,O218,R218,U218,X218,AA218)</f>
        <v>469</v>
      </c>
      <c r="AE218" s="16" t="n">
        <f aca="false">AD218/6</f>
        <v>78.1666666666667</v>
      </c>
      <c r="AF218" s="2" t="str">
        <f aca="false">IF(SUM(COUNTIF(M218,"RA"),COUNTIF(P218,"RA"),COUNTIF(S218,"RA"),COUNTIF(V218,"RA"),COUNTIF(Y218,"RA"),COUNTIF(AB218,"RA"))&gt;0,"FAIL","PASS")</f>
        <v>PASS</v>
      </c>
    </row>
    <row r="219" customFormat="false" ht="15" hidden="false" customHeight="false" outlineLevel="0" collapsed="false">
      <c r="A219" s="2" t="n">
        <v>218</v>
      </c>
      <c r="B219" s="3" t="s">
        <v>1321</v>
      </c>
      <c r="C219" s="2" t="s">
        <v>783</v>
      </c>
      <c r="D219" s="2" t="s">
        <v>1322</v>
      </c>
      <c r="E219" s="2" t="s">
        <v>57</v>
      </c>
      <c r="F219" s="2" t="s">
        <v>36</v>
      </c>
      <c r="G219" s="2" t="s">
        <v>44</v>
      </c>
      <c r="H219" s="2" t="s">
        <v>1323</v>
      </c>
      <c r="I219" s="3" t="s">
        <v>1324</v>
      </c>
      <c r="J219" s="2" t="s">
        <v>1325</v>
      </c>
      <c r="K219" s="2" t="s">
        <v>1326</v>
      </c>
      <c r="L219" s="4" t="n">
        <v>96</v>
      </c>
      <c r="M219" s="4" t="s">
        <v>54</v>
      </c>
      <c r="N219" s="5" t="n">
        <v>96</v>
      </c>
      <c r="O219" s="6" t="n">
        <v>99</v>
      </c>
      <c r="P219" s="6" t="s">
        <v>54</v>
      </c>
      <c r="Q219" s="7" t="n">
        <v>99</v>
      </c>
      <c r="R219" s="8" t="n">
        <v>69</v>
      </c>
      <c r="S219" s="8" t="s">
        <v>44</v>
      </c>
      <c r="T219" s="9" t="n">
        <v>69</v>
      </c>
      <c r="U219" s="10" t="n">
        <v>67</v>
      </c>
      <c r="V219" s="10" t="s">
        <v>44</v>
      </c>
      <c r="W219" s="11" t="n">
        <v>67</v>
      </c>
      <c r="X219" s="12" t="n">
        <v>81</v>
      </c>
      <c r="Y219" s="12" t="s">
        <v>42</v>
      </c>
      <c r="Z219" s="13" t="n">
        <v>81</v>
      </c>
      <c r="AA219" s="14" t="n">
        <v>95</v>
      </c>
      <c r="AB219" s="14" t="s">
        <v>54</v>
      </c>
      <c r="AC219" s="15" t="n">
        <v>95</v>
      </c>
      <c r="AD219" s="2" t="n">
        <f aca="false">SUM(L219,O219,R219,U219,X219,AA219)</f>
        <v>507</v>
      </c>
      <c r="AE219" s="16" t="n">
        <f aca="false">AD219/6</f>
        <v>84.5</v>
      </c>
      <c r="AF219" s="2" t="str">
        <f aca="false">IF(SUM(COUNTIF(M219,"RA"),COUNTIF(P219,"RA"),COUNTIF(S219,"RA"),COUNTIF(V219,"RA"),COUNTIF(Y219,"RA"),COUNTIF(AB219,"RA"))&gt;0,"FAIL","PASS")</f>
        <v>PASS</v>
      </c>
    </row>
    <row r="220" customFormat="false" ht="15" hidden="false" customHeight="false" outlineLevel="0" collapsed="false">
      <c r="A220" s="2" t="n">
        <v>219</v>
      </c>
      <c r="B220" s="3" t="s">
        <v>1327</v>
      </c>
      <c r="C220" s="2" t="s">
        <v>841</v>
      </c>
      <c r="D220" s="2" t="s">
        <v>1328</v>
      </c>
      <c r="E220" s="2" t="s">
        <v>57</v>
      </c>
      <c r="F220" s="2" t="s">
        <v>36</v>
      </c>
      <c r="G220" s="2" t="s">
        <v>44</v>
      </c>
      <c r="H220" s="2" t="s">
        <v>1329</v>
      </c>
      <c r="I220" s="3" t="s">
        <v>123</v>
      </c>
      <c r="J220" s="2" t="s">
        <v>1330</v>
      </c>
      <c r="K220" s="2" t="s">
        <v>1331</v>
      </c>
      <c r="L220" s="4" t="n">
        <v>61</v>
      </c>
      <c r="M220" s="4" t="s">
        <v>44</v>
      </c>
      <c r="N220" s="5" t="n">
        <v>61</v>
      </c>
      <c r="O220" s="6" t="n">
        <v>82</v>
      </c>
      <c r="P220" s="6" t="s">
        <v>42</v>
      </c>
      <c r="Q220" s="7" t="n">
        <v>82</v>
      </c>
      <c r="R220" s="8" t="n">
        <v>87</v>
      </c>
      <c r="S220" s="8" t="s">
        <v>42</v>
      </c>
      <c r="T220" s="9" t="n">
        <v>87</v>
      </c>
      <c r="U220" s="10" t="n">
        <v>88</v>
      </c>
      <c r="V220" s="10" t="s">
        <v>42</v>
      </c>
      <c r="W220" s="11" t="n">
        <v>88</v>
      </c>
      <c r="X220" s="12" t="n">
        <v>62</v>
      </c>
      <c r="Y220" s="12" t="s">
        <v>44</v>
      </c>
      <c r="Z220" s="13" t="n">
        <v>62</v>
      </c>
      <c r="AA220" s="14" t="n">
        <v>82</v>
      </c>
      <c r="AB220" s="14" t="s">
        <v>42</v>
      </c>
      <c r="AC220" s="15" t="n">
        <v>82</v>
      </c>
      <c r="AD220" s="2" t="n">
        <f aca="false">SUM(L220,O220,R220,U220,X220,AA220)</f>
        <v>462</v>
      </c>
      <c r="AE220" s="16" t="n">
        <f aca="false">AD220/6</f>
        <v>77</v>
      </c>
      <c r="AF220" s="2" t="str">
        <f aca="false">IF(SUM(COUNTIF(M220,"RA"),COUNTIF(P220,"RA"),COUNTIF(S220,"RA"),COUNTIF(V220,"RA"),COUNTIF(Y220,"RA"),COUNTIF(AB220,"RA"))&gt;0,"FAIL","PASS")</f>
        <v>PASS</v>
      </c>
    </row>
    <row r="221" customFormat="false" ht="15" hidden="false" customHeight="false" outlineLevel="0" collapsed="false">
      <c r="A221" s="2" t="n">
        <v>220</v>
      </c>
      <c r="B221" s="3" t="s">
        <v>1332</v>
      </c>
      <c r="C221" s="2" t="s">
        <v>859</v>
      </c>
      <c r="D221" s="2" t="s">
        <v>1333</v>
      </c>
      <c r="E221" s="2" t="s">
        <v>35</v>
      </c>
      <c r="F221" s="2" t="s">
        <v>36</v>
      </c>
      <c r="G221" s="2" t="s">
        <v>71</v>
      </c>
      <c r="H221" s="2" t="s">
        <v>1334</v>
      </c>
      <c r="I221" s="3" t="s">
        <v>1335</v>
      </c>
      <c r="J221" s="2" t="s">
        <v>1336</v>
      </c>
      <c r="K221" s="2" t="s">
        <v>1337</v>
      </c>
      <c r="L221" s="4" t="n">
        <v>66</v>
      </c>
      <c r="M221" s="4" t="s">
        <v>44</v>
      </c>
      <c r="N221" s="5" t="n">
        <v>66</v>
      </c>
      <c r="O221" s="6" t="n">
        <v>99</v>
      </c>
      <c r="P221" s="6" t="s">
        <v>54</v>
      </c>
      <c r="Q221" s="7" t="n">
        <v>99</v>
      </c>
      <c r="R221" s="8" t="n">
        <v>76</v>
      </c>
      <c r="S221" s="8" t="s">
        <v>43</v>
      </c>
      <c r="T221" s="9" t="n">
        <v>76</v>
      </c>
      <c r="U221" s="10" t="n">
        <v>72</v>
      </c>
      <c r="V221" s="10" t="s">
        <v>43</v>
      </c>
      <c r="W221" s="11" t="n">
        <v>72</v>
      </c>
      <c r="X221" s="12" t="n">
        <v>73</v>
      </c>
      <c r="Y221" s="12" t="s">
        <v>43</v>
      </c>
      <c r="Z221" s="13" t="n">
        <v>73</v>
      </c>
      <c r="AA221" s="14" t="n">
        <v>61</v>
      </c>
      <c r="AB221" s="14" t="s">
        <v>44</v>
      </c>
      <c r="AC221" s="15" t="n">
        <v>61</v>
      </c>
      <c r="AD221" s="2" t="n">
        <f aca="false">SUM(L221,O221,R221,U221,X221,AA221)</f>
        <v>447</v>
      </c>
      <c r="AE221" s="16" t="n">
        <f aca="false">AD221/6</f>
        <v>74.5</v>
      </c>
      <c r="AF221" s="2" t="str">
        <f aca="false">IF(SUM(COUNTIF(M221,"RA"),COUNTIF(P221,"RA"),COUNTIF(S221,"RA"),COUNTIF(V221,"RA"),COUNTIF(Y221,"RA"),COUNTIF(AB221,"RA"))&gt;0,"FAIL","PASS")</f>
        <v>PASS</v>
      </c>
    </row>
    <row r="222" customFormat="false" ht="15" hidden="false" customHeight="false" outlineLevel="0" collapsed="false">
      <c r="A222" s="2" t="n">
        <v>221</v>
      </c>
      <c r="B222" s="3" t="s">
        <v>1338</v>
      </c>
      <c r="C222" s="2" t="s">
        <v>790</v>
      </c>
      <c r="D222" s="2" t="s">
        <v>1339</v>
      </c>
      <c r="E222" s="2" t="s">
        <v>57</v>
      </c>
      <c r="F222" s="2" t="s">
        <v>36</v>
      </c>
      <c r="G222" s="2" t="s">
        <v>44</v>
      </c>
      <c r="H222" s="2" t="s">
        <v>1340</v>
      </c>
      <c r="I222" s="3" t="s">
        <v>1341</v>
      </c>
      <c r="J222" s="2" t="s">
        <v>1342</v>
      </c>
      <c r="K222" s="2" t="s">
        <v>1343</v>
      </c>
      <c r="L222" s="4" t="n">
        <v>65</v>
      </c>
      <c r="M222" s="4" t="s">
        <v>44</v>
      </c>
      <c r="N222" s="5" t="n">
        <v>65</v>
      </c>
      <c r="O222" s="6" t="n">
        <v>66</v>
      </c>
      <c r="P222" s="6" t="s">
        <v>44</v>
      </c>
      <c r="Q222" s="7" t="n">
        <v>66</v>
      </c>
      <c r="R222" s="8" t="n">
        <v>83</v>
      </c>
      <c r="S222" s="8" t="s">
        <v>42</v>
      </c>
      <c r="T222" s="9" t="n">
        <v>83</v>
      </c>
      <c r="U222" s="10" t="n">
        <v>88</v>
      </c>
      <c r="V222" s="10" t="s">
        <v>42</v>
      </c>
      <c r="W222" s="11" t="n">
        <v>88</v>
      </c>
      <c r="X222" s="12" t="n">
        <v>67</v>
      </c>
      <c r="Y222" s="12" t="s">
        <v>44</v>
      </c>
      <c r="Z222" s="13" t="n">
        <v>67</v>
      </c>
      <c r="AA222" s="14" t="n">
        <v>58</v>
      </c>
      <c r="AB222" s="14" t="s">
        <v>53</v>
      </c>
      <c r="AC222" s="15" t="n">
        <v>58</v>
      </c>
      <c r="AD222" s="2" t="n">
        <f aca="false">SUM(L222,O222,R222,U222,X222,AA222)</f>
        <v>427</v>
      </c>
      <c r="AE222" s="16" t="n">
        <f aca="false">AD222/6</f>
        <v>71.1666666666667</v>
      </c>
      <c r="AF222" s="2" t="str">
        <f aca="false">IF(SUM(COUNTIF(M222,"RA"),COUNTIF(P222,"RA"),COUNTIF(S222,"RA"),COUNTIF(V222,"RA"),COUNTIF(Y222,"RA"),COUNTIF(AB222,"RA"))&gt;0,"FAIL","PASS")</f>
        <v>PASS</v>
      </c>
    </row>
    <row r="223" customFormat="false" ht="15" hidden="false" customHeight="false" outlineLevel="0" collapsed="false">
      <c r="A223" s="2" t="n">
        <v>222</v>
      </c>
      <c r="B223" s="3" t="s">
        <v>1344</v>
      </c>
      <c r="C223" s="2" t="s">
        <v>841</v>
      </c>
      <c r="D223" s="2" t="s">
        <v>1345</v>
      </c>
      <c r="E223" s="2" t="s">
        <v>35</v>
      </c>
      <c r="F223" s="2" t="s">
        <v>36</v>
      </c>
      <c r="G223" s="2" t="s">
        <v>48</v>
      </c>
      <c r="H223" s="2" t="s">
        <v>1346</v>
      </c>
      <c r="I223" s="3" t="s">
        <v>1347</v>
      </c>
      <c r="J223" s="2" t="s">
        <v>1348</v>
      </c>
      <c r="K223" s="2" t="s">
        <v>1349</v>
      </c>
      <c r="L223" s="4" t="n">
        <v>44</v>
      </c>
      <c r="M223" s="4" t="s">
        <v>45</v>
      </c>
      <c r="N223" s="5" t="n">
        <v>44</v>
      </c>
      <c r="O223" s="6" t="n">
        <v>66</v>
      </c>
      <c r="P223" s="6" t="s">
        <v>44</v>
      </c>
      <c r="Q223" s="7" t="n">
        <v>66</v>
      </c>
      <c r="R223" s="8" t="n">
        <v>95</v>
      </c>
      <c r="S223" s="8" t="s">
        <v>54</v>
      </c>
      <c r="T223" s="9" t="n">
        <v>95</v>
      </c>
      <c r="U223" s="10" t="n">
        <v>41</v>
      </c>
      <c r="V223" s="10" t="s">
        <v>45</v>
      </c>
      <c r="W223" s="11" t="n">
        <v>41</v>
      </c>
      <c r="X223" s="12" t="n">
        <v>45</v>
      </c>
      <c r="Y223" s="12" t="s">
        <v>45</v>
      </c>
      <c r="Z223" s="13" t="n">
        <v>45</v>
      </c>
      <c r="AA223" s="14" t="n">
        <v>84</v>
      </c>
      <c r="AB223" s="14" t="s">
        <v>42</v>
      </c>
      <c r="AC223" s="15" t="n">
        <v>84</v>
      </c>
      <c r="AD223" s="2" t="n">
        <f aca="false">SUM(L223,O223,R223,U223,X223,AA223)</f>
        <v>375</v>
      </c>
      <c r="AE223" s="16" t="n">
        <f aca="false">AD223/6</f>
        <v>62.5</v>
      </c>
      <c r="AF223" s="2" t="str">
        <f aca="false">IF(SUM(COUNTIF(M223,"RA"),COUNTIF(P223,"RA"),COUNTIF(S223,"RA"),COUNTIF(V223,"RA"),COUNTIF(Y223,"RA"),COUNTIF(AB223,"RA"))&gt;0,"FAIL","PASS")</f>
        <v>FAIL</v>
      </c>
    </row>
    <row r="224" customFormat="false" ht="15" hidden="false" customHeight="false" outlineLevel="0" collapsed="false">
      <c r="A224" s="2" t="n">
        <v>223</v>
      </c>
      <c r="B224" s="3" t="s">
        <v>1350</v>
      </c>
      <c r="C224" s="2" t="s">
        <v>783</v>
      </c>
      <c r="D224" s="2" t="s">
        <v>1351</v>
      </c>
      <c r="E224" s="2" t="s">
        <v>35</v>
      </c>
      <c r="F224" s="2" t="s">
        <v>36</v>
      </c>
      <c r="G224" s="2" t="s">
        <v>91</v>
      </c>
      <c r="H224" s="2" t="s">
        <v>1352</v>
      </c>
      <c r="I224" s="3" t="s">
        <v>165</v>
      </c>
      <c r="J224" s="2" t="s">
        <v>1353</v>
      </c>
      <c r="K224" s="2" t="s">
        <v>1354</v>
      </c>
      <c r="L224" s="4" t="n">
        <v>59</v>
      </c>
      <c r="M224" s="4" t="s">
        <v>53</v>
      </c>
      <c r="N224" s="5" t="n">
        <v>59</v>
      </c>
      <c r="O224" s="6" t="n">
        <v>69</v>
      </c>
      <c r="P224" s="6" t="s">
        <v>44</v>
      </c>
      <c r="Q224" s="7" t="n">
        <v>69</v>
      </c>
      <c r="R224" s="8" t="n">
        <v>95</v>
      </c>
      <c r="S224" s="8" t="s">
        <v>54</v>
      </c>
      <c r="T224" s="9" t="n">
        <v>95</v>
      </c>
      <c r="U224" s="10" t="n">
        <v>58</v>
      </c>
      <c r="V224" s="10" t="s">
        <v>53</v>
      </c>
      <c r="W224" s="11" t="n">
        <v>58</v>
      </c>
      <c r="X224" s="12" t="n">
        <v>78</v>
      </c>
      <c r="Y224" s="12" t="s">
        <v>43</v>
      </c>
      <c r="Z224" s="13" t="n">
        <v>78</v>
      </c>
      <c r="AA224" s="14" t="n">
        <v>47</v>
      </c>
      <c r="AB224" s="14" t="s">
        <v>45</v>
      </c>
      <c r="AC224" s="15" t="n">
        <v>47</v>
      </c>
      <c r="AD224" s="2" t="n">
        <f aca="false">SUM(L224,O224,R224,U224,X224,AA224)</f>
        <v>406</v>
      </c>
      <c r="AE224" s="16" t="n">
        <f aca="false">AD224/6</f>
        <v>67.6666666666667</v>
      </c>
      <c r="AF224" s="2" t="str">
        <f aca="false">IF(SUM(COUNTIF(M224,"RA"),COUNTIF(P224,"RA"),COUNTIF(S224,"RA"),COUNTIF(V224,"RA"),COUNTIF(Y224,"RA"),COUNTIF(AB224,"RA"))&gt;0,"FAIL","PASS")</f>
        <v>FAIL</v>
      </c>
    </row>
    <row r="225" customFormat="false" ht="15" hidden="false" customHeight="false" outlineLevel="0" collapsed="false">
      <c r="A225" s="2" t="n">
        <v>224</v>
      </c>
      <c r="B225" s="3" t="s">
        <v>1355</v>
      </c>
      <c r="C225" s="2" t="s">
        <v>841</v>
      </c>
      <c r="D225" s="2" t="s">
        <v>1356</v>
      </c>
      <c r="E225" s="2" t="s">
        <v>35</v>
      </c>
      <c r="F225" s="2" t="s">
        <v>36</v>
      </c>
      <c r="G225" s="2" t="s">
        <v>44</v>
      </c>
      <c r="H225" s="2" t="s">
        <v>1357</v>
      </c>
      <c r="I225" s="3" t="s">
        <v>1358</v>
      </c>
      <c r="J225" s="2" t="s">
        <v>1359</v>
      </c>
      <c r="K225" s="2" t="s">
        <v>1360</v>
      </c>
      <c r="L225" s="4" t="n">
        <v>50</v>
      </c>
      <c r="M225" s="4" t="s">
        <v>53</v>
      </c>
      <c r="N225" s="5" t="n">
        <v>50</v>
      </c>
      <c r="O225" s="6" t="n">
        <v>79</v>
      </c>
      <c r="P225" s="6" t="s">
        <v>43</v>
      </c>
      <c r="Q225" s="7" t="n">
        <v>79</v>
      </c>
      <c r="R225" s="8" t="n">
        <v>96</v>
      </c>
      <c r="S225" s="8" t="s">
        <v>54</v>
      </c>
      <c r="T225" s="9" t="n">
        <v>96</v>
      </c>
      <c r="U225" s="10" t="n">
        <v>74</v>
      </c>
      <c r="V225" s="10" t="s">
        <v>43</v>
      </c>
      <c r="W225" s="11" t="n">
        <v>74</v>
      </c>
      <c r="X225" s="12" t="n">
        <v>99</v>
      </c>
      <c r="Y225" s="12" t="s">
        <v>54</v>
      </c>
      <c r="Z225" s="13" t="n">
        <v>99</v>
      </c>
      <c r="AA225" s="14" t="n">
        <v>71</v>
      </c>
      <c r="AB225" s="14" t="s">
        <v>43</v>
      </c>
      <c r="AC225" s="15" t="n">
        <v>71</v>
      </c>
      <c r="AD225" s="2" t="n">
        <f aca="false">SUM(L225,O225,R225,U225,X225,AA225)</f>
        <v>469</v>
      </c>
      <c r="AE225" s="16" t="n">
        <f aca="false">AD225/6</f>
        <v>78.1666666666667</v>
      </c>
      <c r="AF225" s="2" t="str">
        <f aca="false">IF(SUM(COUNTIF(M225,"RA"),COUNTIF(P225,"RA"),COUNTIF(S225,"RA"),COUNTIF(V225,"RA"),COUNTIF(Y225,"RA"),COUNTIF(AB225,"RA"))&gt;0,"FAIL","PASS")</f>
        <v>PASS</v>
      </c>
    </row>
    <row r="226" customFormat="false" ht="15" hidden="false" customHeight="false" outlineLevel="0" collapsed="false">
      <c r="A226" s="2" t="n">
        <v>225</v>
      </c>
      <c r="B226" s="3" t="s">
        <v>1361</v>
      </c>
      <c r="C226" s="2" t="s">
        <v>757</v>
      </c>
      <c r="D226" s="2" t="s">
        <v>1362</v>
      </c>
      <c r="E226" s="2" t="s">
        <v>57</v>
      </c>
      <c r="F226" s="2" t="s">
        <v>36</v>
      </c>
      <c r="G226" s="2" t="s">
        <v>42</v>
      </c>
      <c r="H226" s="2" t="s">
        <v>1363</v>
      </c>
      <c r="I226" s="3" t="s">
        <v>1364</v>
      </c>
      <c r="J226" s="2" t="s">
        <v>1365</v>
      </c>
      <c r="K226" s="2" t="s">
        <v>1366</v>
      </c>
      <c r="L226" s="4" t="n">
        <v>84</v>
      </c>
      <c r="M226" s="4" t="s">
        <v>42</v>
      </c>
      <c r="N226" s="5" t="n">
        <v>84</v>
      </c>
      <c r="O226" s="6" t="n">
        <v>87</v>
      </c>
      <c r="P226" s="6" t="s">
        <v>42</v>
      </c>
      <c r="Q226" s="7" t="n">
        <v>87</v>
      </c>
      <c r="R226" s="8" t="n">
        <v>85</v>
      </c>
      <c r="S226" s="8" t="s">
        <v>42</v>
      </c>
      <c r="T226" s="9" t="n">
        <v>85</v>
      </c>
      <c r="U226" s="10" t="n">
        <v>67</v>
      </c>
      <c r="V226" s="10" t="s">
        <v>44</v>
      </c>
      <c r="W226" s="11" t="n">
        <v>67</v>
      </c>
      <c r="X226" s="12" t="n">
        <v>65</v>
      </c>
      <c r="Y226" s="12" t="s">
        <v>44</v>
      </c>
      <c r="Z226" s="13" t="n">
        <v>65</v>
      </c>
      <c r="AA226" s="14" t="n">
        <v>62</v>
      </c>
      <c r="AB226" s="14" t="s">
        <v>44</v>
      </c>
      <c r="AC226" s="15" t="n">
        <v>62</v>
      </c>
      <c r="AD226" s="2" t="n">
        <f aca="false">SUM(L226,O226,R226,U226,X226,AA226)</f>
        <v>450</v>
      </c>
      <c r="AE226" s="16" t="n">
        <f aca="false">AD226/6</f>
        <v>75</v>
      </c>
      <c r="AF226" s="2" t="str">
        <f aca="false">IF(SUM(COUNTIF(M226,"RA"),COUNTIF(P226,"RA"),COUNTIF(S226,"RA"),COUNTIF(V226,"RA"),COUNTIF(Y226,"RA"),COUNTIF(AB226,"RA"))&gt;0,"FAIL","PASS")</f>
        <v>PASS</v>
      </c>
    </row>
    <row r="227" customFormat="false" ht="15" hidden="false" customHeight="false" outlineLevel="0" collapsed="false">
      <c r="A227" s="2" t="n">
        <v>226</v>
      </c>
      <c r="B227" s="3" t="s">
        <v>1367</v>
      </c>
      <c r="C227" s="2" t="s">
        <v>841</v>
      </c>
      <c r="D227" s="2" t="s">
        <v>1368</v>
      </c>
      <c r="E227" s="2" t="s">
        <v>57</v>
      </c>
      <c r="F227" s="2" t="s">
        <v>36</v>
      </c>
      <c r="G227" s="2" t="s">
        <v>64</v>
      </c>
      <c r="H227" s="2" t="s">
        <v>1369</v>
      </c>
      <c r="I227" s="3" t="s">
        <v>1370</v>
      </c>
      <c r="J227" s="2" t="s">
        <v>1371</v>
      </c>
      <c r="K227" s="2" t="s">
        <v>1372</v>
      </c>
      <c r="L227" s="4" t="n">
        <v>99</v>
      </c>
      <c r="M227" s="4" t="s">
        <v>54</v>
      </c>
      <c r="N227" s="5" t="n">
        <v>99</v>
      </c>
      <c r="O227" s="6" t="n">
        <v>64</v>
      </c>
      <c r="P227" s="6" t="s">
        <v>44</v>
      </c>
      <c r="Q227" s="7" t="n">
        <v>64</v>
      </c>
      <c r="R227" s="8" t="n">
        <v>87</v>
      </c>
      <c r="S227" s="8" t="s">
        <v>42</v>
      </c>
      <c r="T227" s="9" t="n">
        <v>87</v>
      </c>
      <c r="U227" s="10" t="n">
        <v>76</v>
      </c>
      <c r="V227" s="10" t="s">
        <v>43</v>
      </c>
      <c r="W227" s="11" t="n">
        <v>76</v>
      </c>
      <c r="X227" s="12" t="n">
        <v>99</v>
      </c>
      <c r="Y227" s="12" t="s">
        <v>54</v>
      </c>
      <c r="Z227" s="13" t="n">
        <v>99</v>
      </c>
      <c r="AA227" s="14" t="n">
        <v>62</v>
      </c>
      <c r="AB227" s="14" t="s">
        <v>44</v>
      </c>
      <c r="AC227" s="15" t="n">
        <v>62</v>
      </c>
      <c r="AD227" s="2" t="n">
        <f aca="false">SUM(L227,O227,R227,U227,X227,AA227)</f>
        <v>487</v>
      </c>
      <c r="AE227" s="16" t="n">
        <f aca="false">AD227/6</f>
        <v>81.1666666666667</v>
      </c>
      <c r="AF227" s="2" t="str">
        <f aca="false">IF(SUM(COUNTIF(M227,"RA"),COUNTIF(P227,"RA"),COUNTIF(S227,"RA"),COUNTIF(V227,"RA"),COUNTIF(Y227,"RA"),COUNTIF(AB227,"RA"))&gt;0,"FAIL","PASS")</f>
        <v>PASS</v>
      </c>
    </row>
    <row r="228" customFormat="false" ht="15" hidden="false" customHeight="false" outlineLevel="0" collapsed="false">
      <c r="A228" s="2" t="n">
        <v>227</v>
      </c>
      <c r="B228" s="3" t="s">
        <v>1373</v>
      </c>
      <c r="C228" s="2" t="s">
        <v>770</v>
      </c>
      <c r="D228" s="2" t="s">
        <v>1374</v>
      </c>
      <c r="E228" s="2" t="s">
        <v>35</v>
      </c>
      <c r="F228" s="2" t="s">
        <v>36</v>
      </c>
      <c r="G228" s="2" t="s">
        <v>48</v>
      </c>
      <c r="H228" s="2" t="s">
        <v>1375</v>
      </c>
      <c r="I228" s="3" t="s">
        <v>1376</v>
      </c>
      <c r="J228" s="2" t="s">
        <v>1377</v>
      </c>
      <c r="K228" s="2" t="s">
        <v>1378</v>
      </c>
      <c r="L228" s="4" t="n">
        <v>54</v>
      </c>
      <c r="M228" s="4" t="s">
        <v>53</v>
      </c>
      <c r="N228" s="5" t="n">
        <v>54</v>
      </c>
      <c r="O228" s="6" t="n">
        <v>88</v>
      </c>
      <c r="P228" s="6" t="s">
        <v>42</v>
      </c>
      <c r="Q228" s="7" t="n">
        <v>88</v>
      </c>
      <c r="R228" s="8" t="n">
        <v>53</v>
      </c>
      <c r="S228" s="8" t="s">
        <v>53</v>
      </c>
      <c r="T228" s="9" t="n">
        <v>53</v>
      </c>
      <c r="U228" s="10" t="n">
        <v>48</v>
      </c>
      <c r="V228" s="10" t="s">
        <v>45</v>
      </c>
      <c r="W228" s="11" t="n">
        <v>48</v>
      </c>
      <c r="X228" s="12" t="n">
        <v>61</v>
      </c>
      <c r="Y228" s="12" t="s">
        <v>44</v>
      </c>
      <c r="Z228" s="13" t="n">
        <v>61</v>
      </c>
      <c r="AA228" s="14" t="n">
        <v>67</v>
      </c>
      <c r="AB228" s="14" t="s">
        <v>44</v>
      </c>
      <c r="AC228" s="15" t="n">
        <v>67</v>
      </c>
      <c r="AD228" s="2" t="n">
        <f aca="false">SUM(L228,O228,R228,U228,X228,AA228)</f>
        <v>371</v>
      </c>
      <c r="AE228" s="16" t="n">
        <f aca="false">AD228/6</f>
        <v>61.8333333333333</v>
      </c>
      <c r="AF228" s="2" t="str">
        <f aca="false">IF(SUM(COUNTIF(M228,"RA"),COUNTIF(P228,"RA"),COUNTIF(S228,"RA"),COUNTIF(V228,"RA"),COUNTIF(Y228,"RA"),COUNTIF(AB228,"RA"))&gt;0,"FAIL","PASS")</f>
        <v>FAIL</v>
      </c>
    </row>
    <row r="229" customFormat="false" ht="15" hidden="false" customHeight="false" outlineLevel="0" collapsed="false">
      <c r="A229" s="2" t="n">
        <v>228</v>
      </c>
      <c r="B229" s="3" t="s">
        <v>1379</v>
      </c>
      <c r="C229" s="2" t="s">
        <v>750</v>
      </c>
      <c r="D229" s="2" t="s">
        <v>1380</v>
      </c>
      <c r="E229" s="2" t="s">
        <v>35</v>
      </c>
      <c r="F229" s="2" t="s">
        <v>36</v>
      </c>
      <c r="G229" s="2" t="s">
        <v>91</v>
      </c>
      <c r="H229" s="2" t="s">
        <v>1381</v>
      </c>
      <c r="I229" s="3" t="s">
        <v>1382</v>
      </c>
      <c r="J229" s="2" t="s">
        <v>1383</v>
      </c>
      <c r="K229" s="2" t="s">
        <v>1384</v>
      </c>
      <c r="L229" s="4" t="n">
        <v>85</v>
      </c>
      <c r="M229" s="4" t="s">
        <v>42</v>
      </c>
      <c r="N229" s="5" t="n">
        <v>85</v>
      </c>
      <c r="O229" s="6" t="n">
        <v>97</v>
      </c>
      <c r="P229" s="6" t="s">
        <v>54</v>
      </c>
      <c r="Q229" s="7" t="n">
        <v>97</v>
      </c>
      <c r="R229" s="8" t="n">
        <v>68</v>
      </c>
      <c r="S229" s="8" t="s">
        <v>44</v>
      </c>
      <c r="T229" s="9" t="n">
        <v>68</v>
      </c>
      <c r="U229" s="10" t="n">
        <v>87</v>
      </c>
      <c r="V229" s="10" t="s">
        <v>42</v>
      </c>
      <c r="W229" s="11" t="n">
        <v>87</v>
      </c>
      <c r="X229" s="12" t="n">
        <v>75</v>
      </c>
      <c r="Y229" s="12" t="s">
        <v>43</v>
      </c>
      <c r="Z229" s="13" t="n">
        <v>75</v>
      </c>
      <c r="AA229" s="14" t="n">
        <v>66</v>
      </c>
      <c r="AB229" s="14" t="s">
        <v>44</v>
      </c>
      <c r="AC229" s="15" t="n">
        <v>66</v>
      </c>
      <c r="AD229" s="2" t="n">
        <f aca="false">SUM(L229,O229,R229,U229,X229,AA229)</f>
        <v>478</v>
      </c>
      <c r="AE229" s="16" t="n">
        <f aca="false">AD229/6</f>
        <v>79.6666666666667</v>
      </c>
      <c r="AF229" s="2" t="str">
        <f aca="false">IF(SUM(COUNTIF(M229,"RA"),COUNTIF(P229,"RA"),COUNTIF(S229,"RA"),COUNTIF(V229,"RA"),COUNTIF(Y229,"RA"),COUNTIF(AB229,"RA"))&gt;0,"FAIL","PASS")</f>
        <v>PASS</v>
      </c>
    </row>
    <row r="230" customFormat="false" ht="15" hidden="false" customHeight="false" outlineLevel="0" collapsed="false">
      <c r="A230" s="2" t="n">
        <v>229</v>
      </c>
      <c r="B230" s="3" t="s">
        <v>1385</v>
      </c>
      <c r="C230" s="2" t="s">
        <v>859</v>
      </c>
      <c r="D230" s="2" t="s">
        <v>1386</v>
      </c>
      <c r="E230" s="2" t="s">
        <v>57</v>
      </c>
      <c r="F230" s="2" t="s">
        <v>36</v>
      </c>
      <c r="G230" s="2" t="s">
        <v>44</v>
      </c>
      <c r="H230" s="2" t="s">
        <v>635</v>
      </c>
      <c r="I230" s="3" t="s">
        <v>1387</v>
      </c>
      <c r="J230" s="2" t="s">
        <v>1388</v>
      </c>
      <c r="K230" s="2" t="s">
        <v>1389</v>
      </c>
      <c r="L230" s="4" t="n">
        <v>61</v>
      </c>
      <c r="M230" s="4" t="s">
        <v>44</v>
      </c>
      <c r="N230" s="5" t="n">
        <v>61</v>
      </c>
      <c r="O230" s="6" t="n">
        <v>84</v>
      </c>
      <c r="P230" s="6" t="s">
        <v>42</v>
      </c>
      <c r="Q230" s="7" t="n">
        <v>84</v>
      </c>
      <c r="R230" s="8" t="n">
        <v>88</v>
      </c>
      <c r="S230" s="8" t="s">
        <v>42</v>
      </c>
      <c r="T230" s="9" t="n">
        <v>88</v>
      </c>
      <c r="U230" s="10" t="n">
        <v>76</v>
      </c>
      <c r="V230" s="10" t="s">
        <v>43</v>
      </c>
      <c r="W230" s="11" t="n">
        <v>76</v>
      </c>
      <c r="X230" s="12" t="n">
        <v>91</v>
      </c>
      <c r="Y230" s="12" t="s">
        <v>54</v>
      </c>
      <c r="Z230" s="13" t="n">
        <v>91</v>
      </c>
      <c r="AA230" s="14" t="n">
        <v>88</v>
      </c>
      <c r="AB230" s="14" t="s">
        <v>42</v>
      </c>
      <c r="AC230" s="15" t="n">
        <v>88</v>
      </c>
      <c r="AD230" s="2" t="n">
        <f aca="false">SUM(L230,O230,R230,U230,X230,AA230)</f>
        <v>488</v>
      </c>
      <c r="AE230" s="16" t="n">
        <f aca="false">AD230/6</f>
        <v>81.3333333333333</v>
      </c>
      <c r="AF230" s="2" t="str">
        <f aca="false">IF(SUM(COUNTIF(M230,"RA"),COUNTIF(P230,"RA"),COUNTIF(S230,"RA"),COUNTIF(V230,"RA"),COUNTIF(Y230,"RA"),COUNTIF(AB230,"RA"))&gt;0,"FAIL","PASS")</f>
        <v>PASS</v>
      </c>
    </row>
    <row r="231" customFormat="false" ht="15" hidden="false" customHeight="false" outlineLevel="0" collapsed="false">
      <c r="A231" s="2" t="n">
        <v>230</v>
      </c>
      <c r="B231" s="3" t="s">
        <v>1390</v>
      </c>
      <c r="C231" s="2" t="s">
        <v>750</v>
      </c>
      <c r="D231" s="2" t="s">
        <v>1391</v>
      </c>
      <c r="E231" s="2" t="s">
        <v>57</v>
      </c>
      <c r="F231" s="2" t="s">
        <v>36</v>
      </c>
      <c r="G231" s="2" t="s">
        <v>48</v>
      </c>
      <c r="H231" s="2" t="s">
        <v>1392</v>
      </c>
      <c r="I231" s="3" t="s">
        <v>1393</v>
      </c>
      <c r="J231" s="2" t="s">
        <v>1394</v>
      </c>
      <c r="K231" s="2" t="s">
        <v>1395</v>
      </c>
      <c r="L231" s="4" t="n">
        <v>70</v>
      </c>
      <c r="M231" s="4" t="s">
        <v>43</v>
      </c>
      <c r="N231" s="5" t="n">
        <v>70</v>
      </c>
      <c r="O231" s="6" t="n">
        <v>78</v>
      </c>
      <c r="P231" s="6" t="s">
        <v>43</v>
      </c>
      <c r="Q231" s="7" t="n">
        <v>78</v>
      </c>
      <c r="R231" s="8" t="n">
        <v>91</v>
      </c>
      <c r="S231" s="8" t="s">
        <v>54</v>
      </c>
      <c r="T231" s="9" t="n">
        <v>91</v>
      </c>
      <c r="U231" s="10" t="n">
        <v>66</v>
      </c>
      <c r="V231" s="10" t="s">
        <v>44</v>
      </c>
      <c r="W231" s="11" t="n">
        <v>66</v>
      </c>
      <c r="X231" s="12" t="n">
        <v>88</v>
      </c>
      <c r="Y231" s="12" t="s">
        <v>42</v>
      </c>
      <c r="Z231" s="13" t="n">
        <v>88</v>
      </c>
      <c r="AA231" s="14" t="n">
        <v>74</v>
      </c>
      <c r="AB231" s="14" t="s">
        <v>43</v>
      </c>
      <c r="AC231" s="15" t="n">
        <v>74</v>
      </c>
      <c r="AD231" s="2" t="n">
        <f aca="false">SUM(L231,O231,R231,U231,X231,AA231)</f>
        <v>467</v>
      </c>
      <c r="AE231" s="16" t="n">
        <f aca="false">AD231/6</f>
        <v>77.8333333333333</v>
      </c>
      <c r="AF231" s="2" t="str">
        <f aca="false">IF(SUM(COUNTIF(M231,"RA"),COUNTIF(P231,"RA"),COUNTIF(S231,"RA"),COUNTIF(V231,"RA"),COUNTIF(Y231,"RA"),COUNTIF(AB231,"RA"))&gt;0,"FAIL","PASS")</f>
        <v>PASS</v>
      </c>
    </row>
    <row r="232" customFormat="false" ht="15" hidden="false" customHeight="false" outlineLevel="0" collapsed="false">
      <c r="A232" s="2" t="n">
        <v>231</v>
      </c>
      <c r="B232" s="3" t="s">
        <v>1396</v>
      </c>
      <c r="C232" s="2" t="s">
        <v>912</v>
      </c>
      <c r="D232" s="2" t="s">
        <v>1397</v>
      </c>
      <c r="E232" s="2" t="s">
        <v>57</v>
      </c>
      <c r="F232" s="2" t="s">
        <v>36</v>
      </c>
      <c r="G232" s="2" t="s">
        <v>91</v>
      </c>
      <c r="H232" s="2" t="s">
        <v>1398</v>
      </c>
      <c r="I232" s="3" t="s">
        <v>1399</v>
      </c>
      <c r="J232" s="2" t="s">
        <v>1400</v>
      </c>
      <c r="K232" s="2" t="s">
        <v>1401</v>
      </c>
      <c r="L232" s="4" t="n">
        <v>73</v>
      </c>
      <c r="M232" s="4" t="s">
        <v>43</v>
      </c>
      <c r="N232" s="5" t="n">
        <v>73</v>
      </c>
      <c r="O232" s="6" t="n">
        <v>93</v>
      </c>
      <c r="P232" s="6" t="s">
        <v>54</v>
      </c>
      <c r="Q232" s="7" t="n">
        <v>93</v>
      </c>
      <c r="R232" s="8" t="n">
        <v>85</v>
      </c>
      <c r="S232" s="8" t="s">
        <v>42</v>
      </c>
      <c r="T232" s="9" t="n">
        <v>85</v>
      </c>
      <c r="U232" s="10" t="n">
        <v>49</v>
      </c>
      <c r="V232" s="10" t="s">
        <v>45</v>
      </c>
      <c r="W232" s="11" t="n">
        <v>49</v>
      </c>
      <c r="X232" s="12" t="n">
        <v>81</v>
      </c>
      <c r="Y232" s="12" t="s">
        <v>42</v>
      </c>
      <c r="Z232" s="13" t="n">
        <v>81</v>
      </c>
      <c r="AA232" s="14" t="n">
        <v>65</v>
      </c>
      <c r="AB232" s="14" t="s">
        <v>44</v>
      </c>
      <c r="AC232" s="15" t="n">
        <v>65</v>
      </c>
      <c r="AD232" s="2" t="n">
        <f aca="false">SUM(L232,O232,R232,U232,X232,AA232)</f>
        <v>446</v>
      </c>
      <c r="AE232" s="16" t="n">
        <f aca="false">AD232/6</f>
        <v>74.3333333333333</v>
      </c>
      <c r="AF232" s="2" t="str">
        <f aca="false">IF(SUM(COUNTIF(M232,"RA"),COUNTIF(P232,"RA"),COUNTIF(S232,"RA"),COUNTIF(V232,"RA"),COUNTIF(Y232,"RA"),COUNTIF(AB232,"RA"))&gt;0,"FAIL","PASS")</f>
        <v>FAIL</v>
      </c>
    </row>
    <row r="233" customFormat="false" ht="15" hidden="false" customHeight="false" outlineLevel="0" collapsed="false">
      <c r="A233" s="2" t="n">
        <v>232</v>
      </c>
      <c r="B233" s="3" t="s">
        <v>1402</v>
      </c>
      <c r="C233" s="2" t="s">
        <v>750</v>
      </c>
      <c r="D233" s="2" t="s">
        <v>1403</v>
      </c>
      <c r="E233" s="2" t="s">
        <v>57</v>
      </c>
      <c r="F233" s="2" t="s">
        <v>36</v>
      </c>
      <c r="G233" s="2" t="s">
        <v>91</v>
      </c>
      <c r="H233" s="2" t="s">
        <v>1404</v>
      </c>
      <c r="I233" s="3" t="s">
        <v>1405</v>
      </c>
      <c r="J233" s="2" t="s">
        <v>1406</v>
      </c>
      <c r="K233" s="2" t="s">
        <v>1407</v>
      </c>
      <c r="L233" s="4" t="n">
        <v>83</v>
      </c>
      <c r="M233" s="4" t="s">
        <v>42</v>
      </c>
      <c r="N233" s="5" t="n">
        <v>83</v>
      </c>
      <c r="O233" s="6" t="n">
        <v>76</v>
      </c>
      <c r="P233" s="6" t="s">
        <v>43</v>
      </c>
      <c r="Q233" s="7" t="n">
        <v>76</v>
      </c>
      <c r="R233" s="8" t="n">
        <v>59</v>
      </c>
      <c r="S233" s="8" t="s">
        <v>53</v>
      </c>
      <c r="T233" s="9" t="n">
        <v>59</v>
      </c>
      <c r="U233" s="10" t="n">
        <v>89</v>
      </c>
      <c r="V233" s="10" t="s">
        <v>42</v>
      </c>
      <c r="W233" s="11" t="n">
        <v>89</v>
      </c>
      <c r="X233" s="12" t="n">
        <v>65</v>
      </c>
      <c r="Y233" s="12" t="s">
        <v>44</v>
      </c>
      <c r="Z233" s="13" t="n">
        <v>65</v>
      </c>
      <c r="AA233" s="14" t="n">
        <v>78</v>
      </c>
      <c r="AB233" s="14" t="s">
        <v>43</v>
      </c>
      <c r="AC233" s="15" t="n">
        <v>78</v>
      </c>
      <c r="AD233" s="2" t="n">
        <f aca="false">SUM(L233,O233,R233,U233,X233,AA233)</f>
        <v>450</v>
      </c>
      <c r="AE233" s="16" t="n">
        <f aca="false">AD233/6</f>
        <v>75</v>
      </c>
      <c r="AF233" s="2" t="str">
        <f aca="false">IF(SUM(COUNTIF(M233,"RA"),COUNTIF(P233,"RA"),COUNTIF(S233,"RA"),COUNTIF(V233,"RA"),COUNTIF(Y233,"RA"),COUNTIF(AB233,"RA"))&gt;0,"FAIL","PASS")</f>
        <v>PASS</v>
      </c>
    </row>
    <row r="234" customFormat="false" ht="15" hidden="false" customHeight="false" outlineLevel="0" collapsed="false">
      <c r="A234" s="2" t="n">
        <v>233</v>
      </c>
      <c r="B234" s="3" t="s">
        <v>1408</v>
      </c>
      <c r="C234" s="2" t="s">
        <v>841</v>
      </c>
      <c r="D234" s="2" t="s">
        <v>1409</v>
      </c>
      <c r="E234" s="2" t="s">
        <v>57</v>
      </c>
      <c r="F234" s="2" t="s">
        <v>36</v>
      </c>
      <c r="G234" s="2" t="s">
        <v>91</v>
      </c>
      <c r="H234" s="2" t="s">
        <v>1410</v>
      </c>
      <c r="I234" s="3" t="s">
        <v>1411</v>
      </c>
      <c r="J234" s="2" t="s">
        <v>1412</v>
      </c>
      <c r="K234" s="2" t="s">
        <v>1413</v>
      </c>
      <c r="L234" s="4" t="n">
        <v>57</v>
      </c>
      <c r="M234" s="4" t="s">
        <v>53</v>
      </c>
      <c r="N234" s="5" t="n">
        <v>57</v>
      </c>
      <c r="O234" s="6" t="n">
        <v>78</v>
      </c>
      <c r="P234" s="6" t="s">
        <v>43</v>
      </c>
      <c r="Q234" s="7" t="n">
        <v>78</v>
      </c>
      <c r="R234" s="8" t="n">
        <v>72</v>
      </c>
      <c r="S234" s="8" t="s">
        <v>43</v>
      </c>
      <c r="T234" s="9" t="n">
        <v>72</v>
      </c>
      <c r="U234" s="10" t="n">
        <v>95</v>
      </c>
      <c r="V234" s="10" t="s">
        <v>54</v>
      </c>
      <c r="W234" s="11" t="n">
        <v>95</v>
      </c>
      <c r="X234" s="12" t="n">
        <v>80</v>
      </c>
      <c r="Y234" s="12" t="s">
        <v>42</v>
      </c>
      <c r="Z234" s="13" t="n">
        <v>80</v>
      </c>
      <c r="AA234" s="14" t="n">
        <v>41</v>
      </c>
      <c r="AB234" s="14" t="s">
        <v>45</v>
      </c>
      <c r="AC234" s="15" t="n">
        <v>41</v>
      </c>
      <c r="AD234" s="2" t="n">
        <f aca="false">SUM(L234,O234,R234,U234,X234,AA234)</f>
        <v>423</v>
      </c>
      <c r="AE234" s="16" t="n">
        <f aca="false">AD234/6</f>
        <v>70.5</v>
      </c>
      <c r="AF234" s="2" t="str">
        <f aca="false">IF(SUM(COUNTIF(M234,"RA"),COUNTIF(P234,"RA"),COUNTIF(S234,"RA"),COUNTIF(V234,"RA"),COUNTIF(Y234,"RA"),COUNTIF(AB234,"RA"))&gt;0,"FAIL","PASS")</f>
        <v>FAIL</v>
      </c>
    </row>
    <row r="235" customFormat="false" ht="15" hidden="false" customHeight="false" outlineLevel="0" collapsed="false">
      <c r="A235" s="2" t="n">
        <v>234</v>
      </c>
      <c r="B235" s="3" t="s">
        <v>1414</v>
      </c>
      <c r="C235" s="2" t="s">
        <v>770</v>
      </c>
      <c r="D235" s="2" t="s">
        <v>1415</v>
      </c>
      <c r="E235" s="2" t="s">
        <v>35</v>
      </c>
      <c r="F235" s="2" t="s">
        <v>36</v>
      </c>
      <c r="G235" s="2" t="s">
        <v>91</v>
      </c>
      <c r="H235" s="2" t="s">
        <v>1416</v>
      </c>
      <c r="I235" s="3" t="s">
        <v>261</v>
      </c>
      <c r="J235" s="2" t="s">
        <v>1417</v>
      </c>
      <c r="K235" s="2" t="s">
        <v>1418</v>
      </c>
      <c r="L235" s="4" t="n">
        <v>82</v>
      </c>
      <c r="M235" s="4" t="s">
        <v>42</v>
      </c>
      <c r="N235" s="5" t="n">
        <v>82</v>
      </c>
      <c r="O235" s="6" t="n">
        <v>77</v>
      </c>
      <c r="P235" s="6" t="s">
        <v>43</v>
      </c>
      <c r="Q235" s="7" t="n">
        <v>77</v>
      </c>
      <c r="R235" s="8" t="n">
        <v>83</v>
      </c>
      <c r="S235" s="8" t="s">
        <v>42</v>
      </c>
      <c r="T235" s="9" t="n">
        <v>83</v>
      </c>
      <c r="U235" s="10" t="n">
        <v>70</v>
      </c>
      <c r="V235" s="10" t="s">
        <v>43</v>
      </c>
      <c r="W235" s="11" t="n">
        <v>70</v>
      </c>
      <c r="X235" s="12" t="n">
        <v>72</v>
      </c>
      <c r="Y235" s="12" t="s">
        <v>43</v>
      </c>
      <c r="Z235" s="13" t="n">
        <v>72</v>
      </c>
      <c r="AA235" s="14" t="n">
        <v>72</v>
      </c>
      <c r="AB235" s="14" t="s">
        <v>43</v>
      </c>
      <c r="AC235" s="15" t="n">
        <v>72</v>
      </c>
      <c r="AD235" s="2" t="n">
        <f aca="false">SUM(L235,O235,R235,U235,X235,AA235)</f>
        <v>456</v>
      </c>
      <c r="AE235" s="16" t="n">
        <f aca="false">AD235/6</f>
        <v>76</v>
      </c>
      <c r="AF235" s="2" t="str">
        <f aca="false">IF(SUM(COUNTIF(M235,"RA"),COUNTIF(P235,"RA"),COUNTIF(S235,"RA"),COUNTIF(V235,"RA"),COUNTIF(Y235,"RA"),COUNTIF(AB235,"RA"))&gt;0,"FAIL","PASS")</f>
        <v>PASS</v>
      </c>
    </row>
    <row r="236" customFormat="false" ht="15" hidden="false" customHeight="false" outlineLevel="0" collapsed="false">
      <c r="A236" s="2" t="n">
        <v>235</v>
      </c>
      <c r="B236" s="3" t="s">
        <v>1419</v>
      </c>
      <c r="C236" s="2" t="s">
        <v>816</v>
      </c>
      <c r="D236" s="2" t="s">
        <v>1420</v>
      </c>
      <c r="E236" s="2" t="s">
        <v>35</v>
      </c>
      <c r="F236" s="2" t="s">
        <v>36</v>
      </c>
      <c r="G236" s="2" t="s">
        <v>48</v>
      </c>
      <c r="H236" s="2" t="s">
        <v>1421</v>
      </c>
      <c r="I236" s="3" t="s">
        <v>1422</v>
      </c>
      <c r="J236" s="2" t="s">
        <v>1423</v>
      </c>
      <c r="K236" s="2" t="s">
        <v>1424</v>
      </c>
      <c r="L236" s="4" t="n">
        <v>100</v>
      </c>
      <c r="M236" s="4" t="s">
        <v>54</v>
      </c>
      <c r="N236" s="5" t="n">
        <v>100</v>
      </c>
      <c r="O236" s="6" t="n">
        <v>86</v>
      </c>
      <c r="P236" s="6" t="s">
        <v>42</v>
      </c>
      <c r="Q236" s="7" t="n">
        <v>86</v>
      </c>
      <c r="R236" s="8" t="n">
        <v>44</v>
      </c>
      <c r="S236" s="8" t="s">
        <v>45</v>
      </c>
      <c r="T236" s="9" t="n">
        <v>44</v>
      </c>
      <c r="U236" s="10" t="n">
        <v>87</v>
      </c>
      <c r="V236" s="10" t="s">
        <v>42</v>
      </c>
      <c r="W236" s="11" t="n">
        <v>87</v>
      </c>
      <c r="X236" s="12" t="n">
        <v>77</v>
      </c>
      <c r="Y236" s="12" t="s">
        <v>43</v>
      </c>
      <c r="Z236" s="13" t="n">
        <v>77</v>
      </c>
      <c r="AA236" s="14" t="n">
        <v>71</v>
      </c>
      <c r="AB236" s="14" t="s">
        <v>43</v>
      </c>
      <c r="AC236" s="15" t="n">
        <v>71</v>
      </c>
      <c r="AD236" s="2" t="n">
        <f aca="false">SUM(L236,O236,R236,U236,X236,AA236)</f>
        <v>465</v>
      </c>
      <c r="AE236" s="16" t="n">
        <f aca="false">AD236/6</f>
        <v>77.5</v>
      </c>
      <c r="AF236" s="2" t="str">
        <f aca="false">IF(SUM(COUNTIF(M236,"RA"),COUNTIF(P236,"RA"),COUNTIF(S236,"RA"),COUNTIF(V236,"RA"),COUNTIF(Y236,"RA"),COUNTIF(AB236,"RA"))&gt;0,"FAIL","PASS")</f>
        <v>FAIL</v>
      </c>
    </row>
    <row r="237" customFormat="false" ht="15" hidden="false" customHeight="false" outlineLevel="0" collapsed="false">
      <c r="A237" s="2" t="n">
        <v>236</v>
      </c>
      <c r="B237" s="3" t="s">
        <v>1425</v>
      </c>
      <c r="C237" s="2" t="s">
        <v>859</v>
      </c>
      <c r="D237" s="2" t="s">
        <v>1426</v>
      </c>
      <c r="E237" s="2" t="s">
        <v>35</v>
      </c>
      <c r="F237" s="2" t="s">
        <v>36</v>
      </c>
      <c r="G237" s="2" t="s">
        <v>48</v>
      </c>
      <c r="H237" s="2" t="s">
        <v>1427</v>
      </c>
      <c r="I237" s="3" t="s">
        <v>373</v>
      </c>
      <c r="J237" s="2" t="s">
        <v>1428</v>
      </c>
      <c r="K237" s="2" t="s">
        <v>1429</v>
      </c>
      <c r="L237" s="4" t="n">
        <v>86</v>
      </c>
      <c r="M237" s="4" t="s">
        <v>42</v>
      </c>
      <c r="N237" s="5" t="n">
        <v>86</v>
      </c>
      <c r="O237" s="6" t="n">
        <v>88</v>
      </c>
      <c r="P237" s="6" t="s">
        <v>42</v>
      </c>
      <c r="Q237" s="7" t="n">
        <v>88</v>
      </c>
      <c r="R237" s="8" t="n">
        <v>71</v>
      </c>
      <c r="S237" s="8" t="s">
        <v>43</v>
      </c>
      <c r="T237" s="9" t="n">
        <v>71</v>
      </c>
      <c r="U237" s="10" t="n">
        <v>40</v>
      </c>
      <c r="V237" s="10" t="s">
        <v>45</v>
      </c>
      <c r="W237" s="11" t="n">
        <v>40</v>
      </c>
      <c r="X237" s="12" t="n">
        <v>89</v>
      </c>
      <c r="Y237" s="12" t="s">
        <v>42</v>
      </c>
      <c r="Z237" s="13" t="n">
        <v>89</v>
      </c>
      <c r="AA237" s="14" t="n">
        <v>89</v>
      </c>
      <c r="AB237" s="14" t="s">
        <v>42</v>
      </c>
      <c r="AC237" s="15" t="n">
        <v>89</v>
      </c>
      <c r="AD237" s="2" t="n">
        <f aca="false">SUM(L237,O237,R237,U237,X237,AA237)</f>
        <v>463</v>
      </c>
      <c r="AE237" s="16" t="n">
        <f aca="false">AD237/6</f>
        <v>77.1666666666667</v>
      </c>
      <c r="AF237" s="2" t="str">
        <f aca="false">IF(SUM(COUNTIF(M237,"RA"),COUNTIF(P237,"RA"),COUNTIF(S237,"RA"),COUNTIF(V237,"RA"),COUNTIF(Y237,"RA"),COUNTIF(AB237,"RA"))&gt;0,"FAIL","PASS")</f>
        <v>FAIL</v>
      </c>
    </row>
    <row r="238" customFormat="false" ht="15" hidden="false" customHeight="false" outlineLevel="0" collapsed="false">
      <c r="A238" s="2" t="n">
        <v>237</v>
      </c>
      <c r="B238" s="3" t="s">
        <v>1430</v>
      </c>
      <c r="C238" s="2" t="s">
        <v>841</v>
      </c>
      <c r="D238" s="2" t="s">
        <v>1431</v>
      </c>
      <c r="E238" s="2" t="s">
        <v>57</v>
      </c>
      <c r="F238" s="2" t="s">
        <v>36</v>
      </c>
      <c r="G238" s="2" t="s">
        <v>64</v>
      </c>
      <c r="H238" s="2" t="s">
        <v>1432</v>
      </c>
      <c r="I238" s="3" t="s">
        <v>1433</v>
      </c>
      <c r="J238" s="2" t="s">
        <v>1434</v>
      </c>
      <c r="K238" s="2" t="s">
        <v>1435</v>
      </c>
      <c r="L238" s="4" t="n">
        <v>62</v>
      </c>
      <c r="M238" s="4" t="s">
        <v>44</v>
      </c>
      <c r="N238" s="5" t="n">
        <v>62</v>
      </c>
      <c r="O238" s="6" t="n">
        <v>72</v>
      </c>
      <c r="P238" s="6" t="s">
        <v>43</v>
      </c>
      <c r="Q238" s="7" t="n">
        <v>72</v>
      </c>
      <c r="R238" s="8" t="n">
        <v>59</v>
      </c>
      <c r="S238" s="8" t="s">
        <v>53</v>
      </c>
      <c r="T238" s="9" t="n">
        <v>59</v>
      </c>
      <c r="U238" s="10" t="n">
        <v>70</v>
      </c>
      <c r="V238" s="10" t="s">
        <v>43</v>
      </c>
      <c r="W238" s="11" t="n">
        <v>70</v>
      </c>
      <c r="X238" s="12" t="n">
        <v>84</v>
      </c>
      <c r="Y238" s="12" t="s">
        <v>42</v>
      </c>
      <c r="Z238" s="13" t="n">
        <v>84</v>
      </c>
      <c r="AA238" s="14" t="n">
        <v>44</v>
      </c>
      <c r="AB238" s="14" t="s">
        <v>45</v>
      </c>
      <c r="AC238" s="15" t="n">
        <v>44</v>
      </c>
      <c r="AD238" s="2" t="n">
        <f aca="false">SUM(L238,O238,R238,U238,X238,AA238)</f>
        <v>391</v>
      </c>
      <c r="AE238" s="16" t="n">
        <f aca="false">AD238/6</f>
        <v>65.1666666666667</v>
      </c>
      <c r="AF238" s="2" t="str">
        <f aca="false">IF(SUM(COUNTIF(M238,"RA"),COUNTIF(P238,"RA"),COUNTIF(S238,"RA"),COUNTIF(V238,"RA"),COUNTIF(Y238,"RA"),COUNTIF(AB238,"RA"))&gt;0,"FAIL","PASS")</f>
        <v>FAIL</v>
      </c>
    </row>
    <row r="239" customFormat="false" ht="15" hidden="false" customHeight="false" outlineLevel="0" collapsed="false">
      <c r="A239" s="2" t="n">
        <v>238</v>
      </c>
      <c r="B239" s="3" t="s">
        <v>1436</v>
      </c>
      <c r="C239" s="2" t="s">
        <v>783</v>
      </c>
      <c r="D239" s="2" t="s">
        <v>1437</v>
      </c>
      <c r="E239" s="2" t="s">
        <v>57</v>
      </c>
      <c r="F239" s="2" t="s">
        <v>36</v>
      </c>
      <c r="G239" s="2" t="s">
        <v>78</v>
      </c>
      <c r="H239" s="2" t="s">
        <v>1438</v>
      </c>
      <c r="I239" s="3" t="s">
        <v>701</v>
      </c>
      <c r="J239" s="2" t="s">
        <v>1439</v>
      </c>
      <c r="K239" s="2" t="s">
        <v>1440</v>
      </c>
      <c r="L239" s="4" t="n">
        <v>75</v>
      </c>
      <c r="M239" s="4" t="s">
        <v>43</v>
      </c>
      <c r="N239" s="5" t="n">
        <v>75</v>
      </c>
      <c r="O239" s="6" t="n">
        <v>92</v>
      </c>
      <c r="P239" s="6" t="s">
        <v>54</v>
      </c>
      <c r="Q239" s="7" t="n">
        <v>92</v>
      </c>
      <c r="R239" s="8" t="n">
        <v>97</v>
      </c>
      <c r="S239" s="8" t="s">
        <v>54</v>
      </c>
      <c r="T239" s="9" t="n">
        <v>97</v>
      </c>
      <c r="U239" s="10" t="n">
        <v>70</v>
      </c>
      <c r="V239" s="10" t="s">
        <v>43</v>
      </c>
      <c r="W239" s="11" t="n">
        <v>70</v>
      </c>
      <c r="X239" s="12" t="n">
        <v>73</v>
      </c>
      <c r="Y239" s="12" t="s">
        <v>43</v>
      </c>
      <c r="Z239" s="13" t="n">
        <v>73</v>
      </c>
      <c r="AA239" s="14" t="n">
        <v>96</v>
      </c>
      <c r="AB239" s="14" t="s">
        <v>54</v>
      </c>
      <c r="AC239" s="15" t="n">
        <v>96</v>
      </c>
      <c r="AD239" s="2" t="n">
        <f aca="false">SUM(L239,O239,R239,U239,X239,AA239)</f>
        <v>503</v>
      </c>
      <c r="AE239" s="16" t="n">
        <f aca="false">AD239/6</f>
        <v>83.8333333333333</v>
      </c>
      <c r="AF239" s="2" t="str">
        <f aca="false">IF(SUM(COUNTIF(M239,"RA"),COUNTIF(P239,"RA"),COUNTIF(S239,"RA"),COUNTIF(V239,"RA"),COUNTIF(Y239,"RA"),COUNTIF(AB239,"RA"))&gt;0,"FAIL","PASS")</f>
        <v>PASS</v>
      </c>
    </row>
    <row r="240" customFormat="false" ht="15" hidden="false" customHeight="false" outlineLevel="0" collapsed="false">
      <c r="A240" s="2" t="n">
        <v>239</v>
      </c>
      <c r="B240" s="3" t="s">
        <v>1441</v>
      </c>
      <c r="C240" s="2" t="s">
        <v>750</v>
      </c>
      <c r="D240" s="2" t="s">
        <v>1442</v>
      </c>
      <c r="E240" s="2" t="s">
        <v>35</v>
      </c>
      <c r="F240" s="2" t="s">
        <v>36</v>
      </c>
      <c r="G240" s="2" t="s">
        <v>71</v>
      </c>
      <c r="H240" s="2" t="s">
        <v>1443</v>
      </c>
      <c r="I240" s="3" t="s">
        <v>1444</v>
      </c>
      <c r="J240" s="2" t="s">
        <v>1445</v>
      </c>
      <c r="K240" s="2" t="s">
        <v>1446</v>
      </c>
      <c r="L240" s="4" t="n">
        <v>68</v>
      </c>
      <c r="M240" s="4" t="s">
        <v>44</v>
      </c>
      <c r="N240" s="5" t="n">
        <v>68</v>
      </c>
      <c r="O240" s="6" t="n">
        <v>65</v>
      </c>
      <c r="P240" s="6" t="s">
        <v>44</v>
      </c>
      <c r="Q240" s="7" t="n">
        <v>65</v>
      </c>
      <c r="R240" s="8" t="n">
        <v>63</v>
      </c>
      <c r="S240" s="8" t="s">
        <v>44</v>
      </c>
      <c r="T240" s="9" t="n">
        <v>63</v>
      </c>
      <c r="U240" s="10" t="n">
        <v>65</v>
      </c>
      <c r="V240" s="10" t="s">
        <v>44</v>
      </c>
      <c r="W240" s="11" t="n">
        <v>65</v>
      </c>
      <c r="X240" s="12" t="n">
        <v>80</v>
      </c>
      <c r="Y240" s="12" t="s">
        <v>42</v>
      </c>
      <c r="Z240" s="13" t="n">
        <v>80</v>
      </c>
      <c r="AA240" s="14" t="n">
        <v>71</v>
      </c>
      <c r="AB240" s="14" t="s">
        <v>43</v>
      </c>
      <c r="AC240" s="15" t="n">
        <v>71</v>
      </c>
      <c r="AD240" s="2" t="n">
        <f aca="false">SUM(L240,O240,R240,U240,X240,AA240)</f>
        <v>412</v>
      </c>
      <c r="AE240" s="16" t="n">
        <f aca="false">AD240/6</f>
        <v>68.6666666666667</v>
      </c>
      <c r="AF240" s="2" t="str">
        <f aca="false">IF(SUM(COUNTIF(M240,"RA"),COUNTIF(P240,"RA"),COUNTIF(S240,"RA"),COUNTIF(V240,"RA"),COUNTIF(Y240,"RA"),COUNTIF(AB240,"RA"))&gt;0,"FAIL","PASS")</f>
        <v>PASS</v>
      </c>
    </row>
    <row r="241" customFormat="false" ht="15" hidden="false" customHeight="false" outlineLevel="0" collapsed="false">
      <c r="A241" s="2" t="n">
        <v>240</v>
      </c>
      <c r="B241" s="3" t="s">
        <v>1447</v>
      </c>
      <c r="C241" s="2" t="s">
        <v>803</v>
      </c>
      <c r="D241" s="2" t="s">
        <v>1448</v>
      </c>
      <c r="E241" s="2" t="s">
        <v>35</v>
      </c>
      <c r="F241" s="2" t="s">
        <v>36</v>
      </c>
      <c r="G241" s="2" t="s">
        <v>44</v>
      </c>
      <c r="H241" s="2" t="s">
        <v>1449</v>
      </c>
      <c r="I241" s="3" t="s">
        <v>302</v>
      </c>
      <c r="J241" s="2" t="s">
        <v>1450</v>
      </c>
      <c r="K241" s="2" t="s">
        <v>1451</v>
      </c>
      <c r="L241" s="4" t="n">
        <v>63</v>
      </c>
      <c r="M241" s="4" t="s">
        <v>44</v>
      </c>
      <c r="N241" s="5" t="n">
        <v>63</v>
      </c>
      <c r="O241" s="6" t="n">
        <v>91</v>
      </c>
      <c r="P241" s="6" t="s">
        <v>54</v>
      </c>
      <c r="Q241" s="7" t="n">
        <v>91</v>
      </c>
      <c r="R241" s="8" t="n">
        <v>81</v>
      </c>
      <c r="S241" s="8" t="s">
        <v>42</v>
      </c>
      <c r="T241" s="9" t="n">
        <v>81</v>
      </c>
      <c r="U241" s="10" t="n">
        <v>81</v>
      </c>
      <c r="V241" s="10" t="s">
        <v>42</v>
      </c>
      <c r="W241" s="11" t="n">
        <v>81</v>
      </c>
      <c r="X241" s="12" t="n">
        <v>46</v>
      </c>
      <c r="Y241" s="12" t="s">
        <v>45</v>
      </c>
      <c r="Z241" s="13" t="n">
        <v>46</v>
      </c>
      <c r="AA241" s="14" t="n">
        <v>81</v>
      </c>
      <c r="AB241" s="14" t="s">
        <v>42</v>
      </c>
      <c r="AC241" s="15" t="n">
        <v>81</v>
      </c>
      <c r="AD241" s="2" t="n">
        <f aca="false">SUM(L241,O241,R241,U241,X241,AA241)</f>
        <v>443</v>
      </c>
      <c r="AE241" s="16" t="n">
        <f aca="false">AD241/6</f>
        <v>73.8333333333333</v>
      </c>
      <c r="AF241" s="2" t="str">
        <f aca="false">IF(SUM(COUNTIF(M241,"RA"),COUNTIF(P241,"RA"),COUNTIF(S241,"RA"),COUNTIF(V241,"RA"),COUNTIF(Y241,"RA"),COUNTIF(AB241,"RA"))&gt;0,"FAIL","PASS")</f>
        <v>FAIL</v>
      </c>
    </row>
    <row r="242" customFormat="false" ht="15" hidden="false" customHeight="false" outlineLevel="0" collapsed="false">
      <c r="A242" s="2" t="n">
        <v>241</v>
      </c>
      <c r="B242" s="3" t="s">
        <v>1452</v>
      </c>
      <c r="C242" s="2" t="s">
        <v>816</v>
      </c>
      <c r="D242" s="2" t="s">
        <v>1453</v>
      </c>
      <c r="E242" s="2" t="s">
        <v>35</v>
      </c>
      <c r="F242" s="2" t="s">
        <v>36</v>
      </c>
      <c r="G242" s="2" t="s">
        <v>37</v>
      </c>
      <c r="H242" s="2" t="s">
        <v>1454</v>
      </c>
      <c r="I242" s="3" t="s">
        <v>1455</v>
      </c>
      <c r="J242" s="2" t="s">
        <v>1456</v>
      </c>
      <c r="K242" s="2" t="s">
        <v>1457</v>
      </c>
      <c r="L242" s="4" t="n">
        <v>88</v>
      </c>
      <c r="M242" s="4" t="s">
        <v>42</v>
      </c>
      <c r="N242" s="5" t="n">
        <v>88</v>
      </c>
      <c r="O242" s="6" t="n">
        <v>45</v>
      </c>
      <c r="P242" s="6" t="s">
        <v>45</v>
      </c>
      <c r="Q242" s="7" t="n">
        <v>45</v>
      </c>
      <c r="R242" s="8" t="n">
        <v>93</v>
      </c>
      <c r="S242" s="8" t="s">
        <v>54</v>
      </c>
      <c r="T242" s="9" t="n">
        <v>93</v>
      </c>
      <c r="U242" s="10" t="n">
        <v>62</v>
      </c>
      <c r="V242" s="10" t="s">
        <v>44</v>
      </c>
      <c r="W242" s="11" t="n">
        <v>62</v>
      </c>
      <c r="X242" s="12" t="n">
        <v>83</v>
      </c>
      <c r="Y242" s="12" t="s">
        <v>42</v>
      </c>
      <c r="Z242" s="13" t="n">
        <v>83</v>
      </c>
      <c r="AA242" s="14" t="n">
        <v>89</v>
      </c>
      <c r="AB242" s="14" t="s">
        <v>42</v>
      </c>
      <c r="AC242" s="15" t="n">
        <v>89</v>
      </c>
      <c r="AD242" s="2" t="n">
        <f aca="false">SUM(L242,O242,R242,U242,X242,AA242)</f>
        <v>460</v>
      </c>
      <c r="AE242" s="16" t="n">
        <f aca="false">AD242/6</f>
        <v>76.6666666666667</v>
      </c>
      <c r="AF242" s="2" t="str">
        <f aca="false">IF(SUM(COUNTIF(M242,"RA"),COUNTIF(P242,"RA"),COUNTIF(S242,"RA"),COUNTIF(V242,"RA"),COUNTIF(Y242,"RA"),COUNTIF(AB242,"RA"))&gt;0,"FAIL","PASS")</f>
        <v>FAIL</v>
      </c>
    </row>
    <row r="243" customFormat="false" ht="15" hidden="false" customHeight="false" outlineLevel="0" collapsed="false">
      <c r="A243" s="2" t="n">
        <v>242</v>
      </c>
      <c r="B243" s="3" t="s">
        <v>1458</v>
      </c>
      <c r="C243" s="2" t="s">
        <v>816</v>
      </c>
      <c r="D243" s="2" t="s">
        <v>1459</v>
      </c>
      <c r="E243" s="2" t="s">
        <v>57</v>
      </c>
      <c r="F243" s="2" t="s">
        <v>36</v>
      </c>
      <c r="G243" s="2" t="s">
        <v>91</v>
      </c>
      <c r="H243" s="2" t="s">
        <v>1460</v>
      </c>
      <c r="I243" s="3" t="s">
        <v>1461</v>
      </c>
      <c r="J243" s="2" t="s">
        <v>1462</v>
      </c>
      <c r="K243" s="2" t="s">
        <v>1463</v>
      </c>
      <c r="L243" s="4" t="n">
        <v>71</v>
      </c>
      <c r="M243" s="4" t="s">
        <v>43</v>
      </c>
      <c r="N243" s="5" t="n">
        <v>71</v>
      </c>
      <c r="O243" s="6" t="n">
        <v>98</v>
      </c>
      <c r="P243" s="6" t="s">
        <v>54</v>
      </c>
      <c r="Q243" s="7" t="n">
        <v>98</v>
      </c>
      <c r="R243" s="8" t="n">
        <v>86</v>
      </c>
      <c r="S243" s="8" t="s">
        <v>42</v>
      </c>
      <c r="T243" s="9" t="n">
        <v>86</v>
      </c>
      <c r="U243" s="10" t="n">
        <v>47</v>
      </c>
      <c r="V243" s="10" t="s">
        <v>45</v>
      </c>
      <c r="W243" s="11" t="n">
        <v>47</v>
      </c>
      <c r="X243" s="12" t="n">
        <v>77</v>
      </c>
      <c r="Y243" s="12" t="s">
        <v>43</v>
      </c>
      <c r="Z243" s="13" t="n">
        <v>77</v>
      </c>
      <c r="AA243" s="14" t="n">
        <v>84</v>
      </c>
      <c r="AB243" s="14" t="s">
        <v>42</v>
      </c>
      <c r="AC243" s="15" t="n">
        <v>84</v>
      </c>
      <c r="AD243" s="2" t="n">
        <f aca="false">SUM(L243,O243,R243,U243,X243,AA243)</f>
        <v>463</v>
      </c>
      <c r="AE243" s="16" t="n">
        <f aca="false">AD243/6</f>
        <v>77.1666666666667</v>
      </c>
      <c r="AF243" s="2" t="str">
        <f aca="false">IF(SUM(COUNTIF(M243,"RA"),COUNTIF(P243,"RA"),COUNTIF(S243,"RA"),COUNTIF(V243,"RA"),COUNTIF(Y243,"RA"),COUNTIF(AB243,"RA"))&gt;0,"FAIL","PASS")</f>
        <v>FAIL</v>
      </c>
    </row>
    <row r="244" customFormat="false" ht="15" hidden="false" customHeight="false" outlineLevel="0" collapsed="false">
      <c r="A244" s="2" t="n">
        <v>243</v>
      </c>
      <c r="B244" s="3" t="s">
        <v>1464</v>
      </c>
      <c r="C244" s="2" t="s">
        <v>790</v>
      </c>
      <c r="D244" s="2" t="s">
        <v>1465</v>
      </c>
      <c r="E244" s="2" t="s">
        <v>57</v>
      </c>
      <c r="F244" s="2" t="s">
        <v>36</v>
      </c>
      <c r="G244" s="2" t="s">
        <v>64</v>
      </c>
      <c r="H244" s="2" t="s">
        <v>1466</v>
      </c>
      <c r="I244" s="3" t="s">
        <v>1467</v>
      </c>
      <c r="J244" s="2" t="s">
        <v>1468</v>
      </c>
      <c r="K244" s="2" t="s">
        <v>1469</v>
      </c>
      <c r="L244" s="4" t="n">
        <v>87</v>
      </c>
      <c r="M244" s="4" t="s">
        <v>42</v>
      </c>
      <c r="N244" s="5" t="n">
        <v>87</v>
      </c>
      <c r="O244" s="6" t="n">
        <v>83</v>
      </c>
      <c r="P244" s="6" t="s">
        <v>42</v>
      </c>
      <c r="Q244" s="7" t="n">
        <v>83</v>
      </c>
      <c r="R244" s="8" t="n">
        <v>72</v>
      </c>
      <c r="S244" s="8" t="s">
        <v>43</v>
      </c>
      <c r="T244" s="9" t="n">
        <v>72</v>
      </c>
      <c r="U244" s="10" t="n">
        <v>80</v>
      </c>
      <c r="V244" s="10" t="s">
        <v>42</v>
      </c>
      <c r="W244" s="11" t="n">
        <v>80</v>
      </c>
      <c r="X244" s="12" t="n">
        <v>86</v>
      </c>
      <c r="Y244" s="12" t="s">
        <v>42</v>
      </c>
      <c r="Z244" s="13" t="n">
        <v>86</v>
      </c>
      <c r="AA244" s="14" t="n">
        <v>98</v>
      </c>
      <c r="AB244" s="14" t="s">
        <v>54</v>
      </c>
      <c r="AC244" s="15" t="n">
        <v>98</v>
      </c>
      <c r="AD244" s="2" t="n">
        <f aca="false">SUM(L244,O244,R244,U244,X244,AA244)</f>
        <v>506</v>
      </c>
      <c r="AE244" s="16" t="n">
        <f aca="false">AD244/6</f>
        <v>84.3333333333333</v>
      </c>
      <c r="AF244" s="2" t="str">
        <f aca="false">IF(SUM(COUNTIF(M244,"RA"),COUNTIF(P244,"RA"),COUNTIF(S244,"RA"),COUNTIF(V244,"RA"),COUNTIF(Y244,"RA"),COUNTIF(AB244,"RA"))&gt;0,"FAIL","PASS")</f>
        <v>PASS</v>
      </c>
    </row>
    <row r="245" customFormat="false" ht="15" hidden="false" customHeight="false" outlineLevel="0" collapsed="false">
      <c r="A245" s="2" t="n">
        <v>244</v>
      </c>
      <c r="B245" s="3" t="s">
        <v>1470</v>
      </c>
      <c r="C245" s="2" t="s">
        <v>841</v>
      </c>
      <c r="D245" s="2" t="s">
        <v>1471</v>
      </c>
      <c r="E245" s="2" t="s">
        <v>35</v>
      </c>
      <c r="F245" s="2" t="s">
        <v>36</v>
      </c>
      <c r="G245" s="2" t="s">
        <v>71</v>
      </c>
      <c r="H245" s="2" t="s">
        <v>1472</v>
      </c>
      <c r="I245" s="3" t="s">
        <v>1473</v>
      </c>
      <c r="J245" s="2" t="s">
        <v>1474</v>
      </c>
      <c r="K245" s="2" t="s">
        <v>1475</v>
      </c>
      <c r="L245" s="4" t="n">
        <v>77</v>
      </c>
      <c r="M245" s="4" t="s">
        <v>43</v>
      </c>
      <c r="N245" s="5" t="n">
        <v>77</v>
      </c>
      <c r="O245" s="6" t="n">
        <v>62</v>
      </c>
      <c r="P245" s="6" t="s">
        <v>44</v>
      </c>
      <c r="Q245" s="7" t="n">
        <v>62</v>
      </c>
      <c r="R245" s="8" t="n">
        <v>76</v>
      </c>
      <c r="S245" s="8" t="s">
        <v>43</v>
      </c>
      <c r="T245" s="9" t="n">
        <v>76</v>
      </c>
      <c r="U245" s="10" t="n">
        <v>71</v>
      </c>
      <c r="V245" s="10" t="s">
        <v>43</v>
      </c>
      <c r="W245" s="11" t="n">
        <v>71</v>
      </c>
      <c r="X245" s="12" t="n">
        <v>92</v>
      </c>
      <c r="Y245" s="12" t="s">
        <v>54</v>
      </c>
      <c r="Z245" s="13" t="n">
        <v>92</v>
      </c>
      <c r="AA245" s="14" t="n">
        <v>62</v>
      </c>
      <c r="AB245" s="14" t="s">
        <v>44</v>
      </c>
      <c r="AC245" s="15" t="n">
        <v>62</v>
      </c>
      <c r="AD245" s="2" t="n">
        <f aca="false">SUM(L245,O245,R245,U245,X245,AA245)</f>
        <v>440</v>
      </c>
      <c r="AE245" s="16" t="n">
        <f aca="false">AD245/6</f>
        <v>73.3333333333333</v>
      </c>
      <c r="AF245" s="2" t="str">
        <f aca="false">IF(SUM(COUNTIF(M245,"RA"),COUNTIF(P245,"RA"),COUNTIF(S245,"RA"),COUNTIF(V245,"RA"),COUNTIF(Y245,"RA"),COUNTIF(AB245,"RA"))&gt;0,"FAIL","PASS")</f>
        <v>PASS</v>
      </c>
    </row>
    <row r="246" customFormat="false" ht="15" hidden="false" customHeight="false" outlineLevel="0" collapsed="false">
      <c r="A246" s="2" t="n">
        <v>245</v>
      </c>
      <c r="B246" s="3" t="s">
        <v>1476</v>
      </c>
      <c r="C246" s="2" t="s">
        <v>841</v>
      </c>
      <c r="D246" s="2" t="s">
        <v>1477</v>
      </c>
      <c r="E246" s="2" t="s">
        <v>35</v>
      </c>
      <c r="F246" s="2" t="s">
        <v>36</v>
      </c>
      <c r="G246" s="2" t="s">
        <v>37</v>
      </c>
      <c r="H246" s="2" t="s">
        <v>1478</v>
      </c>
      <c r="I246" s="3" t="s">
        <v>1479</v>
      </c>
      <c r="J246" s="2" t="s">
        <v>1480</v>
      </c>
      <c r="K246" s="2" t="s">
        <v>1481</v>
      </c>
      <c r="L246" s="4" t="n">
        <v>57</v>
      </c>
      <c r="M246" s="4" t="s">
        <v>53</v>
      </c>
      <c r="N246" s="5" t="n">
        <v>57</v>
      </c>
      <c r="O246" s="6" t="n">
        <v>66</v>
      </c>
      <c r="P246" s="6" t="s">
        <v>44</v>
      </c>
      <c r="Q246" s="7" t="n">
        <v>66</v>
      </c>
      <c r="R246" s="8" t="n">
        <v>43</v>
      </c>
      <c r="S246" s="8" t="s">
        <v>45</v>
      </c>
      <c r="T246" s="9" t="n">
        <v>43</v>
      </c>
      <c r="U246" s="10" t="n">
        <v>76</v>
      </c>
      <c r="V246" s="10" t="s">
        <v>43</v>
      </c>
      <c r="W246" s="11" t="n">
        <v>76</v>
      </c>
      <c r="X246" s="12" t="n">
        <v>92</v>
      </c>
      <c r="Y246" s="12" t="s">
        <v>54</v>
      </c>
      <c r="Z246" s="13" t="n">
        <v>92</v>
      </c>
      <c r="AA246" s="14" t="n">
        <v>83</v>
      </c>
      <c r="AB246" s="14" t="s">
        <v>42</v>
      </c>
      <c r="AC246" s="15" t="n">
        <v>83</v>
      </c>
      <c r="AD246" s="2" t="n">
        <f aca="false">SUM(L246,O246,R246,U246,X246,AA246)</f>
        <v>417</v>
      </c>
      <c r="AE246" s="16" t="n">
        <f aca="false">AD246/6</f>
        <v>69.5</v>
      </c>
      <c r="AF246" s="2" t="str">
        <f aca="false">IF(SUM(COUNTIF(M246,"RA"),COUNTIF(P246,"RA"),COUNTIF(S246,"RA"),COUNTIF(V246,"RA"),COUNTIF(Y246,"RA"),COUNTIF(AB246,"RA"))&gt;0,"FAIL","PASS")</f>
        <v>FAIL</v>
      </c>
    </row>
    <row r="247" customFormat="false" ht="15" hidden="false" customHeight="false" outlineLevel="0" collapsed="false">
      <c r="A247" s="2" t="n">
        <v>246</v>
      </c>
      <c r="B247" s="3" t="s">
        <v>1482</v>
      </c>
      <c r="C247" s="2" t="s">
        <v>816</v>
      </c>
      <c r="D247" s="2" t="s">
        <v>1483</v>
      </c>
      <c r="E247" s="2" t="s">
        <v>57</v>
      </c>
      <c r="F247" s="2" t="s">
        <v>36</v>
      </c>
      <c r="G247" s="2" t="s">
        <v>48</v>
      </c>
      <c r="H247" s="2" t="s">
        <v>1484</v>
      </c>
      <c r="I247" s="3" t="s">
        <v>793</v>
      </c>
      <c r="J247" s="2" t="s">
        <v>1485</v>
      </c>
      <c r="K247" s="2" t="s">
        <v>1486</v>
      </c>
      <c r="L247" s="4" t="n">
        <v>81</v>
      </c>
      <c r="M247" s="4" t="s">
        <v>42</v>
      </c>
      <c r="N247" s="5" t="n">
        <v>81</v>
      </c>
      <c r="O247" s="6" t="n">
        <v>46</v>
      </c>
      <c r="P247" s="6" t="s">
        <v>45</v>
      </c>
      <c r="Q247" s="7" t="n">
        <v>46</v>
      </c>
      <c r="R247" s="8" t="n">
        <v>93</v>
      </c>
      <c r="S247" s="8" t="s">
        <v>54</v>
      </c>
      <c r="T247" s="9" t="n">
        <v>93</v>
      </c>
      <c r="U247" s="10" t="n">
        <v>59</v>
      </c>
      <c r="V247" s="10" t="s">
        <v>53</v>
      </c>
      <c r="W247" s="11" t="n">
        <v>59</v>
      </c>
      <c r="X247" s="12" t="n">
        <v>44</v>
      </c>
      <c r="Y247" s="12" t="s">
        <v>45</v>
      </c>
      <c r="Z247" s="13" t="n">
        <v>44</v>
      </c>
      <c r="AA247" s="14" t="n">
        <v>63</v>
      </c>
      <c r="AB247" s="14" t="s">
        <v>44</v>
      </c>
      <c r="AC247" s="15" t="n">
        <v>63</v>
      </c>
      <c r="AD247" s="2" t="n">
        <f aca="false">SUM(L247,O247,R247,U247,X247,AA247)</f>
        <v>386</v>
      </c>
      <c r="AE247" s="16" t="n">
        <f aca="false">AD247/6</f>
        <v>64.3333333333333</v>
      </c>
      <c r="AF247" s="2" t="str">
        <f aca="false">IF(SUM(COUNTIF(M247,"RA"),COUNTIF(P247,"RA"),COUNTIF(S247,"RA"),COUNTIF(V247,"RA"),COUNTIF(Y247,"RA"),COUNTIF(AB247,"RA"))&gt;0,"FAIL","PASS")</f>
        <v>FAIL</v>
      </c>
    </row>
    <row r="248" customFormat="false" ht="15" hidden="false" customHeight="false" outlineLevel="0" collapsed="false">
      <c r="A248" s="2" t="n">
        <v>247</v>
      </c>
      <c r="B248" s="3" t="s">
        <v>1487</v>
      </c>
      <c r="C248" s="2" t="s">
        <v>770</v>
      </c>
      <c r="D248" s="2" t="s">
        <v>1488</v>
      </c>
      <c r="E248" s="2" t="s">
        <v>35</v>
      </c>
      <c r="F248" s="2" t="s">
        <v>36</v>
      </c>
      <c r="G248" s="2" t="s">
        <v>42</v>
      </c>
      <c r="H248" s="2" t="s">
        <v>1489</v>
      </c>
      <c r="I248" s="3" t="s">
        <v>1490</v>
      </c>
      <c r="J248" s="2" t="s">
        <v>1491</v>
      </c>
      <c r="K248" s="2" t="s">
        <v>1492</v>
      </c>
      <c r="L248" s="4" t="n">
        <v>57</v>
      </c>
      <c r="M248" s="4" t="s">
        <v>53</v>
      </c>
      <c r="N248" s="5" t="n">
        <v>57</v>
      </c>
      <c r="O248" s="6" t="n">
        <v>82</v>
      </c>
      <c r="P248" s="6" t="s">
        <v>42</v>
      </c>
      <c r="Q248" s="7" t="n">
        <v>82</v>
      </c>
      <c r="R248" s="8" t="n">
        <v>100</v>
      </c>
      <c r="S248" s="8" t="s">
        <v>54</v>
      </c>
      <c r="T248" s="9" t="n">
        <v>100</v>
      </c>
      <c r="U248" s="10" t="n">
        <v>80</v>
      </c>
      <c r="V248" s="10" t="s">
        <v>42</v>
      </c>
      <c r="W248" s="11" t="n">
        <v>80</v>
      </c>
      <c r="X248" s="12" t="n">
        <v>91</v>
      </c>
      <c r="Y248" s="12" t="s">
        <v>54</v>
      </c>
      <c r="Z248" s="13" t="n">
        <v>91</v>
      </c>
      <c r="AA248" s="14" t="n">
        <v>48</v>
      </c>
      <c r="AB248" s="14" t="s">
        <v>45</v>
      </c>
      <c r="AC248" s="15" t="n">
        <v>48</v>
      </c>
      <c r="AD248" s="2" t="n">
        <f aca="false">SUM(L248,O248,R248,U248,X248,AA248)</f>
        <v>458</v>
      </c>
      <c r="AE248" s="16" t="n">
        <f aca="false">AD248/6</f>
        <v>76.3333333333333</v>
      </c>
      <c r="AF248" s="2" t="str">
        <f aca="false">IF(SUM(COUNTIF(M248,"RA"),COUNTIF(P248,"RA"),COUNTIF(S248,"RA"),COUNTIF(V248,"RA"),COUNTIF(Y248,"RA"),COUNTIF(AB248,"RA"))&gt;0,"FAIL","PASS")</f>
        <v>FAIL</v>
      </c>
    </row>
    <row r="249" customFormat="false" ht="15" hidden="false" customHeight="false" outlineLevel="0" collapsed="false">
      <c r="A249" s="2" t="n">
        <v>248</v>
      </c>
      <c r="B249" s="3" t="s">
        <v>1493</v>
      </c>
      <c r="C249" s="2" t="s">
        <v>816</v>
      </c>
      <c r="D249" s="2" t="s">
        <v>1494</v>
      </c>
      <c r="E249" s="2" t="s">
        <v>35</v>
      </c>
      <c r="F249" s="2" t="s">
        <v>36</v>
      </c>
      <c r="G249" s="2" t="s">
        <v>44</v>
      </c>
      <c r="H249" s="2" t="s">
        <v>1495</v>
      </c>
      <c r="I249" s="3" t="s">
        <v>1496</v>
      </c>
      <c r="J249" s="2" t="s">
        <v>1497</v>
      </c>
      <c r="K249" s="2" t="s">
        <v>1498</v>
      </c>
      <c r="L249" s="4" t="n">
        <v>73</v>
      </c>
      <c r="M249" s="4" t="s">
        <v>43</v>
      </c>
      <c r="N249" s="5" t="n">
        <v>73</v>
      </c>
      <c r="O249" s="6" t="n">
        <v>97</v>
      </c>
      <c r="P249" s="6" t="s">
        <v>54</v>
      </c>
      <c r="Q249" s="7" t="n">
        <v>97</v>
      </c>
      <c r="R249" s="8" t="n">
        <v>88</v>
      </c>
      <c r="S249" s="8" t="s">
        <v>42</v>
      </c>
      <c r="T249" s="9" t="n">
        <v>88</v>
      </c>
      <c r="U249" s="10" t="n">
        <v>83</v>
      </c>
      <c r="V249" s="10" t="s">
        <v>42</v>
      </c>
      <c r="W249" s="11" t="n">
        <v>83</v>
      </c>
      <c r="X249" s="12" t="n">
        <v>96</v>
      </c>
      <c r="Y249" s="12" t="s">
        <v>54</v>
      </c>
      <c r="Z249" s="13" t="n">
        <v>96</v>
      </c>
      <c r="AA249" s="14" t="n">
        <v>60</v>
      </c>
      <c r="AB249" s="14" t="s">
        <v>44</v>
      </c>
      <c r="AC249" s="15" t="n">
        <v>60</v>
      </c>
      <c r="AD249" s="2" t="n">
        <f aca="false">SUM(L249,O249,R249,U249,X249,AA249)</f>
        <v>497</v>
      </c>
      <c r="AE249" s="16" t="n">
        <f aca="false">AD249/6</f>
        <v>82.8333333333333</v>
      </c>
      <c r="AF249" s="2" t="str">
        <f aca="false">IF(SUM(COUNTIF(M249,"RA"),COUNTIF(P249,"RA"),COUNTIF(S249,"RA"),COUNTIF(V249,"RA"),COUNTIF(Y249,"RA"),COUNTIF(AB249,"RA"))&gt;0,"FAIL","PASS")</f>
        <v>PASS</v>
      </c>
    </row>
    <row r="250" customFormat="false" ht="15" hidden="false" customHeight="false" outlineLevel="0" collapsed="false">
      <c r="A250" s="2" t="n">
        <v>249</v>
      </c>
      <c r="B250" s="3" t="s">
        <v>1499</v>
      </c>
      <c r="C250" s="2" t="s">
        <v>912</v>
      </c>
      <c r="D250" s="2" t="s">
        <v>1500</v>
      </c>
      <c r="E250" s="2" t="s">
        <v>35</v>
      </c>
      <c r="F250" s="2" t="s">
        <v>36</v>
      </c>
      <c r="G250" s="2" t="s">
        <v>71</v>
      </c>
      <c r="H250" s="2" t="s">
        <v>1501</v>
      </c>
      <c r="I250" s="3" t="s">
        <v>1502</v>
      </c>
      <c r="J250" s="2" t="s">
        <v>1503</v>
      </c>
      <c r="K250" s="2" t="s">
        <v>1504</v>
      </c>
      <c r="L250" s="4" t="n">
        <v>46</v>
      </c>
      <c r="M250" s="4" t="s">
        <v>45</v>
      </c>
      <c r="N250" s="5" t="n">
        <v>46</v>
      </c>
      <c r="O250" s="6" t="n">
        <v>97</v>
      </c>
      <c r="P250" s="6" t="s">
        <v>54</v>
      </c>
      <c r="Q250" s="7" t="n">
        <v>97</v>
      </c>
      <c r="R250" s="8" t="n">
        <v>73</v>
      </c>
      <c r="S250" s="8" t="s">
        <v>43</v>
      </c>
      <c r="T250" s="9" t="n">
        <v>73</v>
      </c>
      <c r="U250" s="10" t="n">
        <v>77</v>
      </c>
      <c r="V250" s="10" t="s">
        <v>43</v>
      </c>
      <c r="W250" s="11" t="n">
        <v>77</v>
      </c>
      <c r="X250" s="12" t="n">
        <v>99</v>
      </c>
      <c r="Y250" s="12" t="s">
        <v>54</v>
      </c>
      <c r="Z250" s="13" t="n">
        <v>99</v>
      </c>
      <c r="AA250" s="14" t="n">
        <v>85</v>
      </c>
      <c r="AB250" s="14" t="s">
        <v>42</v>
      </c>
      <c r="AC250" s="15" t="n">
        <v>85</v>
      </c>
      <c r="AD250" s="2" t="n">
        <f aca="false">SUM(L250,O250,R250,U250,X250,AA250)</f>
        <v>477</v>
      </c>
      <c r="AE250" s="16" t="n">
        <f aca="false">AD250/6</f>
        <v>79.5</v>
      </c>
      <c r="AF250" s="2" t="str">
        <f aca="false">IF(SUM(COUNTIF(M250,"RA"),COUNTIF(P250,"RA"),COUNTIF(S250,"RA"),COUNTIF(V250,"RA"),COUNTIF(Y250,"RA"),COUNTIF(AB250,"RA"))&gt;0,"FAIL","PASS")</f>
        <v>FAIL</v>
      </c>
    </row>
    <row r="251" customFormat="false" ht="15" hidden="false" customHeight="false" outlineLevel="0" collapsed="false">
      <c r="A251" s="2" t="n">
        <v>250</v>
      </c>
      <c r="B251" s="3" t="s">
        <v>1505</v>
      </c>
      <c r="C251" s="2" t="s">
        <v>770</v>
      </c>
      <c r="D251" s="2" t="s">
        <v>1506</v>
      </c>
      <c r="E251" s="2" t="s">
        <v>57</v>
      </c>
      <c r="F251" s="2" t="s">
        <v>36</v>
      </c>
      <c r="G251" s="2" t="s">
        <v>78</v>
      </c>
      <c r="H251" s="2" t="s">
        <v>1346</v>
      </c>
      <c r="I251" s="3" t="s">
        <v>1507</v>
      </c>
      <c r="J251" s="2" t="s">
        <v>1508</v>
      </c>
      <c r="K251" s="2" t="s">
        <v>1509</v>
      </c>
      <c r="L251" s="4" t="n">
        <v>75</v>
      </c>
      <c r="M251" s="4" t="s">
        <v>43</v>
      </c>
      <c r="N251" s="5" t="n">
        <v>75</v>
      </c>
      <c r="O251" s="6" t="n">
        <v>71</v>
      </c>
      <c r="P251" s="6" t="s">
        <v>43</v>
      </c>
      <c r="Q251" s="7" t="n">
        <v>71</v>
      </c>
      <c r="R251" s="8" t="n">
        <v>88</v>
      </c>
      <c r="S251" s="8" t="s">
        <v>42</v>
      </c>
      <c r="T251" s="9" t="n">
        <v>88</v>
      </c>
      <c r="U251" s="10" t="n">
        <v>71</v>
      </c>
      <c r="V251" s="10" t="s">
        <v>43</v>
      </c>
      <c r="W251" s="11" t="n">
        <v>71</v>
      </c>
      <c r="X251" s="12" t="n">
        <v>60</v>
      </c>
      <c r="Y251" s="12" t="s">
        <v>44</v>
      </c>
      <c r="Z251" s="13" t="n">
        <v>60</v>
      </c>
      <c r="AA251" s="14" t="n">
        <v>75</v>
      </c>
      <c r="AB251" s="14" t="s">
        <v>43</v>
      </c>
      <c r="AC251" s="15" t="n">
        <v>75</v>
      </c>
      <c r="AD251" s="2" t="n">
        <f aca="false">SUM(L251,O251,R251,U251,X251,AA251)</f>
        <v>440</v>
      </c>
      <c r="AE251" s="16" t="n">
        <f aca="false">AD251/6</f>
        <v>73.3333333333333</v>
      </c>
      <c r="AF251" s="2" t="str">
        <f aca="false">IF(SUM(COUNTIF(M251,"RA"),COUNTIF(P251,"RA"),COUNTIF(S251,"RA"),COUNTIF(V251,"RA"),COUNTIF(Y251,"RA"),COUNTIF(AB251,"RA"))&gt;0,"FAIL","PASS")</f>
        <v>PASS</v>
      </c>
    </row>
    <row r="252" customFormat="false" ht="15" hidden="false" customHeight="false" outlineLevel="0" collapsed="false">
      <c r="A252" s="2" t="n">
        <v>251</v>
      </c>
      <c r="B252" s="3" t="s">
        <v>1510</v>
      </c>
      <c r="C252" s="2" t="s">
        <v>770</v>
      </c>
      <c r="D252" s="2" t="s">
        <v>1511</v>
      </c>
      <c r="E252" s="2" t="s">
        <v>57</v>
      </c>
      <c r="F252" s="2" t="s">
        <v>36</v>
      </c>
      <c r="G252" s="2" t="s">
        <v>64</v>
      </c>
      <c r="H252" s="2" t="s">
        <v>1363</v>
      </c>
      <c r="I252" s="3" t="s">
        <v>1512</v>
      </c>
      <c r="J252" s="2" t="s">
        <v>1513</v>
      </c>
      <c r="K252" s="2" t="s">
        <v>1514</v>
      </c>
      <c r="L252" s="4" t="n">
        <v>84</v>
      </c>
      <c r="M252" s="4" t="s">
        <v>42</v>
      </c>
      <c r="N252" s="5" t="n">
        <v>84</v>
      </c>
      <c r="O252" s="6" t="n">
        <v>92</v>
      </c>
      <c r="P252" s="6" t="s">
        <v>54</v>
      </c>
      <c r="Q252" s="7" t="n">
        <v>92</v>
      </c>
      <c r="R252" s="8" t="n">
        <v>93</v>
      </c>
      <c r="S252" s="8" t="s">
        <v>54</v>
      </c>
      <c r="T252" s="9" t="n">
        <v>93</v>
      </c>
      <c r="U252" s="10" t="n">
        <v>81</v>
      </c>
      <c r="V252" s="10" t="s">
        <v>42</v>
      </c>
      <c r="W252" s="11" t="n">
        <v>81</v>
      </c>
      <c r="X252" s="12" t="n">
        <v>94</v>
      </c>
      <c r="Y252" s="12" t="s">
        <v>54</v>
      </c>
      <c r="Z252" s="13" t="n">
        <v>94</v>
      </c>
      <c r="AA252" s="14" t="n">
        <v>77</v>
      </c>
      <c r="AB252" s="14" t="s">
        <v>43</v>
      </c>
      <c r="AC252" s="15" t="n">
        <v>77</v>
      </c>
      <c r="AD252" s="2" t="n">
        <f aca="false">SUM(L252,O252,R252,U252,X252,AA252)</f>
        <v>521</v>
      </c>
      <c r="AE252" s="16" t="n">
        <f aca="false">AD252/6</f>
        <v>86.8333333333333</v>
      </c>
      <c r="AF252" s="2" t="str">
        <f aca="false">IF(SUM(COUNTIF(M252,"RA"),COUNTIF(P252,"RA"),COUNTIF(S252,"RA"),COUNTIF(V252,"RA"),COUNTIF(Y252,"RA"),COUNTIF(AB252,"RA"))&gt;0,"FAIL","PASS")</f>
        <v>PASS</v>
      </c>
    </row>
    <row r="253" customFormat="false" ht="15" hidden="false" customHeight="false" outlineLevel="0" collapsed="false">
      <c r="A253" s="2" t="n">
        <v>252</v>
      </c>
      <c r="B253" s="3" t="s">
        <v>1515</v>
      </c>
      <c r="C253" s="2" t="s">
        <v>750</v>
      </c>
      <c r="D253" s="2" t="s">
        <v>1516</v>
      </c>
      <c r="E253" s="2" t="s">
        <v>57</v>
      </c>
      <c r="F253" s="2" t="s">
        <v>36</v>
      </c>
      <c r="G253" s="2" t="s">
        <v>37</v>
      </c>
      <c r="H253" s="2" t="s">
        <v>1517</v>
      </c>
      <c r="I253" s="3" t="s">
        <v>746</v>
      </c>
      <c r="J253" s="2" t="s">
        <v>1518</v>
      </c>
      <c r="K253" s="2" t="s">
        <v>1519</v>
      </c>
      <c r="L253" s="4" t="n">
        <v>68</v>
      </c>
      <c r="M253" s="4" t="s">
        <v>44</v>
      </c>
      <c r="N253" s="5" t="n">
        <v>68</v>
      </c>
      <c r="O253" s="6" t="n">
        <v>55</v>
      </c>
      <c r="P253" s="6" t="s">
        <v>53</v>
      </c>
      <c r="Q253" s="7" t="n">
        <v>55</v>
      </c>
      <c r="R253" s="8" t="n">
        <v>66</v>
      </c>
      <c r="S253" s="8" t="s">
        <v>44</v>
      </c>
      <c r="T253" s="9" t="n">
        <v>66</v>
      </c>
      <c r="U253" s="10" t="n">
        <v>70</v>
      </c>
      <c r="V253" s="10" t="s">
        <v>43</v>
      </c>
      <c r="W253" s="11" t="n">
        <v>70</v>
      </c>
      <c r="X253" s="12" t="n">
        <v>65</v>
      </c>
      <c r="Y253" s="12" t="s">
        <v>44</v>
      </c>
      <c r="Z253" s="13" t="n">
        <v>65</v>
      </c>
      <c r="AA253" s="14" t="n">
        <v>84</v>
      </c>
      <c r="AB253" s="14" t="s">
        <v>42</v>
      </c>
      <c r="AC253" s="15" t="n">
        <v>84</v>
      </c>
      <c r="AD253" s="2" t="n">
        <f aca="false">SUM(L253,O253,R253,U253,X253,AA253)</f>
        <v>408</v>
      </c>
      <c r="AE253" s="16" t="n">
        <f aca="false">AD253/6</f>
        <v>68</v>
      </c>
      <c r="AF253" s="2" t="str">
        <f aca="false">IF(SUM(COUNTIF(M253,"RA"),COUNTIF(P253,"RA"),COUNTIF(S253,"RA"),COUNTIF(V253,"RA"),COUNTIF(Y253,"RA"),COUNTIF(AB253,"RA"))&gt;0,"FAIL","PASS")</f>
        <v>PASS</v>
      </c>
    </row>
    <row r="254" customFormat="false" ht="15" hidden="false" customHeight="false" outlineLevel="0" collapsed="false">
      <c r="A254" s="2" t="n">
        <v>253</v>
      </c>
      <c r="B254" s="3" t="s">
        <v>1520</v>
      </c>
      <c r="C254" s="2" t="s">
        <v>750</v>
      </c>
      <c r="D254" s="2" t="s">
        <v>1521</v>
      </c>
      <c r="E254" s="2" t="s">
        <v>57</v>
      </c>
      <c r="F254" s="2" t="s">
        <v>36</v>
      </c>
      <c r="G254" s="2" t="s">
        <v>44</v>
      </c>
      <c r="H254" s="2" t="s">
        <v>1102</v>
      </c>
      <c r="I254" s="3" t="s">
        <v>1522</v>
      </c>
      <c r="J254" s="2" t="s">
        <v>1523</v>
      </c>
      <c r="K254" s="2" t="s">
        <v>1524</v>
      </c>
      <c r="L254" s="4" t="n">
        <v>69</v>
      </c>
      <c r="M254" s="4" t="s">
        <v>44</v>
      </c>
      <c r="N254" s="5" t="n">
        <v>69</v>
      </c>
      <c r="O254" s="6" t="n">
        <v>79</v>
      </c>
      <c r="P254" s="6" t="s">
        <v>43</v>
      </c>
      <c r="Q254" s="7" t="n">
        <v>79</v>
      </c>
      <c r="R254" s="8" t="n">
        <v>78</v>
      </c>
      <c r="S254" s="8" t="s">
        <v>43</v>
      </c>
      <c r="T254" s="9" t="n">
        <v>78</v>
      </c>
      <c r="U254" s="10" t="n">
        <v>96</v>
      </c>
      <c r="V254" s="10" t="s">
        <v>54</v>
      </c>
      <c r="W254" s="11" t="n">
        <v>96</v>
      </c>
      <c r="X254" s="12" t="n">
        <v>69</v>
      </c>
      <c r="Y254" s="12" t="s">
        <v>44</v>
      </c>
      <c r="Z254" s="13" t="n">
        <v>69</v>
      </c>
      <c r="AA254" s="14" t="n">
        <v>81</v>
      </c>
      <c r="AB254" s="14" t="s">
        <v>42</v>
      </c>
      <c r="AC254" s="15" t="n">
        <v>81</v>
      </c>
      <c r="AD254" s="2" t="n">
        <f aca="false">SUM(L254,O254,R254,U254,X254,AA254)</f>
        <v>472</v>
      </c>
      <c r="AE254" s="16" t="n">
        <f aca="false">AD254/6</f>
        <v>78.6666666666667</v>
      </c>
      <c r="AF254" s="2" t="str">
        <f aca="false">IF(SUM(COUNTIF(M254,"RA"),COUNTIF(P254,"RA"),COUNTIF(S254,"RA"),COUNTIF(V254,"RA"),COUNTIF(Y254,"RA"),COUNTIF(AB254,"RA"))&gt;0,"FAIL","PASS")</f>
        <v>PASS</v>
      </c>
    </row>
    <row r="255" customFormat="false" ht="15" hidden="false" customHeight="false" outlineLevel="0" collapsed="false">
      <c r="A255" s="2" t="n">
        <v>254</v>
      </c>
      <c r="B255" s="3" t="s">
        <v>1525</v>
      </c>
      <c r="C255" s="2" t="s">
        <v>770</v>
      </c>
      <c r="D255" s="2" t="s">
        <v>1526</v>
      </c>
      <c r="E255" s="2" t="s">
        <v>57</v>
      </c>
      <c r="F255" s="2" t="s">
        <v>36</v>
      </c>
      <c r="G255" s="2" t="s">
        <v>64</v>
      </c>
      <c r="H255" s="2" t="s">
        <v>1527</v>
      </c>
      <c r="I255" s="3" t="s">
        <v>1528</v>
      </c>
      <c r="J255" s="2" t="s">
        <v>1529</v>
      </c>
      <c r="K255" s="2" t="s">
        <v>1530</v>
      </c>
      <c r="L255" s="4" t="n">
        <v>96</v>
      </c>
      <c r="M255" s="4" t="s">
        <v>54</v>
      </c>
      <c r="N255" s="5" t="n">
        <v>96</v>
      </c>
      <c r="O255" s="6" t="n">
        <v>68</v>
      </c>
      <c r="P255" s="6" t="s">
        <v>44</v>
      </c>
      <c r="Q255" s="7" t="n">
        <v>68</v>
      </c>
      <c r="R255" s="8" t="n">
        <v>69</v>
      </c>
      <c r="S255" s="8" t="s">
        <v>44</v>
      </c>
      <c r="T255" s="9" t="n">
        <v>69</v>
      </c>
      <c r="U255" s="10" t="n">
        <v>64</v>
      </c>
      <c r="V255" s="10" t="s">
        <v>44</v>
      </c>
      <c r="W255" s="11" t="n">
        <v>64</v>
      </c>
      <c r="X255" s="12" t="n">
        <v>70</v>
      </c>
      <c r="Y255" s="12" t="s">
        <v>43</v>
      </c>
      <c r="Z255" s="13" t="n">
        <v>70</v>
      </c>
      <c r="AA255" s="14" t="n">
        <v>92</v>
      </c>
      <c r="AB255" s="14" t="s">
        <v>54</v>
      </c>
      <c r="AC255" s="15" t="n">
        <v>92</v>
      </c>
      <c r="AD255" s="2" t="n">
        <f aca="false">SUM(L255,O255,R255,U255,X255,AA255)</f>
        <v>459</v>
      </c>
      <c r="AE255" s="16" t="n">
        <f aca="false">AD255/6</f>
        <v>76.5</v>
      </c>
      <c r="AF255" s="2" t="str">
        <f aca="false">IF(SUM(COUNTIF(M255,"RA"),COUNTIF(P255,"RA"),COUNTIF(S255,"RA"),COUNTIF(V255,"RA"),COUNTIF(Y255,"RA"),COUNTIF(AB255,"RA"))&gt;0,"FAIL","PASS")</f>
        <v>PASS</v>
      </c>
    </row>
    <row r="256" customFormat="false" ht="15" hidden="false" customHeight="false" outlineLevel="0" collapsed="false">
      <c r="A256" s="2" t="n">
        <v>255</v>
      </c>
      <c r="B256" s="3" t="s">
        <v>1531</v>
      </c>
      <c r="C256" s="2" t="s">
        <v>783</v>
      </c>
      <c r="D256" s="2" t="s">
        <v>1532</v>
      </c>
      <c r="E256" s="2" t="s">
        <v>57</v>
      </c>
      <c r="F256" s="2" t="s">
        <v>36</v>
      </c>
      <c r="G256" s="2" t="s">
        <v>42</v>
      </c>
      <c r="H256" s="2" t="s">
        <v>1533</v>
      </c>
      <c r="I256" s="3" t="s">
        <v>1534</v>
      </c>
      <c r="J256" s="2" t="s">
        <v>1535</v>
      </c>
      <c r="K256" s="2" t="s">
        <v>1536</v>
      </c>
      <c r="L256" s="4" t="n">
        <v>80</v>
      </c>
      <c r="M256" s="4" t="s">
        <v>42</v>
      </c>
      <c r="N256" s="5" t="n">
        <v>80</v>
      </c>
      <c r="O256" s="6" t="n">
        <v>91</v>
      </c>
      <c r="P256" s="6" t="s">
        <v>54</v>
      </c>
      <c r="Q256" s="7" t="n">
        <v>91</v>
      </c>
      <c r="R256" s="8" t="n">
        <v>73</v>
      </c>
      <c r="S256" s="8" t="s">
        <v>43</v>
      </c>
      <c r="T256" s="9" t="n">
        <v>73</v>
      </c>
      <c r="U256" s="10" t="n">
        <v>94</v>
      </c>
      <c r="V256" s="10" t="s">
        <v>54</v>
      </c>
      <c r="W256" s="11" t="n">
        <v>94</v>
      </c>
      <c r="X256" s="12" t="n">
        <v>54</v>
      </c>
      <c r="Y256" s="12" t="s">
        <v>53</v>
      </c>
      <c r="Z256" s="13" t="n">
        <v>54</v>
      </c>
      <c r="AA256" s="14" t="n">
        <v>77</v>
      </c>
      <c r="AB256" s="14" t="s">
        <v>43</v>
      </c>
      <c r="AC256" s="15" t="n">
        <v>77</v>
      </c>
      <c r="AD256" s="2" t="n">
        <f aca="false">SUM(L256,O256,R256,U256,X256,AA256)</f>
        <v>469</v>
      </c>
      <c r="AE256" s="16" t="n">
        <f aca="false">AD256/6</f>
        <v>78.1666666666667</v>
      </c>
      <c r="AF256" s="2" t="str">
        <f aca="false">IF(SUM(COUNTIF(M256,"RA"),COUNTIF(P256,"RA"),COUNTIF(S256,"RA"),COUNTIF(V256,"RA"),COUNTIF(Y256,"RA"),COUNTIF(AB256,"RA"))&gt;0,"FAIL","PASS")</f>
        <v>PASS</v>
      </c>
    </row>
    <row r="257" customFormat="false" ht="15" hidden="false" customHeight="false" outlineLevel="0" collapsed="false">
      <c r="A257" s="2" t="n">
        <v>256</v>
      </c>
      <c r="B257" s="3" t="s">
        <v>1537</v>
      </c>
      <c r="C257" s="2" t="s">
        <v>912</v>
      </c>
      <c r="D257" s="2" t="s">
        <v>1538</v>
      </c>
      <c r="E257" s="2" t="s">
        <v>57</v>
      </c>
      <c r="F257" s="2" t="s">
        <v>36</v>
      </c>
      <c r="G257" s="2" t="s">
        <v>91</v>
      </c>
      <c r="H257" s="2" t="s">
        <v>1539</v>
      </c>
      <c r="I257" s="3" t="s">
        <v>1540</v>
      </c>
      <c r="J257" s="2" t="s">
        <v>1541</v>
      </c>
      <c r="K257" s="2" t="s">
        <v>1542</v>
      </c>
      <c r="L257" s="4" t="n">
        <v>83</v>
      </c>
      <c r="M257" s="4" t="s">
        <v>42</v>
      </c>
      <c r="N257" s="5" t="n">
        <v>83</v>
      </c>
      <c r="O257" s="6" t="n">
        <v>82</v>
      </c>
      <c r="P257" s="6" t="s">
        <v>42</v>
      </c>
      <c r="Q257" s="7" t="n">
        <v>82</v>
      </c>
      <c r="R257" s="8" t="n">
        <v>64</v>
      </c>
      <c r="S257" s="8" t="s">
        <v>44</v>
      </c>
      <c r="T257" s="9" t="n">
        <v>64</v>
      </c>
      <c r="U257" s="10" t="n">
        <v>82</v>
      </c>
      <c r="V257" s="10" t="s">
        <v>42</v>
      </c>
      <c r="W257" s="11" t="n">
        <v>82</v>
      </c>
      <c r="X257" s="12" t="n">
        <v>76</v>
      </c>
      <c r="Y257" s="12" t="s">
        <v>43</v>
      </c>
      <c r="Z257" s="13" t="n">
        <v>76</v>
      </c>
      <c r="AA257" s="14" t="n">
        <v>66</v>
      </c>
      <c r="AB257" s="14" t="s">
        <v>44</v>
      </c>
      <c r="AC257" s="15" t="n">
        <v>66</v>
      </c>
      <c r="AD257" s="2" t="n">
        <f aca="false">SUM(L257,O257,R257,U257,X257,AA257)</f>
        <v>453</v>
      </c>
      <c r="AE257" s="16" t="n">
        <f aca="false">AD257/6</f>
        <v>75.5</v>
      </c>
      <c r="AF257" s="2" t="str">
        <f aca="false">IF(SUM(COUNTIF(M257,"RA"),COUNTIF(P257,"RA"),COUNTIF(S257,"RA"),COUNTIF(V257,"RA"),COUNTIF(Y257,"RA"),COUNTIF(AB257,"RA"))&gt;0,"FAIL","PASS")</f>
        <v>PASS</v>
      </c>
    </row>
    <row r="258" customFormat="false" ht="15" hidden="false" customHeight="false" outlineLevel="0" collapsed="false">
      <c r="A258" s="2" t="n">
        <v>257</v>
      </c>
      <c r="B258" s="3" t="s">
        <v>1543</v>
      </c>
      <c r="C258" s="2" t="s">
        <v>757</v>
      </c>
      <c r="D258" s="2" t="s">
        <v>1544</v>
      </c>
      <c r="E258" s="2" t="s">
        <v>35</v>
      </c>
      <c r="F258" s="2" t="s">
        <v>36</v>
      </c>
      <c r="G258" s="2" t="s">
        <v>37</v>
      </c>
      <c r="H258" s="2" t="s">
        <v>1545</v>
      </c>
      <c r="I258" s="3" t="s">
        <v>988</v>
      </c>
      <c r="J258" s="2" t="s">
        <v>1546</v>
      </c>
      <c r="K258" s="2" t="s">
        <v>1547</v>
      </c>
      <c r="L258" s="4" t="n">
        <v>91</v>
      </c>
      <c r="M258" s="4" t="s">
        <v>54</v>
      </c>
      <c r="N258" s="5" t="n">
        <v>91</v>
      </c>
      <c r="O258" s="6" t="n">
        <v>93</v>
      </c>
      <c r="P258" s="6" t="s">
        <v>54</v>
      </c>
      <c r="Q258" s="7" t="n">
        <v>93</v>
      </c>
      <c r="R258" s="8" t="n">
        <v>63</v>
      </c>
      <c r="S258" s="8" t="s">
        <v>44</v>
      </c>
      <c r="T258" s="9" t="n">
        <v>63</v>
      </c>
      <c r="U258" s="10" t="n">
        <v>99</v>
      </c>
      <c r="V258" s="10" t="s">
        <v>54</v>
      </c>
      <c r="W258" s="11" t="n">
        <v>99</v>
      </c>
      <c r="X258" s="12" t="n">
        <v>48</v>
      </c>
      <c r="Y258" s="12" t="s">
        <v>45</v>
      </c>
      <c r="Z258" s="13" t="n">
        <v>48</v>
      </c>
      <c r="AA258" s="14" t="n">
        <v>47</v>
      </c>
      <c r="AB258" s="14" t="s">
        <v>45</v>
      </c>
      <c r="AC258" s="15" t="n">
        <v>47</v>
      </c>
      <c r="AD258" s="2" t="n">
        <f aca="false">SUM(L258,O258,R258,U258,X258,AA258)</f>
        <v>441</v>
      </c>
      <c r="AE258" s="16" t="n">
        <f aca="false">AD258/6</f>
        <v>73.5</v>
      </c>
      <c r="AF258" s="2" t="str">
        <f aca="false">IF(SUM(COUNTIF(M258,"RA"),COUNTIF(P258,"RA"),COUNTIF(S258,"RA"),COUNTIF(V258,"RA"),COUNTIF(Y258,"RA"),COUNTIF(AB258,"RA"))&gt;0,"FAIL","PASS")</f>
        <v>FAIL</v>
      </c>
    </row>
    <row r="259" customFormat="false" ht="15" hidden="false" customHeight="false" outlineLevel="0" collapsed="false">
      <c r="A259" s="2" t="n">
        <v>258</v>
      </c>
      <c r="B259" s="3" t="s">
        <v>1548</v>
      </c>
      <c r="C259" s="2" t="s">
        <v>750</v>
      </c>
      <c r="D259" s="2" t="s">
        <v>1549</v>
      </c>
      <c r="E259" s="2" t="s">
        <v>57</v>
      </c>
      <c r="F259" s="2" t="s">
        <v>36</v>
      </c>
      <c r="G259" s="2" t="s">
        <v>42</v>
      </c>
      <c r="H259" s="2" t="s">
        <v>1550</v>
      </c>
      <c r="I259" s="3" t="s">
        <v>1551</v>
      </c>
      <c r="J259" s="2" t="s">
        <v>1552</v>
      </c>
      <c r="K259" s="2" t="s">
        <v>1553</v>
      </c>
      <c r="L259" s="4" t="n">
        <v>88</v>
      </c>
      <c r="M259" s="4" t="s">
        <v>42</v>
      </c>
      <c r="N259" s="5" t="n">
        <v>88</v>
      </c>
      <c r="O259" s="6" t="n">
        <v>78</v>
      </c>
      <c r="P259" s="6" t="s">
        <v>43</v>
      </c>
      <c r="Q259" s="7" t="n">
        <v>78</v>
      </c>
      <c r="R259" s="8" t="n">
        <v>83</v>
      </c>
      <c r="S259" s="8" t="s">
        <v>42</v>
      </c>
      <c r="T259" s="9" t="n">
        <v>83</v>
      </c>
      <c r="U259" s="10" t="n">
        <v>73</v>
      </c>
      <c r="V259" s="10" t="s">
        <v>43</v>
      </c>
      <c r="W259" s="11" t="n">
        <v>73</v>
      </c>
      <c r="X259" s="12" t="n">
        <v>88</v>
      </c>
      <c r="Y259" s="12" t="s">
        <v>42</v>
      </c>
      <c r="Z259" s="13" t="n">
        <v>88</v>
      </c>
      <c r="AA259" s="14" t="n">
        <v>67</v>
      </c>
      <c r="AB259" s="14" t="s">
        <v>44</v>
      </c>
      <c r="AC259" s="15" t="n">
        <v>67</v>
      </c>
      <c r="AD259" s="2" t="n">
        <f aca="false">SUM(L259,O259,R259,U259,X259,AA259)</f>
        <v>477</v>
      </c>
      <c r="AE259" s="16" t="n">
        <f aca="false">AD259/6</f>
        <v>79.5</v>
      </c>
      <c r="AF259" s="2" t="str">
        <f aca="false">IF(SUM(COUNTIF(M259,"RA"),COUNTIF(P259,"RA"),COUNTIF(S259,"RA"),COUNTIF(V259,"RA"),COUNTIF(Y259,"RA"),COUNTIF(AB259,"RA"))&gt;0,"FAIL","PASS")</f>
        <v>PASS</v>
      </c>
    </row>
    <row r="260" customFormat="false" ht="15" hidden="false" customHeight="false" outlineLevel="0" collapsed="false">
      <c r="A260" s="2" t="n">
        <v>259</v>
      </c>
      <c r="B260" s="3" t="s">
        <v>1554</v>
      </c>
      <c r="C260" s="2" t="s">
        <v>757</v>
      </c>
      <c r="D260" s="2" t="s">
        <v>1555</v>
      </c>
      <c r="E260" s="2" t="s">
        <v>35</v>
      </c>
      <c r="F260" s="2" t="s">
        <v>36</v>
      </c>
      <c r="G260" s="2" t="s">
        <v>91</v>
      </c>
      <c r="H260" s="2" t="s">
        <v>1484</v>
      </c>
      <c r="I260" s="3" t="s">
        <v>379</v>
      </c>
      <c r="J260" s="2" t="s">
        <v>1556</v>
      </c>
      <c r="K260" s="2" t="s">
        <v>1557</v>
      </c>
      <c r="L260" s="4" t="n">
        <v>82</v>
      </c>
      <c r="M260" s="4" t="s">
        <v>42</v>
      </c>
      <c r="N260" s="5" t="n">
        <v>82</v>
      </c>
      <c r="O260" s="6" t="n">
        <v>77</v>
      </c>
      <c r="P260" s="6" t="s">
        <v>43</v>
      </c>
      <c r="Q260" s="7" t="n">
        <v>77</v>
      </c>
      <c r="R260" s="8" t="n">
        <v>78</v>
      </c>
      <c r="S260" s="8" t="s">
        <v>43</v>
      </c>
      <c r="T260" s="9" t="n">
        <v>78</v>
      </c>
      <c r="U260" s="10" t="n">
        <v>91</v>
      </c>
      <c r="V260" s="10" t="s">
        <v>54</v>
      </c>
      <c r="W260" s="11" t="n">
        <v>91</v>
      </c>
      <c r="X260" s="12" t="n">
        <v>93</v>
      </c>
      <c r="Y260" s="12" t="s">
        <v>54</v>
      </c>
      <c r="Z260" s="13" t="n">
        <v>93</v>
      </c>
      <c r="AA260" s="14" t="n">
        <v>81</v>
      </c>
      <c r="AB260" s="14" t="s">
        <v>42</v>
      </c>
      <c r="AC260" s="15" t="n">
        <v>81</v>
      </c>
      <c r="AD260" s="2" t="n">
        <f aca="false">SUM(L260,O260,R260,U260,X260,AA260)</f>
        <v>502</v>
      </c>
      <c r="AE260" s="16" t="n">
        <f aca="false">AD260/6</f>
        <v>83.6666666666667</v>
      </c>
      <c r="AF260" s="2" t="str">
        <f aca="false">IF(SUM(COUNTIF(M260,"RA"),COUNTIF(P260,"RA"),COUNTIF(S260,"RA"),COUNTIF(V260,"RA"),COUNTIF(Y260,"RA"),COUNTIF(AB260,"RA"))&gt;0,"FAIL","PASS")</f>
        <v>PASS</v>
      </c>
    </row>
    <row r="261" customFormat="false" ht="15" hidden="false" customHeight="false" outlineLevel="0" collapsed="false">
      <c r="A261" s="2" t="n">
        <v>260</v>
      </c>
      <c r="B261" s="3" t="s">
        <v>1558</v>
      </c>
      <c r="C261" s="2" t="s">
        <v>841</v>
      </c>
      <c r="D261" s="2" t="s">
        <v>1559</v>
      </c>
      <c r="E261" s="2" t="s">
        <v>35</v>
      </c>
      <c r="F261" s="2" t="s">
        <v>36</v>
      </c>
      <c r="G261" s="2" t="s">
        <v>64</v>
      </c>
      <c r="H261" s="2" t="s">
        <v>1560</v>
      </c>
      <c r="I261" s="3" t="s">
        <v>1561</v>
      </c>
      <c r="J261" s="2" t="s">
        <v>1562</v>
      </c>
      <c r="K261" s="2" t="s">
        <v>1563</v>
      </c>
      <c r="L261" s="4" t="n">
        <v>46</v>
      </c>
      <c r="M261" s="4" t="s">
        <v>45</v>
      </c>
      <c r="N261" s="5" t="n">
        <v>46</v>
      </c>
      <c r="O261" s="6" t="n">
        <v>95</v>
      </c>
      <c r="P261" s="6" t="s">
        <v>54</v>
      </c>
      <c r="Q261" s="7" t="n">
        <v>95</v>
      </c>
      <c r="R261" s="8" t="n">
        <v>86</v>
      </c>
      <c r="S261" s="8" t="s">
        <v>42</v>
      </c>
      <c r="T261" s="9" t="n">
        <v>86</v>
      </c>
      <c r="U261" s="10" t="n">
        <v>62</v>
      </c>
      <c r="V261" s="10" t="s">
        <v>44</v>
      </c>
      <c r="W261" s="11" t="n">
        <v>62</v>
      </c>
      <c r="X261" s="12" t="n">
        <v>88</v>
      </c>
      <c r="Y261" s="12" t="s">
        <v>42</v>
      </c>
      <c r="Z261" s="13" t="n">
        <v>88</v>
      </c>
      <c r="AA261" s="14" t="n">
        <v>62</v>
      </c>
      <c r="AB261" s="14" t="s">
        <v>44</v>
      </c>
      <c r="AC261" s="15" t="n">
        <v>62</v>
      </c>
      <c r="AD261" s="2" t="n">
        <f aca="false">SUM(L261,O261,R261,U261,X261,AA261)</f>
        <v>439</v>
      </c>
      <c r="AE261" s="16" t="n">
        <f aca="false">AD261/6</f>
        <v>73.1666666666667</v>
      </c>
      <c r="AF261" s="2" t="str">
        <f aca="false">IF(SUM(COUNTIF(M261,"RA"),COUNTIF(P261,"RA"),COUNTIF(S261,"RA"),COUNTIF(V261,"RA"),COUNTIF(Y261,"RA"),COUNTIF(AB261,"RA"))&gt;0,"FAIL","PASS")</f>
        <v>FAIL</v>
      </c>
    </row>
    <row r="262" customFormat="false" ht="15" hidden="false" customHeight="false" outlineLevel="0" collapsed="false">
      <c r="A262" s="2" t="n">
        <v>261</v>
      </c>
      <c r="B262" s="3" t="s">
        <v>1564</v>
      </c>
      <c r="C262" s="2" t="s">
        <v>750</v>
      </c>
      <c r="D262" s="2" t="s">
        <v>1565</v>
      </c>
      <c r="E262" s="2" t="s">
        <v>57</v>
      </c>
      <c r="F262" s="2" t="s">
        <v>36</v>
      </c>
      <c r="G262" s="2" t="s">
        <v>91</v>
      </c>
      <c r="H262" s="2" t="s">
        <v>1566</v>
      </c>
      <c r="I262" s="3" t="s">
        <v>1567</v>
      </c>
      <c r="J262" s="2" t="s">
        <v>1568</v>
      </c>
      <c r="K262" s="2" t="s">
        <v>1569</v>
      </c>
      <c r="L262" s="4" t="n">
        <v>48</v>
      </c>
      <c r="M262" s="4" t="s">
        <v>45</v>
      </c>
      <c r="N262" s="5" t="n">
        <v>48</v>
      </c>
      <c r="O262" s="6" t="n">
        <v>40</v>
      </c>
      <c r="P262" s="6" t="s">
        <v>45</v>
      </c>
      <c r="Q262" s="7" t="n">
        <v>40</v>
      </c>
      <c r="R262" s="8" t="n">
        <v>85</v>
      </c>
      <c r="S262" s="8" t="s">
        <v>42</v>
      </c>
      <c r="T262" s="9" t="n">
        <v>85</v>
      </c>
      <c r="U262" s="10" t="n">
        <v>56</v>
      </c>
      <c r="V262" s="10" t="s">
        <v>53</v>
      </c>
      <c r="W262" s="11" t="n">
        <v>56</v>
      </c>
      <c r="X262" s="12" t="n">
        <v>75</v>
      </c>
      <c r="Y262" s="12" t="s">
        <v>43</v>
      </c>
      <c r="Z262" s="13" t="n">
        <v>75</v>
      </c>
      <c r="AA262" s="14" t="n">
        <v>95</v>
      </c>
      <c r="AB262" s="14" t="s">
        <v>54</v>
      </c>
      <c r="AC262" s="15" t="n">
        <v>95</v>
      </c>
      <c r="AD262" s="2" t="n">
        <f aca="false">SUM(L262,O262,R262,U262,X262,AA262)</f>
        <v>399</v>
      </c>
      <c r="AE262" s="16" t="n">
        <f aca="false">AD262/6</f>
        <v>66.5</v>
      </c>
      <c r="AF262" s="2" t="str">
        <f aca="false">IF(SUM(COUNTIF(M262,"RA"),COUNTIF(P262,"RA"),COUNTIF(S262,"RA"),COUNTIF(V262,"RA"),COUNTIF(Y262,"RA"),COUNTIF(AB262,"RA"))&gt;0,"FAIL","PASS")</f>
        <v>FAIL</v>
      </c>
    </row>
    <row r="263" customFormat="false" ht="15" hidden="false" customHeight="false" outlineLevel="0" collapsed="false">
      <c r="A263" s="2" t="n">
        <v>262</v>
      </c>
      <c r="B263" s="3" t="s">
        <v>1570</v>
      </c>
      <c r="C263" s="2" t="s">
        <v>816</v>
      </c>
      <c r="D263" s="2" t="s">
        <v>1571</v>
      </c>
      <c r="E263" s="2" t="s">
        <v>35</v>
      </c>
      <c r="F263" s="2" t="s">
        <v>36</v>
      </c>
      <c r="G263" s="2" t="s">
        <v>71</v>
      </c>
      <c r="H263" s="2" t="s">
        <v>1572</v>
      </c>
      <c r="I263" s="3" t="s">
        <v>1573</v>
      </c>
      <c r="J263" s="2" t="s">
        <v>1574</v>
      </c>
      <c r="K263" s="2" t="s">
        <v>1575</v>
      </c>
      <c r="L263" s="4" t="n">
        <v>86</v>
      </c>
      <c r="M263" s="4" t="s">
        <v>42</v>
      </c>
      <c r="N263" s="5" t="n">
        <v>86</v>
      </c>
      <c r="O263" s="6" t="n">
        <v>77</v>
      </c>
      <c r="P263" s="6" t="s">
        <v>43</v>
      </c>
      <c r="Q263" s="7" t="n">
        <v>77</v>
      </c>
      <c r="R263" s="8" t="n">
        <v>84</v>
      </c>
      <c r="S263" s="8" t="s">
        <v>42</v>
      </c>
      <c r="T263" s="9" t="n">
        <v>84</v>
      </c>
      <c r="U263" s="10" t="n">
        <v>77</v>
      </c>
      <c r="V263" s="10" t="s">
        <v>43</v>
      </c>
      <c r="W263" s="11" t="n">
        <v>77</v>
      </c>
      <c r="X263" s="12" t="n">
        <v>94</v>
      </c>
      <c r="Y263" s="12" t="s">
        <v>54</v>
      </c>
      <c r="Z263" s="13" t="n">
        <v>94</v>
      </c>
      <c r="AA263" s="14" t="n">
        <v>80</v>
      </c>
      <c r="AB263" s="14" t="s">
        <v>42</v>
      </c>
      <c r="AC263" s="15" t="n">
        <v>80</v>
      </c>
      <c r="AD263" s="2" t="n">
        <f aca="false">SUM(L263,O263,R263,U263,X263,AA263)</f>
        <v>498</v>
      </c>
      <c r="AE263" s="16" t="n">
        <f aca="false">AD263/6</f>
        <v>83</v>
      </c>
      <c r="AF263" s="2" t="str">
        <f aca="false">IF(SUM(COUNTIF(M263,"RA"),COUNTIF(P263,"RA"),COUNTIF(S263,"RA"),COUNTIF(V263,"RA"),COUNTIF(Y263,"RA"),COUNTIF(AB263,"RA"))&gt;0,"FAIL","PASS")</f>
        <v>PASS</v>
      </c>
    </row>
    <row r="264" customFormat="false" ht="15" hidden="false" customHeight="false" outlineLevel="0" collapsed="false">
      <c r="A264" s="2" t="n">
        <v>263</v>
      </c>
      <c r="B264" s="3" t="s">
        <v>1576</v>
      </c>
      <c r="C264" s="2" t="s">
        <v>859</v>
      </c>
      <c r="D264" s="2" t="s">
        <v>1577</v>
      </c>
      <c r="E264" s="2" t="s">
        <v>57</v>
      </c>
      <c r="F264" s="2" t="s">
        <v>36</v>
      </c>
      <c r="G264" s="2" t="s">
        <v>44</v>
      </c>
      <c r="H264" s="2" t="s">
        <v>146</v>
      </c>
      <c r="I264" s="3" t="s">
        <v>1578</v>
      </c>
      <c r="J264" s="2" t="s">
        <v>1579</v>
      </c>
      <c r="K264" s="2" t="s">
        <v>1580</v>
      </c>
      <c r="L264" s="4" t="n">
        <v>77</v>
      </c>
      <c r="M264" s="4" t="s">
        <v>43</v>
      </c>
      <c r="N264" s="5" t="n">
        <v>77</v>
      </c>
      <c r="O264" s="6" t="n">
        <v>53</v>
      </c>
      <c r="P264" s="6" t="s">
        <v>53</v>
      </c>
      <c r="Q264" s="7" t="n">
        <v>53</v>
      </c>
      <c r="R264" s="8" t="n">
        <v>95</v>
      </c>
      <c r="S264" s="8" t="s">
        <v>54</v>
      </c>
      <c r="T264" s="9" t="n">
        <v>95</v>
      </c>
      <c r="U264" s="10" t="n">
        <v>43</v>
      </c>
      <c r="V264" s="10" t="s">
        <v>45</v>
      </c>
      <c r="W264" s="11" t="n">
        <v>43</v>
      </c>
      <c r="X264" s="12" t="n">
        <v>51</v>
      </c>
      <c r="Y264" s="12" t="s">
        <v>53</v>
      </c>
      <c r="Z264" s="13" t="n">
        <v>51</v>
      </c>
      <c r="AA264" s="14" t="n">
        <v>77</v>
      </c>
      <c r="AB264" s="14" t="s">
        <v>43</v>
      </c>
      <c r="AC264" s="15" t="n">
        <v>77</v>
      </c>
      <c r="AD264" s="2" t="n">
        <f aca="false">SUM(L264,O264,R264,U264,X264,AA264)</f>
        <v>396</v>
      </c>
      <c r="AE264" s="16" t="n">
        <f aca="false">AD264/6</f>
        <v>66</v>
      </c>
      <c r="AF264" s="2" t="str">
        <f aca="false">IF(SUM(COUNTIF(M264,"RA"),COUNTIF(P264,"RA"),COUNTIF(S264,"RA"),COUNTIF(V264,"RA"),COUNTIF(Y264,"RA"),COUNTIF(AB264,"RA"))&gt;0,"FAIL","PASS")</f>
        <v>FAIL</v>
      </c>
    </row>
    <row r="265" customFormat="false" ht="15" hidden="false" customHeight="false" outlineLevel="0" collapsed="false">
      <c r="A265" s="2" t="n">
        <v>264</v>
      </c>
      <c r="B265" s="3" t="s">
        <v>1581</v>
      </c>
      <c r="C265" s="2" t="s">
        <v>770</v>
      </c>
      <c r="D265" s="2" t="s">
        <v>1582</v>
      </c>
      <c r="E265" s="2" t="s">
        <v>57</v>
      </c>
      <c r="F265" s="2" t="s">
        <v>36</v>
      </c>
      <c r="G265" s="2" t="s">
        <v>37</v>
      </c>
      <c r="H265" s="2" t="s">
        <v>1583</v>
      </c>
      <c r="I265" s="3" t="s">
        <v>1584</v>
      </c>
      <c r="J265" s="2" t="s">
        <v>1585</v>
      </c>
      <c r="K265" s="2" t="s">
        <v>1586</v>
      </c>
      <c r="L265" s="4" t="n">
        <v>70</v>
      </c>
      <c r="M265" s="4" t="s">
        <v>43</v>
      </c>
      <c r="N265" s="5" t="n">
        <v>70</v>
      </c>
      <c r="O265" s="6" t="n">
        <v>50</v>
      </c>
      <c r="P265" s="6" t="s">
        <v>53</v>
      </c>
      <c r="Q265" s="7" t="n">
        <v>50</v>
      </c>
      <c r="R265" s="8" t="n">
        <v>68</v>
      </c>
      <c r="S265" s="8" t="s">
        <v>44</v>
      </c>
      <c r="T265" s="9" t="n">
        <v>68</v>
      </c>
      <c r="U265" s="10" t="n">
        <v>65</v>
      </c>
      <c r="V265" s="10" t="s">
        <v>44</v>
      </c>
      <c r="W265" s="11" t="n">
        <v>65</v>
      </c>
      <c r="X265" s="12" t="n">
        <v>71</v>
      </c>
      <c r="Y265" s="12" t="s">
        <v>43</v>
      </c>
      <c r="Z265" s="13" t="n">
        <v>71</v>
      </c>
      <c r="AA265" s="14" t="n">
        <v>76</v>
      </c>
      <c r="AB265" s="14" t="s">
        <v>43</v>
      </c>
      <c r="AC265" s="15" t="n">
        <v>76</v>
      </c>
      <c r="AD265" s="2" t="n">
        <f aca="false">SUM(L265,O265,R265,U265,X265,AA265)</f>
        <v>400</v>
      </c>
      <c r="AE265" s="16" t="n">
        <f aca="false">AD265/6</f>
        <v>66.6666666666667</v>
      </c>
      <c r="AF265" s="2" t="str">
        <f aca="false">IF(SUM(COUNTIF(M265,"RA"),COUNTIF(P265,"RA"),COUNTIF(S265,"RA"),COUNTIF(V265,"RA"),COUNTIF(Y265,"RA"),COUNTIF(AB265,"RA"))&gt;0,"FAIL","PASS")</f>
        <v>PASS</v>
      </c>
    </row>
    <row r="266" customFormat="false" ht="15" hidden="false" customHeight="false" outlineLevel="0" collapsed="false">
      <c r="A266" s="2" t="n">
        <v>265</v>
      </c>
      <c r="B266" s="3" t="s">
        <v>1587</v>
      </c>
      <c r="C266" s="2" t="s">
        <v>750</v>
      </c>
      <c r="D266" s="2" t="s">
        <v>1588</v>
      </c>
      <c r="E266" s="2" t="s">
        <v>57</v>
      </c>
      <c r="F266" s="2" t="s">
        <v>36</v>
      </c>
      <c r="G266" s="2" t="s">
        <v>78</v>
      </c>
      <c r="H266" s="2" t="s">
        <v>1589</v>
      </c>
      <c r="I266" s="3" t="s">
        <v>1590</v>
      </c>
      <c r="J266" s="2" t="s">
        <v>1591</v>
      </c>
      <c r="K266" s="2" t="s">
        <v>1592</v>
      </c>
      <c r="L266" s="4" t="n">
        <v>45</v>
      </c>
      <c r="M266" s="4" t="s">
        <v>45</v>
      </c>
      <c r="N266" s="5" t="n">
        <v>45</v>
      </c>
      <c r="O266" s="6" t="n">
        <v>85</v>
      </c>
      <c r="P266" s="6" t="s">
        <v>42</v>
      </c>
      <c r="Q266" s="7" t="n">
        <v>85</v>
      </c>
      <c r="R266" s="8" t="n">
        <v>64</v>
      </c>
      <c r="S266" s="8" t="s">
        <v>44</v>
      </c>
      <c r="T266" s="9" t="n">
        <v>64</v>
      </c>
      <c r="U266" s="10" t="n">
        <v>65</v>
      </c>
      <c r="V266" s="10" t="s">
        <v>44</v>
      </c>
      <c r="W266" s="11" t="n">
        <v>65</v>
      </c>
      <c r="X266" s="12" t="n">
        <v>48</v>
      </c>
      <c r="Y266" s="12" t="s">
        <v>45</v>
      </c>
      <c r="Z266" s="13" t="n">
        <v>48</v>
      </c>
      <c r="AA266" s="14" t="n">
        <v>98</v>
      </c>
      <c r="AB266" s="14" t="s">
        <v>54</v>
      </c>
      <c r="AC266" s="15" t="n">
        <v>98</v>
      </c>
      <c r="AD266" s="2" t="n">
        <f aca="false">SUM(L266,O266,R266,U266,X266,AA266)</f>
        <v>405</v>
      </c>
      <c r="AE266" s="16" t="n">
        <f aca="false">AD266/6</f>
        <v>67.5</v>
      </c>
      <c r="AF266" s="2" t="str">
        <f aca="false">IF(SUM(COUNTIF(M266,"RA"),COUNTIF(P266,"RA"),COUNTIF(S266,"RA"),COUNTIF(V266,"RA"),COUNTIF(Y266,"RA"),COUNTIF(AB266,"RA"))&gt;0,"FAIL","PASS")</f>
        <v>FAIL</v>
      </c>
    </row>
    <row r="267" customFormat="false" ht="15" hidden="false" customHeight="false" outlineLevel="0" collapsed="false">
      <c r="A267" s="2" t="n">
        <v>266</v>
      </c>
      <c r="B267" s="3" t="s">
        <v>1593</v>
      </c>
      <c r="C267" s="2" t="s">
        <v>859</v>
      </c>
      <c r="D267" s="2" t="s">
        <v>1594</v>
      </c>
      <c r="E267" s="2" t="s">
        <v>57</v>
      </c>
      <c r="F267" s="2" t="s">
        <v>36</v>
      </c>
      <c r="G267" s="2" t="s">
        <v>78</v>
      </c>
      <c r="H267" s="2" t="s">
        <v>1595</v>
      </c>
      <c r="I267" s="3" t="s">
        <v>1596</v>
      </c>
      <c r="J267" s="2" t="s">
        <v>1597</v>
      </c>
      <c r="K267" s="2" t="s">
        <v>1598</v>
      </c>
      <c r="L267" s="4" t="n">
        <v>79</v>
      </c>
      <c r="M267" s="4" t="s">
        <v>43</v>
      </c>
      <c r="N267" s="5" t="n">
        <v>79</v>
      </c>
      <c r="O267" s="6" t="n">
        <v>96</v>
      </c>
      <c r="P267" s="6" t="s">
        <v>54</v>
      </c>
      <c r="Q267" s="7" t="n">
        <v>96</v>
      </c>
      <c r="R267" s="8" t="n">
        <v>47</v>
      </c>
      <c r="S267" s="8" t="s">
        <v>45</v>
      </c>
      <c r="T267" s="9" t="n">
        <v>47</v>
      </c>
      <c r="U267" s="10" t="n">
        <v>40</v>
      </c>
      <c r="V267" s="10" t="s">
        <v>45</v>
      </c>
      <c r="W267" s="11" t="n">
        <v>40</v>
      </c>
      <c r="X267" s="12" t="n">
        <v>80</v>
      </c>
      <c r="Y267" s="12" t="s">
        <v>42</v>
      </c>
      <c r="Z267" s="13" t="n">
        <v>80</v>
      </c>
      <c r="AA267" s="14" t="n">
        <v>94</v>
      </c>
      <c r="AB267" s="14" t="s">
        <v>54</v>
      </c>
      <c r="AC267" s="15" t="n">
        <v>94</v>
      </c>
      <c r="AD267" s="2" t="n">
        <f aca="false">SUM(L267,O267,R267,U267,X267,AA267)</f>
        <v>436</v>
      </c>
      <c r="AE267" s="16" t="n">
        <f aca="false">AD267/6</f>
        <v>72.6666666666667</v>
      </c>
      <c r="AF267" s="2" t="str">
        <f aca="false">IF(SUM(COUNTIF(M267,"RA"),COUNTIF(P267,"RA"),COUNTIF(S267,"RA"),COUNTIF(V267,"RA"),COUNTIF(Y267,"RA"),COUNTIF(AB267,"RA"))&gt;0,"FAIL","PASS")</f>
        <v>FAIL</v>
      </c>
    </row>
    <row r="268" customFormat="false" ht="15" hidden="false" customHeight="false" outlineLevel="0" collapsed="false">
      <c r="A268" s="2" t="n">
        <v>267</v>
      </c>
      <c r="B268" s="3" t="s">
        <v>1599</v>
      </c>
      <c r="C268" s="2" t="s">
        <v>750</v>
      </c>
      <c r="D268" s="2" t="s">
        <v>1600</v>
      </c>
      <c r="E268" s="2" t="s">
        <v>35</v>
      </c>
      <c r="F268" s="2" t="s">
        <v>36</v>
      </c>
      <c r="G268" s="2" t="s">
        <v>91</v>
      </c>
      <c r="H268" s="2" t="s">
        <v>1601</v>
      </c>
      <c r="I268" s="3" t="s">
        <v>1602</v>
      </c>
      <c r="J268" s="2" t="s">
        <v>1603</v>
      </c>
      <c r="K268" s="2" t="s">
        <v>1604</v>
      </c>
      <c r="L268" s="4" t="n">
        <v>89</v>
      </c>
      <c r="M268" s="4" t="s">
        <v>42</v>
      </c>
      <c r="N268" s="5" t="n">
        <v>89</v>
      </c>
      <c r="O268" s="6" t="n">
        <v>79</v>
      </c>
      <c r="P268" s="6" t="s">
        <v>43</v>
      </c>
      <c r="Q268" s="7" t="n">
        <v>79</v>
      </c>
      <c r="R268" s="8" t="n">
        <v>54</v>
      </c>
      <c r="S268" s="8" t="s">
        <v>53</v>
      </c>
      <c r="T268" s="9" t="n">
        <v>54</v>
      </c>
      <c r="U268" s="10" t="n">
        <v>97</v>
      </c>
      <c r="V268" s="10" t="s">
        <v>54</v>
      </c>
      <c r="W268" s="11" t="n">
        <v>97</v>
      </c>
      <c r="X268" s="12" t="n">
        <v>98</v>
      </c>
      <c r="Y268" s="12" t="s">
        <v>54</v>
      </c>
      <c r="Z268" s="13" t="n">
        <v>98</v>
      </c>
      <c r="AA268" s="14" t="n">
        <v>70</v>
      </c>
      <c r="AB268" s="14" t="s">
        <v>43</v>
      </c>
      <c r="AC268" s="15" t="n">
        <v>70</v>
      </c>
      <c r="AD268" s="2" t="n">
        <f aca="false">SUM(L268,O268,R268,U268,X268,AA268)</f>
        <v>487</v>
      </c>
      <c r="AE268" s="16" t="n">
        <f aca="false">AD268/6</f>
        <v>81.1666666666667</v>
      </c>
      <c r="AF268" s="2" t="str">
        <f aca="false">IF(SUM(COUNTIF(M268,"RA"),COUNTIF(P268,"RA"),COUNTIF(S268,"RA"),COUNTIF(V268,"RA"),COUNTIF(Y268,"RA"),COUNTIF(AB268,"RA"))&gt;0,"FAIL","PASS")</f>
        <v>PASS</v>
      </c>
    </row>
    <row r="269" customFormat="false" ht="15" hidden="false" customHeight="false" outlineLevel="0" collapsed="false">
      <c r="A269" s="2" t="n">
        <v>268</v>
      </c>
      <c r="B269" s="3" t="s">
        <v>1605</v>
      </c>
      <c r="C269" s="2" t="s">
        <v>803</v>
      </c>
      <c r="D269" s="2" t="s">
        <v>1606</v>
      </c>
      <c r="E269" s="2" t="s">
        <v>57</v>
      </c>
      <c r="F269" s="2" t="s">
        <v>36</v>
      </c>
      <c r="G269" s="2" t="s">
        <v>44</v>
      </c>
      <c r="H269" s="2" t="s">
        <v>1607</v>
      </c>
      <c r="I269" s="3" t="s">
        <v>806</v>
      </c>
      <c r="J269" s="2" t="s">
        <v>1608</v>
      </c>
      <c r="K269" s="2" t="s">
        <v>1609</v>
      </c>
      <c r="L269" s="4" t="n">
        <v>63</v>
      </c>
      <c r="M269" s="4" t="s">
        <v>44</v>
      </c>
      <c r="N269" s="5" t="n">
        <v>63</v>
      </c>
      <c r="O269" s="6" t="n">
        <v>64</v>
      </c>
      <c r="P269" s="6" t="s">
        <v>44</v>
      </c>
      <c r="Q269" s="7" t="n">
        <v>64</v>
      </c>
      <c r="R269" s="8" t="n">
        <v>72</v>
      </c>
      <c r="S269" s="8" t="s">
        <v>43</v>
      </c>
      <c r="T269" s="9" t="n">
        <v>72</v>
      </c>
      <c r="U269" s="10" t="n">
        <v>75</v>
      </c>
      <c r="V269" s="10" t="s">
        <v>43</v>
      </c>
      <c r="W269" s="11" t="n">
        <v>75</v>
      </c>
      <c r="X269" s="12" t="n">
        <v>100</v>
      </c>
      <c r="Y269" s="12" t="s">
        <v>54</v>
      </c>
      <c r="Z269" s="13" t="n">
        <v>100</v>
      </c>
      <c r="AA269" s="14" t="n">
        <v>62</v>
      </c>
      <c r="AB269" s="14" t="s">
        <v>44</v>
      </c>
      <c r="AC269" s="15" t="n">
        <v>62</v>
      </c>
      <c r="AD269" s="2" t="n">
        <f aca="false">SUM(L269,O269,R269,U269,X269,AA269)</f>
        <v>436</v>
      </c>
      <c r="AE269" s="16" t="n">
        <f aca="false">AD269/6</f>
        <v>72.6666666666667</v>
      </c>
      <c r="AF269" s="2" t="str">
        <f aca="false">IF(SUM(COUNTIF(M269,"RA"),COUNTIF(P269,"RA"),COUNTIF(S269,"RA"),COUNTIF(V269,"RA"),COUNTIF(Y269,"RA"),COUNTIF(AB269,"RA"))&gt;0,"FAIL","PASS")</f>
        <v>PASS</v>
      </c>
    </row>
    <row r="270" customFormat="false" ht="15" hidden="false" customHeight="false" outlineLevel="0" collapsed="false">
      <c r="A270" s="2" t="n">
        <v>269</v>
      </c>
      <c r="B270" s="3" t="s">
        <v>1610</v>
      </c>
      <c r="C270" s="2" t="s">
        <v>803</v>
      </c>
      <c r="D270" s="2" t="s">
        <v>1611</v>
      </c>
      <c r="E270" s="2" t="s">
        <v>35</v>
      </c>
      <c r="F270" s="2" t="s">
        <v>36</v>
      </c>
      <c r="G270" s="2" t="s">
        <v>44</v>
      </c>
      <c r="H270" s="2" t="s">
        <v>1612</v>
      </c>
      <c r="I270" s="3" t="s">
        <v>1613</v>
      </c>
      <c r="J270" s="2" t="s">
        <v>1614</v>
      </c>
      <c r="K270" s="2" t="s">
        <v>1615</v>
      </c>
      <c r="L270" s="4" t="n">
        <v>85</v>
      </c>
      <c r="M270" s="4" t="s">
        <v>42</v>
      </c>
      <c r="N270" s="5" t="n">
        <v>85</v>
      </c>
      <c r="O270" s="6" t="n">
        <v>70</v>
      </c>
      <c r="P270" s="6" t="s">
        <v>43</v>
      </c>
      <c r="Q270" s="7" t="n">
        <v>70</v>
      </c>
      <c r="R270" s="8" t="n">
        <v>88</v>
      </c>
      <c r="S270" s="8" t="s">
        <v>42</v>
      </c>
      <c r="T270" s="9" t="n">
        <v>88</v>
      </c>
      <c r="U270" s="10" t="n">
        <v>64</v>
      </c>
      <c r="V270" s="10" t="s">
        <v>44</v>
      </c>
      <c r="W270" s="11" t="n">
        <v>64</v>
      </c>
      <c r="X270" s="12" t="n">
        <v>57</v>
      </c>
      <c r="Y270" s="12" t="s">
        <v>53</v>
      </c>
      <c r="Z270" s="13" t="n">
        <v>57</v>
      </c>
      <c r="AA270" s="14" t="n">
        <v>54</v>
      </c>
      <c r="AB270" s="14" t="s">
        <v>53</v>
      </c>
      <c r="AC270" s="15" t="n">
        <v>54</v>
      </c>
      <c r="AD270" s="2" t="n">
        <f aca="false">SUM(L270,O270,R270,U270,X270,AA270)</f>
        <v>418</v>
      </c>
      <c r="AE270" s="16" t="n">
        <f aca="false">AD270/6</f>
        <v>69.6666666666667</v>
      </c>
      <c r="AF270" s="2" t="str">
        <f aca="false">IF(SUM(COUNTIF(M270,"RA"),COUNTIF(P270,"RA"),COUNTIF(S270,"RA"),COUNTIF(V270,"RA"),COUNTIF(Y270,"RA"),COUNTIF(AB270,"RA"))&gt;0,"FAIL","PASS")</f>
        <v>PASS</v>
      </c>
    </row>
    <row r="271" customFormat="false" ht="15" hidden="false" customHeight="false" outlineLevel="0" collapsed="false">
      <c r="A271" s="2" t="n">
        <v>270</v>
      </c>
      <c r="B271" s="3" t="s">
        <v>1616</v>
      </c>
      <c r="C271" s="2" t="s">
        <v>790</v>
      </c>
      <c r="D271" s="2" t="s">
        <v>1617</v>
      </c>
      <c r="E271" s="2" t="s">
        <v>35</v>
      </c>
      <c r="F271" s="2" t="s">
        <v>36</v>
      </c>
      <c r="G271" s="2" t="s">
        <v>91</v>
      </c>
      <c r="H271" s="2" t="s">
        <v>1231</v>
      </c>
      <c r="I271" s="3" t="s">
        <v>1618</v>
      </c>
      <c r="J271" s="2" t="s">
        <v>1619</v>
      </c>
      <c r="K271" s="2" t="s">
        <v>1620</v>
      </c>
      <c r="L271" s="4" t="n">
        <v>62</v>
      </c>
      <c r="M271" s="4" t="s">
        <v>44</v>
      </c>
      <c r="N271" s="5" t="n">
        <v>62</v>
      </c>
      <c r="O271" s="6" t="n">
        <v>41</v>
      </c>
      <c r="P271" s="6" t="s">
        <v>45</v>
      </c>
      <c r="Q271" s="7" t="n">
        <v>41</v>
      </c>
      <c r="R271" s="8" t="n">
        <v>40</v>
      </c>
      <c r="S271" s="8" t="s">
        <v>45</v>
      </c>
      <c r="T271" s="9" t="n">
        <v>40</v>
      </c>
      <c r="U271" s="10" t="n">
        <v>73</v>
      </c>
      <c r="V271" s="10" t="s">
        <v>43</v>
      </c>
      <c r="W271" s="11" t="n">
        <v>73</v>
      </c>
      <c r="X271" s="12" t="n">
        <v>46</v>
      </c>
      <c r="Y271" s="12" t="s">
        <v>45</v>
      </c>
      <c r="Z271" s="13" t="n">
        <v>46</v>
      </c>
      <c r="AA271" s="14" t="n">
        <v>82</v>
      </c>
      <c r="AB271" s="14" t="s">
        <v>42</v>
      </c>
      <c r="AC271" s="15" t="n">
        <v>82</v>
      </c>
      <c r="AD271" s="2" t="n">
        <f aca="false">SUM(L271,O271,R271,U271,X271,AA271)</f>
        <v>344</v>
      </c>
      <c r="AE271" s="16" t="n">
        <f aca="false">AD271/6</f>
        <v>57.3333333333333</v>
      </c>
      <c r="AF271" s="2" t="str">
        <f aca="false">IF(SUM(COUNTIF(M271,"RA"),COUNTIF(P271,"RA"),COUNTIF(S271,"RA"),COUNTIF(V271,"RA"),COUNTIF(Y271,"RA"),COUNTIF(AB271,"RA"))&gt;0,"FAIL","PASS")</f>
        <v>FAIL</v>
      </c>
    </row>
    <row r="272" customFormat="false" ht="15" hidden="false" customHeight="false" outlineLevel="0" collapsed="false">
      <c r="A272" s="2" t="n">
        <v>271</v>
      </c>
      <c r="B272" s="3" t="s">
        <v>1621</v>
      </c>
      <c r="C272" s="2" t="s">
        <v>757</v>
      </c>
      <c r="D272" s="2" t="s">
        <v>1622</v>
      </c>
      <c r="E272" s="2" t="s">
        <v>57</v>
      </c>
      <c r="F272" s="2" t="s">
        <v>36</v>
      </c>
      <c r="G272" s="2" t="s">
        <v>71</v>
      </c>
      <c r="H272" s="2" t="s">
        <v>1623</v>
      </c>
      <c r="I272" s="3" t="s">
        <v>1624</v>
      </c>
      <c r="J272" s="2" t="s">
        <v>1625</v>
      </c>
      <c r="K272" s="2" t="s">
        <v>1626</v>
      </c>
      <c r="L272" s="4" t="n">
        <v>78</v>
      </c>
      <c r="M272" s="4" t="s">
        <v>43</v>
      </c>
      <c r="N272" s="5" t="n">
        <v>78</v>
      </c>
      <c r="O272" s="6" t="n">
        <v>60</v>
      </c>
      <c r="P272" s="6" t="s">
        <v>44</v>
      </c>
      <c r="Q272" s="7" t="n">
        <v>60</v>
      </c>
      <c r="R272" s="8" t="n">
        <v>75</v>
      </c>
      <c r="S272" s="8" t="s">
        <v>43</v>
      </c>
      <c r="T272" s="9" t="n">
        <v>75</v>
      </c>
      <c r="U272" s="10" t="n">
        <v>85</v>
      </c>
      <c r="V272" s="10" t="s">
        <v>42</v>
      </c>
      <c r="W272" s="11" t="n">
        <v>85</v>
      </c>
      <c r="X272" s="12" t="n">
        <v>86</v>
      </c>
      <c r="Y272" s="12" t="s">
        <v>42</v>
      </c>
      <c r="Z272" s="13" t="n">
        <v>86</v>
      </c>
      <c r="AA272" s="14" t="n">
        <v>77</v>
      </c>
      <c r="AB272" s="14" t="s">
        <v>43</v>
      </c>
      <c r="AC272" s="15" t="n">
        <v>77</v>
      </c>
      <c r="AD272" s="2" t="n">
        <f aca="false">SUM(L272,O272,R272,U272,X272,AA272)</f>
        <v>461</v>
      </c>
      <c r="AE272" s="16" t="n">
        <f aca="false">AD272/6</f>
        <v>76.8333333333333</v>
      </c>
      <c r="AF272" s="2" t="str">
        <f aca="false">IF(SUM(COUNTIF(M272,"RA"),COUNTIF(P272,"RA"),COUNTIF(S272,"RA"),COUNTIF(V272,"RA"),COUNTIF(Y272,"RA"),COUNTIF(AB272,"RA"))&gt;0,"FAIL","PASS")</f>
        <v>PASS</v>
      </c>
    </row>
    <row r="273" customFormat="false" ht="15" hidden="false" customHeight="false" outlineLevel="0" collapsed="false">
      <c r="A273" s="2" t="n">
        <v>272</v>
      </c>
      <c r="B273" s="3" t="s">
        <v>1627</v>
      </c>
      <c r="C273" s="2" t="s">
        <v>783</v>
      </c>
      <c r="D273" s="2" t="s">
        <v>1628</v>
      </c>
      <c r="E273" s="2" t="s">
        <v>35</v>
      </c>
      <c r="F273" s="2" t="s">
        <v>36</v>
      </c>
      <c r="G273" s="2" t="s">
        <v>37</v>
      </c>
      <c r="H273" s="2" t="s">
        <v>1629</v>
      </c>
      <c r="I273" s="3" t="s">
        <v>1630</v>
      </c>
      <c r="J273" s="2" t="s">
        <v>1631</v>
      </c>
      <c r="K273" s="2" t="s">
        <v>1632</v>
      </c>
      <c r="L273" s="4" t="n">
        <v>94</v>
      </c>
      <c r="M273" s="4" t="s">
        <v>54</v>
      </c>
      <c r="N273" s="5" t="n">
        <v>94</v>
      </c>
      <c r="O273" s="6" t="n">
        <v>58</v>
      </c>
      <c r="P273" s="6" t="s">
        <v>53</v>
      </c>
      <c r="Q273" s="7" t="n">
        <v>58</v>
      </c>
      <c r="R273" s="8" t="n">
        <v>94</v>
      </c>
      <c r="S273" s="8" t="s">
        <v>54</v>
      </c>
      <c r="T273" s="9" t="n">
        <v>94</v>
      </c>
      <c r="U273" s="10" t="n">
        <v>83</v>
      </c>
      <c r="V273" s="10" t="s">
        <v>42</v>
      </c>
      <c r="W273" s="11" t="n">
        <v>83</v>
      </c>
      <c r="X273" s="12" t="n">
        <v>91</v>
      </c>
      <c r="Y273" s="12" t="s">
        <v>54</v>
      </c>
      <c r="Z273" s="13" t="n">
        <v>91</v>
      </c>
      <c r="AA273" s="14" t="n">
        <v>86</v>
      </c>
      <c r="AB273" s="14" t="s">
        <v>42</v>
      </c>
      <c r="AC273" s="15" t="n">
        <v>86</v>
      </c>
      <c r="AD273" s="2" t="n">
        <f aca="false">SUM(L273,O273,R273,U273,X273,AA273)</f>
        <v>506</v>
      </c>
      <c r="AE273" s="16" t="n">
        <f aca="false">AD273/6</f>
        <v>84.3333333333333</v>
      </c>
      <c r="AF273" s="2" t="str">
        <f aca="false">IF(SUM(COUNTIF(M273,"RA"),COUNTIF(P273,"RA"),COUNTIF(S273,"RA"),COUNTIF(V273,"RA"),COUNTIF(Y273,"RA"),COUNTIF(AB273,"RA"))&gt;0,"FAIL","PASS")</f>
        <v>PASS</v>
      </c>
    </row>
    <row r="274" customFormat="false" ht="15" hidden="false" customHeight="false" outlineLevel="0" collapsed="false">
      <c r="A274" s="2" t="n">
        <v>273</v>
      </c>
      <c r="B274" s="3" t="s">
        <v>1633</v>
      </c>
      <c r="C274" s="2" t="s">
        <v>770</v>
      </c>
      <c r="D274" s="2" t="s">
        <v>1634</v>
      </c>
      <c r="E274" s="2" t="s">
        <v>57</v>
      </c>
      <c r="F274" s="2" t="s">
        <v>36</v>
      </c>
      <c r="G274" s="2" t="s">
        <v>37</v>
      </c>
      <c r="H274" s="2" t="s">
        <v>1635</v>
      </c>
      <c r="I274" s="3" t="s">
        <v>474</v>
      </c>
      <c r="J274" s="2" t="s">
        <v>1636</v>
      </c>
      <c r="K274" s="2" t="s">
        <v>1637</v>
      </c>
      <c r="L274" s="4" t="n">
        <v>73</v>
      </c>
      <c r="M274" s="4" t="s">
        <v>43</v>
      </c>
      <c r="N274" s="5" t="n">
        <v>73</v>
      </c>
      <c r="O274" s="6" t="n">
        <v>93</v>
      </c>
      <c r="P274" s="6" t="s">
        <v>54</v>
      </c>
      <c r="Q274" s="7" t="n">
        <v>93</v>
      </c>
      <c r="R274" s="8" t="n">
        <v>87</v>
      </c>
      <c r="S274" s="8" t="s">
        <v>42</v>
      </c>
      <c r="T274" s="9" t="n">
        <v>87</v>
      </c>
      <c r="U274" s="10" t="n">
        <v>78</v>
      </c>
      <c r="V274" s="10" t="s">
        <v>43</v>
      </c>
      <c r="W274" s="11" t="n">
        <v>78</v>
      </c>
      <c r="X274" s="12" t="n">
        <v>91</v>
      </c>
      <c r="Y274" s="12" t="s">
        <v>54</v>
      </c>
      <c r="Z274" s="13" t="n">
        <v>91</v>
      </c>
      <c r="AA274" s="14" t="n">
        <v>95</v>
      </c>
      <c r="AB274" s="14" t="s">
        <v>54</v>
      </c>
      <c r="AC274" s="15" t="n">
        <v>95</v>
      </c>
      <c r="AD274" s="2" t="n">
        <f aca="false">SUM(L274,O274,R274,U274,X274,AA274)</f>
        <v>517</v>
      </c>
      <c r="AE274" s="16" t="n">
        <f aca="false">AD274/6</f>
        <v>86.1666666666667</v>
      </c>
      <c r="AF274" s="2" t="str">
        <f aca="false">IF(SUM(COUNTIF(M274,"RA"),COUNTIF(P274,"RA"),COUNTIF(S274,"RA"),COUNTIF(V274,"RA"),COUNTIF(Y274,"RA"),COUNTIF(AB274,"RA"))&gt;0,"FAIL","PASS")</f>
        <v>PASS</v>
      </c>
    </row>
    <row r="275" customFormat="false" ht="15" hidden="false" customHeight="false" outlineLevel="0" collapsed="false">
      <c r="A275" s="2" t="n">
        <v>274</v>
      </c>
      <c r="B275" s="3" t="s">
        <v>1638</v>
      </c>
      <c r="C275" s="2" t="s">
        <v>770</v>
      </c>
      <c r="D275" s="2" t="s">
        <v>1639</v>
      </c>
      <c r="E275" s="2" t="s">
        <v>57</v>
      </c>
      <c r="F275" s="2" t="s">
        <v>36</v>
      </c>
      <c r="G275" s="2" t="s">
        <v>48</v>
      </c>
      <c r="H275" s="2" t="s">
        <v>1640</v>
      </c>
      <c r="I275" s="3" t="s">
        <v>1641</v>
      </c>
      <c r="J275" s="2" t="s">
        <v>1642</v>
      </c>
      <c r="K275" s="2" t="s">
        <v>1643</v>
      </c>
      <c r="L275" s="4" t="n">
        <v>96</v>
      </c>
      <c r="M275" s="4" t="s">
        <v>54</v>
      </c>
      <c r="N275" s="5" t="n">
        <v>96</v>
      </c>
      <c r="O275" s="6" t="n">
        <v>55</v>
      </c>
      <c r="P275" s="6" t="s">
        <v>53</v>
      </c>
      <c r="Q275" s="7" t="n">
        <v>55</v>
      </c>
      <c r="R275" s="8" t="n">
        <v>84</v>
      </c>
      <c r="S275" s="8" t="s">
        <v>42</v>
      </c>
      <c r="T275" s="9" t="n">
        <v>84</v>
      </c>
      <c r="U275" s="10" t="n">
        <v>97</v>
      </c>
      <c r="V275" s="10" t="s">
        <v>54</v>
      </c>
      <c r="W275" s="11" t="n">
        <v>97</v>
      </c>
      <c r="X275" s="12" t="n">
        <v>77</v>
      </c>
      <c r="Y275" s="12" t="s">
        <v>43</v>
      </c>
      <c r="Z275" s="13" t="n">
        <v>77</v>
      </c>
      <c r="AA275" s="14" t="n">
        <v>62</v>
      </c>
      <c r="AB275" s="14" t="s">
        <v>44</v>
      </c>
      <c r="AC275" s="15" t="n">
        <v>62</v>
      </c>
      <c r="AD275" s="2" t="n">
        <f aca="false">SUM(L275,O275,R275,U275,X275,AA275)</f>
        <v>471</v>
      </c>
      <c r="AE275" s="16" t="n">
        <f aca="false">AD275/6</f>
        <v>78.5</v>
      </c>
      <c r="AF275" s="2" t="str">
        <f aca="false">IF(SUM(COUNTIF(M275,"RA"),COUNTIF(P275,"RA"),COUNTIF(S275,"RA"),COUNTIF(V275,"RA"),COUNTIF(Y275,"RA"),COUNTIF(AB275,"RA"))&gt;0,"FAIL","PASS")</f>
        <v>PASS</v>
      </c>
    </row>
    <row r="276" customFormat="false" ht="15" hidden="false" customHeight="false" outlineLevel="0" collapsed="false">
      <c r="A276" s="2" t="n">
        <v>275</v>
      </c>
      <c r="B276" s="3" t="s">
        <v>1644</v>
      </c>
      <c r="C276" s="2" t="s">
        <v>790</v>
      </c>
      <c r="D276" s="2" t="s">
        <v>1645</v>
      </c>
      <c r="E276" s="2" t="s">
        <v>57</v>
      </c>
      <c r="F276" s="2" t="s">
        <v>36</v>
      </c>
      <c r="G276" s="2" t="s">
        <v>37</v>
      </c>
      <c r="H276" s="2" t="s">
        <v>449</v>
      </c>
      <c r="I276" s="3" t="s">
        <v>539</v>
      </c>
      <c r="J276" s="2" t="s">
        <v>1646</v>
      </c>
      <c r="K276" s="2" t="s">
        <v>1647</v>
      </c>
      <c r="L276" s="4" t="n">
        <v>63</v>
      </c>
      <c r="M276" s="4" t="s">
        <v>44</v>
      </c>
      <c r="N276" s="5" t="n">
        <v>63</v>
      </c>
      <c r="O276" s="6" t="n">
        <v>97</v>
      </c>
      <c r="P276" s="6" t="s">
        <v>54</v>
      </c>
      <c r="Q276" s="7" t="n">
        <v>97</v>
      </c>
      <c r="R276" s="8" t="n">
        <v>77</v>
      </c>
      <c r="S276" s="8" t="s">
        <v>43</v>
      </c>
      <c r="T276" s="9" t="n">
        <v>77</v>
      </c>
      <c r="U276" s="10" t="n">
        <v>66</v>
      </c>
      <c r="V276" s="10" t="s">
        <v>44</v>
      </c>
      <c r="W276" s="11" t="n">
        <v>66</v>
      </c>
      <c r="X276" s="12" t="n">
        <v>94</v>
      </c>
      <c r="Y276" s="12" t="s">
        <v>54</v>
      </c>
      <c r="Z276" s="13" t="n">
        <v>94</v>
      </c>
      <c r="AA276" s="14" t="n">
        <v>59</v>
      </c>
      <c r="AB276" s="14" t="s">
        <v>53</v>
      </c>
      <c r="AC276" s="15" t="n">
        <v>59</v>
      </c>
      <c r="AD276" s="2" t="n">
        <f aca="false">SUM(L276,O276,R276,U276,X276,AA276)</f>
        <v>456</v>
      </c>
      <c r="AE276" s="16" t="n">
        <f aca="false">AD276/6</f>
        <v>76</v>
      </c>
      <c r="AF276" s="2" t="str">
        <f aca="false">IF(SUM(COUNTIF(M276,"RA"),COUNTIF(P276,"RA"),COUNTIF(S276,"RA"),COUNTIF(V276,"RA"),COUNTIF(Y276,"RA"),COUNTIF(AB276,"RA"))&gt;0,"FAIL","PASS")</f>
        <v>PASS</v>
      </c>
    </row>
    <row r="277" customFormat="false" ht="15" hidden="false" customHeight="false" outlineLevel="0" collapsed="false">
      <c r="A277" s="2" t="n">
        <v>276</v>
      </c>
      <c r="B277" s="3" t="s">
        <v>1648</v>
      </c>
      <c r="C277" s="2" t="s">
        <v>770</v>
      </c>
      <c r="D277" s="2" t="s">
        <v>1649</v>
      </c>
      <c r="E277" s="2" t="s">
        <v>57</v>
      </c>
      <c r="F277" s="2" t="s">
        <v>36</v>
      </c>
      <c r="G277" s="2" t="s">
        <v>37</v>
      </c>
      <c r="H277" s="2" t="s">
        <v>1650</v>
      </c>
      <c r="I277" s="3" t="s">
        <v>1651</v>
      </c>
      <c r="J277" s="2" t="s">
        <v>1652</v>
      </c>
      <c r="K277" s="2" t="s">
        <v>1653</v>
      </c>
      <c r="L277" s="4" t="n">
        <v>78</v>
      </c>
      <c r="M277" s="4" t="s">
        <v>43</v>
      </c>
      <c r="N277" s="5" t="n">
        <v>78</v>
      </c>
      <c r="O277" s="6" t="n">
        <v>91</v>
      </c>
      <c r="P277" s="6" t="s">
        <v>54</v>
      </c>
      <c r="Q277" s="7" t="n">
        <v>91</v>
      </c>
      <c r="R277" s="8" t="n">
        <v>97</v>
      </c>
      <c r="S277" s="8" t="s">
        <v>54</v>
      </c>
      <c r="T277" s="9" t="n">
        <v>97</v>
      </c>
      <c r="U277" s="10" t="n">
        <v>44</v>
      </c>
      <c r="V277" s="10" t="s">
        <v>45</v>
      </c>
      <c r="W277" s="11" t="n">
        <v>44</v>
      </c>
      <c r="X277" s="12" t="n">
        <v>77</v>
      </c>
      <c r="Y277" s="12" t="s">
        <v>43</v>
      </c>
      <c r="Z277" s="13" t="n">
        <v>77</v>
      </c>
      <c r="AA277" s="14" t="n">
        <v>72</v>
      </c>
      <c r="AB277" s="14" t="s">
        <v>43</v>
      </c>
      <c r="AC277" s="15" t="n">
        <v>72</v>
      </c>
      <c r="AD277" s="2" t="n">
        <f aca="false">SUM(L277,O277,R277,U277,X277,AA277)</f>
        <v>459</v>
      </c>
      <c r="AE277" s="16" t="n">
        <f aca="false">AD277/6</f>
        <v>76.5</v>
      </c>
      <c r="AF277" s="2" t="str">
        <f aca="false">IF(SUM(COUNTIF(M277,"RA"),COUNTIF(P277,"RA"),COUNTIF(S277,"RA"),COUNTIF(V277,"RA"),COUNTIF(Y277,"RA"),COUNTIF(AB277,"RA"))&gt;0,"FAIL","PASS")</f>
        <v>FAIL</v>
      </c>
    </row>
    <row r="278" customFormat="false" ht="15" hidden="false" customHeight="false" outlineLevel="0" collapsed="false">
      <c r="A278" s="2" t="n">
        <v>277</v>
      </c>
      <c r="B278" s="3" t="s">
        <v>1654</v>
      </c>
      <c r="C278" s="2" t="s">
        <v>783</v>
      </c>
      <c r="D278" s="2" t="s">
        <v>1655</v>
      </c>
      <c r="E278" s="2" t="s">
        <v>35</v>
      </c>
      <c r="F278" s="2" t="s">
        <v>36</v>
      </c>
      <c r="G278" s="2" t="s">
        <v>64</v>
      </c>
      <c r="H278" s="2" t="s">
        <v>1656</v>
      </c>
      <c r="I278" s="3" t="s">
        <v>1657</v>
      </c>
      <c r="J278" s="2" t="s">
        <v>1658</v>
      </c>
      <c r="K278" s="2" t="s">
        <v>1659</v>
      </c>
      <c r="L278" s="4" t="n">
        <v>54</v>
      </c>
      <c r="M278" s="4" t="s">
        <v>53</v>
      </c>
      <c r="N278" s="5" t="n">
        <v>54</v>
      </c>
      <c r="O278" s="6" t="n">
        <v>75</v>
      </c>
      <c r="P278" s="6" t="s">
        <v>43</v>
      </c>
      <c r="Q278" s="7" t="n">
        <v>75</v>
      </c>
      <c r="R278" s="8" t="n">
        <v>54</v>
      </c>
      <c r="S278" s="8" t="s">
        <v>53</v>
      </c>
      <c r="T278" s="9" t="n">
        <v>54</v>
      </c>
      <c r="U278" s="10" t="n">
        <v>89</v>
      </c>
      <c r="V278" s="10" t="s">
        <v>42</v>
      </c>
      <c r="W278" s="11" t="n">
        <v>89</v>
      </c>
      <c r="X278" s="12" t="n">
        <v>72</v>
      </c>
      <c r="Y278" s="12" t="s">
        <v>43</v>
      </c>
      <c r="Z278" s="13" t="n">
        <v>72</v>
      </c>
      <c r="AA278" s="14" t="n">
        <v>82</v>
      </c>
      <c r="AB278" s="14" t="s">
        <v>42</v>
      </c>
      <c r="AC278" s="15" t="n">
        <v>82</v>
      </c>
      <c r="AD278" s="2" t="n">
        <f aca="false">SUM(L278,O278,R278,U278,X278,AA278)</f>
        <v>426</v>
      </c>
      <c r="AE278" s="16" t="n">
        <f aca="false">AD278/6</f>
        <v>71</v>
      </c>
      <c r="AF278" s="2" t="str">
        <f aca="false">IF(SUM(COUNTIF(M278,"RA"),COUNTIF(P278,"RA"),COUNTIF(S278,"RA"),COUNTIF(V278,"RA"),COUNTIF(Y278,"RA"),COUNTIF(AB278,"RA"))&gt;0,"FAIL","PASS")</f>
        <v>PASS</v>
      </c>
    </row>
    <row r="279" customFormat="false" ht="15" hidden="false" customHeight="false" outlineLevel="0" collapsed="false">
      <c r="A279" s="2" t="n">
        <v>278</v>
      </c>
      <c r="B279" s="3" t="s">
        <v>1660</v>
      </c>
      <c r="C279" s="2" t="s">
        <v>757</v>
      </c>
      <c r="D279" s="2" t="s">
        <v>1661</v>
      </c>
      <c r="E279" s="2" t="s">
        <v>57</v>
      </c>
      <c r="F279" s="2" t="s">
        <v>36</v>
      </c>
      <c r="G279" s="2" t="s">
        <v>71</v>
      </c>
      <c r="H279" s="2" t="s">
        <v>98</v>
      </c>
      <c r="I279" s="3" t="s">
        <v>1662</v>
      </c>
      <c r="J279" s="2" t="s">
        <v>1663</v>
      </c>
      <c r="K279" s="2" t="s">
        <v>1664</v>
      </c>
      <c r="L279" s="4" t="n">
        <v>96</v>
      </c>
      <c r="M279" s="4" t="s">
        <v>54</v>
      </c>
      <c r="N279" s="5" t="n">
        <v>96</v>
      </c>
      <c r="O279" s="6" t="n">
        <v>43</v>
      </c>
      <c r="P279" s="6" t="s">
        <v>45</v>
      </c>
      <c r="Q279" s="7" t="n">
        <v>43</v>
      </c>
      <c r="R279" s="8" t="n">
        <v>67</v>
      </c>
      <c r="S279" s="8" t="s">
        <v>44</v>
      </c>
      <c r="T279" s="9" t="n">
        <v>67</v>
      </c>
      <c r="U279" s="10" t="n">
        <v>76</v>
      </c>
      <c r="V279" s="10" t="s">
        <v>43</v>
      </c>
      <c r="W279" s="11" t="n">
        <v>76</v>
      </c>
      <c r="X279" s="12" t="n">
        <v>68</v>
      </c>
      <c r="Y279" s="12" t="s">
        <v>44</v>
      </c>
      <c r="Z279" s="13" t="n">
        <v>68</v>
      </c>
      <c r="AA279" s="14" t="n">
        <v>75</v>
      </c>
      <c r="AB279" s="14" t="s">
        <v>43</v>
      </c>
      <c r="AC279" s="15" t="n">
        <v>75</v>
      </c>
      <c r="AD279" s="2" t="n">
        <f aca="false">SUM(L279,O279,R279,U279,X279,AA279)</f>
        <v>425</v>
      </c>
      <c r="AE279" s="16" t="n">
        <f aca="false">AD279/6</f>
        <v>70.8333333333333</v>
      </c>
      <c r="AF279" s="2" t="str">
        <f aca="false">IF(SUM(COUNTIF(M279,"RA"),COUNTIF(P279,"RA"),COUNTIF(S279,"RA"),COUNTIF(V279,"RA"),COUNTIF(Y279,"RA"),COUNTIF(AB279,"RA"))&gt;0,"FAIL","PASS")</f>
        <v>FAIL</v>
      </c>
    </row>
    <row r="280" customFormat="false" ht="15" hidden="false" customHeight="false" outlineLevel="0" collapsed="false">
      <c r="A280" s="2" t="n">
        <v>279</v>
      </c>
      <c r="B280" s="3" t="s">
        <v>1665</v>
      </c>
      <c r="C280" s="2" t="s">
        <v>859</v>
      </c>
      <c r="D280" s="2" t="s">
        <v>1666</v>
      </c>
      <c r="E280" s="2" t="s">
        <v>57</v>
      </c>
      <c r="F280" s="2" t="s">
        <v>36</v>
      </c>
      <c r="G280" s="2" t="s">
        <v>71</v>
      </c>
      <c r="H280" s="2" t="s">
        <v>1667</v>
      </c>
      <c r="I280" s="3" t="s">
        <v>1668</v>
      </c>
      <c r="J280" s="2" t="s">
        <v>1669</v>
      </c>
      <c r="K280" s="2" t="s">
        <v>1670</v>
      </c>
      <c r="L280" s="4" t="n">
        <v>94</v>
      </c>
      <c r="M280" s="4" t="s">
        <v>54</v>
      </c>
      <c r="N280" s="5" t="n">
        <v>94</v>
      </c>
      <c r="O280" s="6" t="n">
        <v>79</v>
      </c>
      <c r="P280" s="6" t="s">
        <v>43</v>
      </c>
      <c r="Q280" s="7" t="n">
        <v>79</v>
      </c>
      <c r="R280" s="8" t="n">
        <v>84</v>
      </c>
      <c r="S280" s="8" t="s">
        <v>42</v>
      </c>
      <c r="T280" s="9" t="n">
        <v>84</v>
      </c>
      <c r="U280" s="10" t="n">
        <v>60</v>
      </c>
      <c r="V280" s="10" t="s">
        <v>44</v>
      </c>
      <c r="W280" s="11" t="n">
        <v>60</v>
      </c>
      <c r="X280" s="12" t="n">
        <v>78</v>
      </c>
      <c r="Y280" s="12" t="s">
        <v>43</v>
      </c>
      <c r="Z280" s="13" t="n">
        <v>78</v>
      </c>
      <c r="AA280" s="14" t="n">
        <v>83</v>
      </c>
      <c r="AB280" s="14" t="s">
        <v>42</v>
      </c>
      <c r="AC280" s="15" t="n">
        <v>83</v>
      </c>
      <c r="AD280" s="2" t="n">
        <f aca="false">SUM(L280,O280,R280,U280,X280,AA280)</f>
        <v>478</v>
      </c>
      <c r="AE280" s="16" t="n">
        <f aca="false">AD280/6</f>
        <v>79.6666666666667</v>
      </c>
      <c r="AF280" s="2" t="str">
        <f aca="false">IF(SUM(COUNTIF(M280,"RA"),COUNTIF(P280,"RA"),COUNTIF(S280,"RA"),COUNTIF(V280,"RA"),COUNTIF(Y280,"RA"),COUNTIF(AB280,"RA"))&gt;0,"FAIL","PASS")</f>
        <v>PASS</v>
      </c>
    </row>
    <row r="281" customFormat="false" ht="15" hidden="false" customHeight="false" outlineLevel="0" collapsed="false">
      <c r="A281" s="2" t="n">
        <v>280</v>
      </c>
      <c r="B281" s="3" t="s">
        <v>1671</v>
      </c>
      <c r="C281" s="2" t="s">
        <v>790</v>
      </c>
      <c r="D281" s="2" t="s">
        <v>1672</v>
      </c>
      <c r="E281" s="2" t="s">
        <v>57</v>
      </c>
      <c r="F281" s="2" t="s">
        <v>36</v>
      </c>
      <c r="G281" s="2" t="s">
        <v>37</v>
      </c>
      <c r="H281" s="2" t="s">
        <v>1673</v>
      </c>
      <c r="I281" s="3" t="s">
        <v>1674</v>
      </c>
      <c r="J281" s="2" t="s">
        <v>1675</v>
      </c>
      <c r="K281" s="2" t="s">
        <v>1676</v>
      </c>
      <c r="L281" s="4" t="n">
        <v>98</v>
      </c>
      <c r="M281" s="4" t="s">
        <v>54</v>
      </c>
      <c r="N281" s="5" t="n">
        <v>98</v>
      </c>
      <c r="O281" s="6" t="n">
        <v>97</v>
      </c>
      <c r="P281" s="6" t="s">
        <v>54</v>
      </c>
      <c r="Q281" s="7" t="n">
        <v>97</v>
      </c>
      <c r="R281" s="8" t="n">
        <v>95</v>
      </c>
      <c r="S281" s="8" t="s">
        <v>54</v>
      </c>
      <c r="T281" s="9" t="n">
        <v>95</v>
      </c>
      <c r="U281" s="10" t="n">
        <v>73</v>
      </c>
      <c r="V281" s="10" t="s">
        <v>43</v>
      </c>
      <c r="W281" s="11" t="n">
        <v>73</v>
      </c>
      <c r="X281" s="12" t="n">
        <v>90</v>
      </c>
      <c r="Y281" s="12" t="s">
        <v>54</v>
      </c>
      <c r="Z281" s="13" t="n">
        <v>90</v>
      </c>
      <c r="AA281" s="14" t="n">
        <v>63</v>
      </c>
      <c r="AB281" s="14" t="s">
        <v>44</v>
      </c>
      <c r="AC281" s="15" t="n">
        <v>63</v>
      </c>
      <c r="AD281" s="2" t="n">
        <f aca="false">SUM(L281,O281,R281,U281,X281,AA281)</f>
        <v>516</v>
      </c>
      <c r="AE281" s="16" t="n">
        <f aca="false">AD281/6</f>
        <v>86</v>
      </c>
      <c r="AF281" s="2" t="str">
        <f aca="false">IF(SUM(COUNTIF(M281,"RA"),COUNTIF(P281,"RA"),COUNTIF(S281,"RA"),COUNTIF(V281,"RA"),COUNTIF(Y281,"RA"),COUNTIF(AB281,"RA"))&gt;0,"FAIL","PASS")</f>
        <v>PASS</v>
      </c>
    </row>
    <row r="282" customFormat="false" ht="15" hidden="false" customHeight="false" outlineLevel="0" collapsed="false">
      <c r="A282" s="2" t="n">
        <v>281</v>
      </c>
      <c r="B282" s="3" t="s">
        <v>1677</v>
      </c>
      <c r="C282" s="2" t="s">
        <v>790</v>
      </c>
      <c r="D282" s="2" t="s">
        <v>1678</v>
      </c>
      <c r="E282" s="2" t="s">
        <v>35</v>
      </c>
      <c r="F282" s="2" t="s">
        <v>36</v>
      </c>
      <c r="G282" s="2" t="s">
        <v>37</v>
      </c>
      <c r="H282" s="2" t="s">
        <v>1679</v>
      </c>
      <c r="I282" s="3" t="s">
        <v>1680</v>
      </c>
      <c r="J282" s="2" t="s">
        <v>1681</v>
      </c>
      <c r="K282" s="2" t="s">
        <v>1682</v>
      </c>
      <c r="L282" s="4" t="n">
        <v>58</v>
      </c>
      <c r="M282" s="4" t="s">
        <v>53</v>
      </c>
      <c r="N282" s="5" t="n">
        <v>58</v>
      </c>
      <c r="O282" s="6" t="n">
        <v>88</v>
      </c>
      <c r="P282" s="6" t="s">
        <v>42</v>
      </c>
      <c r="Q282" s="7" t="n">
        <v>88</v>
      </c>
      <c r="R282" s="8" t="n">
        <v>81</v>
      </c>
      <c r="S282" s="8" t="s">
        <v>42</v>
      </c>
      <c r="T282" s="9" t="n">
        <v>81</v>
      </c>
      <c r="U282" s="10" t="n">
        <v>99</v>
      </c>
      <c r="V282" s="10" t="s">
        <v>54</v>
      </c>
      <c r="W282" s="11" t="n">
        <v>99</v>
      </c>
      <c r="X282" s="12" t="n">
        <v>79</v>
      </c>
      <c r="Y282" s="12" t="s">
        <v>43</v>
      </c>
      <c r="Z282" s="13" t="n">
        <v>79</v>
      </c>
      <c r="AA282" s="14" t="n">
        <v>88</v>
      </c>
      <c r="AB282" s="14" t="s">
        <v>42</v>
      </c>
      <c r="AC282" s="15" t="n">
        <v>88</v>
      </c>
      <c r="AD282" s="2" t="n">
        <f aca="false">SUM(L282,O282,R282,U282,X282,AA282)</f>
        <v>493</v>
      </c>
      <c r="AE282" s="16" t="n">
        <f aca="false">AD282/6</f>
        <v>82.1666666666667</v>
      </c>
      <c r="AF282" s="2" t="str">
        <f aca="false">IF(SUM(COUNTIF(M282,"RA"),COUNTIF(P282,"RA"),COUNTIF(S282,"RA"),COUNTIF(V282,"RA"),COUNTIF(Y282,"RA"),COUNTIF(AB282,"RA"))&gt;0,"FAIL","PASS")</f>
        <v>PASS</v>
      </c>
    </row>
    <row r="283" customFormat="false" ht="15" hidden="false" customHeight="false" outlineLevel="0" collapsed="false">
      <c r="A283" s="2" t="n">
        <v>282</v>
      </c>
      <c r="B283" s="3" t="s">
        <v>1683</v>
      </c>
      <c r="C283" s="2" t="s">
        <v>841</v>
      </c>
      <c r="D283" s="2" t="s">
        <v>1684</v>
      </c>
      <c r="E283" s="2" t="s">
        <v>35</v>
      </c>
      <c r="F283" s="2" t="s">
        <v>36</v>
      </c>
      <c r="G283" s="2" t="s">
        <v>91</v>
      </c>
      <c r="H283" s="2" t="s">
        <v>1685</v>
      </c>
      <c r="I283" s="3" t="s">
        <v>1596</v>
      </c>
      <c r="J283" s="2" t="s">
        <v>1686</v>
      </c>
      <c r="K283" s="2" t="s">
        <v>1687</v>
      </c>
      <c r="L283" s="4" t="n">
        <v>67</v>
      </c>
      <c r="M283" s="4" t="s">
        <v>44</v>
      </c>
      <c r="N283" s="5" t="n">
        <v>67</v>
      </c>
      <c r="O283" s="6" t="n">
        <v>77</v>
      </c>
      <c r="P283" s="6" t="s">
        <v>43</v>
      </c>
      <c r="Q283" s="7" t="n">
        <v>77</v>
      </c>
      <c r="R283" s="8" t="n">
        <v>94</v>
      </c>
      <c r="S283" s="8" t="s">
        <v>54</v>
      </c>
      <c r="T283" s="9" t="n">
        <v>94</v>
      </c>
      <c r="U283" s="10" t="n">
        <v>49</v>
      </c>
      <c r="V283" s="10" t="s">
        <v>45</v>
      </c>
      <c r="W283" s="11" t="n">
        <v>49</v>
      </c>
      <c r="X283" s="12" t="n">
        <v>95</v>
      </c>
      <c r="Y283" s="12" t="s">
        <v>54</v>
      </c>
      <c r="Z283" s="13" t="n">
        <v>95</v>
      </c>
      <c r="AA283" s="14" t="n">
        <v>59</v>
      </c>
      <c r="AB283" s="14" t="s">
        <v>53</v>
      </c>
      <c r="AC283" s="15" t="n">
        <v>59</v>
      </c>
      <c r="AD283" s="2" t="n">
        <f aca="false">SUM(L283,O283,R283,U283,X283,AA283)</f>
        <v>441</v>
      </c>
      <c r="AE283" s="16" t="n">
        <f aca="false">AD283/6</f>
        <v>73.5</v>
      </c>
      <c r="AF283" s="2" t="str">
        <f aca="false">IF(SUM(COUNTIF(M283,"RA"),COUNTIF(P283,"RA"),COUNTIF(S283,"RA"),COUNTIF(V283,"RA"),COUNTIF(Y283,"RA"),COUNTIF(AB283,"RA"))&gt;0,"FAIL","PASS")</f>
        <v>FAIL</v>
      </c>
    </row>
    <row r="284" customFormat="false" ht="15" hidden="false" customHeight="false" outlineLevel="0" collapsed="false">
      <c r="A284" s="2" t="n">
        <v>283</v>
      </c>
      <c r="B284" s="3" t="s">
        <v>1688</v>
      </c>
      <c r="C284" s="2" t="s">
        <v>783</v>
      </c>
      <c r="D284" s="2" t="s">
        <v>1689</v>
      </c>
      <c r="E284" s="2" t="s">
        <v>57</v>
      </c>
      <c r="F284" s="2" t="s">
        <v>36</v>
      </c>
      <c r="G284" s="2" t="s">
        <v>48</v>
      </c>
      <c r="H284" s="2" t="s">
        <v>1690</v>
      </c>
      <c r="I284" s="3" t="s">
        <v>1254</v>
      </c>
      <c r="J284" s="2" t="s">
        <v>1691</v>
      </c>
      <c r="K284" s="2" t="s">
        <v>1692</v>
      </c>
      <c r="L284" s="4" t="n">
        <v>75</v>
      </c>
      <c r="M284" s="4" t="s">
        <v>43</v>
      </c>
      <c r="N284" s="5" t="n">
        <v>75</v>
      </c>
      <c r="O284" s="6" t="n">
        <v>45</v>
      </c>
      <c r="P284" s="6" t="s">
        <v>45</v>
      </c>
      <c r="Q284" s="7" t="n">
        <v>45</v>
      </c>
      <c r="R284" s="8" t="n">
        <v>100</v>
      </c>
      <c r="S284" s="8" t="s">
        <v>54</v>
      </c>
      <c r="T284" s="9" t="n">
        <v>100</v>
      </c>
      <c r="U284" s="10" t="n">
        <v>96</v>
      </c>
      <c r="V284" s="10" t="s">
        <v>54</v>
      </c>
      <c r="W284" s="11" t="n">
        <v>96</v>
      </c>
      <c r="X284" s="12" t="n">
        <v>47</v>
      </c>
      <c r="Y284" s="12" t="s">
        <v>45</v>
      </c>
      <c r="Z284" s="13" t="n">
        <v>47</v>
      </c>
      <c r="AA284" s="14" t="n">
        <v>60</v>
      </c>
      <c r="AB284" s="14" t="s">
        <v>44</v>
      </c>
      <c r="AC284" s="15" t="n">
        <v>60</v>
      </c>
      <c r="AD284" s="2" t="n">
        <f aca="false">SUM(L284,O284,R284,U284,X284,AA284)</f>
        <v>423</v>
      </c>
      <c r="AE284" s="16" t="n">
        <f aca="false">AD284/6</f>
        <v>70.5</v>
      </c>
      <c r="AF284" s="2" t="str">
        <f aca="false">IF(SUM(COUNTIF(M284,"RA"),COUNTIF(P284,"RA"),COUNTIF(S284,"RA"),COUNTIF(V284,"RA"),COUNTIF(Y284,"RA"),COUNTIF(AB284,"RA"))&gt;0,"FAIL","PASS")</f>
        <v>FAIL</v>
      </c>
    </row>
    <row r="285" customFormat="false" ht="15" hidden="false" customHeight="false" outlineLevel="0" collapsed="false">
      <c r="A285" s="2" t="n">
        <v>284</v>
      </c>
      <c r="B285" s="3" t="s">
        <v>1693</v>
      </c>
      <c r="C285" s="2" t="s">
        <v>912</v>
      </c>
      <c r="D285" s="2" t="s">
        <v>1694</v>
      </c>
      <c r="E285" s="2" t="s">
        <v>57</v>
      </c>
      <c r="F285" s="2" t="s">
        <v>36</v>
      </c>
      <c r="G285" s="2" t="s">
        <v>42</v>
      </c>
      <c r="H285" s="2" t="s">
        <v>1695</v>
      </c>
      <c r="I285" s="3" t="s">
        <v>337</v>
      </c>
      <c r="J285" s="2" t="s">
        <v>1696</v>
      </c>
      <c r="K285" s="2" t="s">
        <v>1697</v>
      </c>
      <c r="L285" s="4" t="n">
        <v>67</v>
      </c>
      <c r="M285" s="4" t="s">
        <v>44</v>
      </c>
      <c r="N285" s="5" t="n">
        <v>67</v>
      </c>
      <c r="O285" s="6" t="n">
        <v>95</v>
      </c>
      <c r="P285" s="6" t="s">
        <v>54</v>
      </c>
      <c r="Q285" s="7" t="n">
        <v>95</v>
      </c>
      <c r="R285" s="8" t="n">
        <v>86</v>
      </c>
      <c r="S285" s="8" t="s">
        <v>42</v>
      </c>
      <c r="T285" s="9" t="n">
        <v>86</v>
      </c>
      <c r="U285" s="10" t="n">
        <v>62</v>
      </c>
      <c r="V285" s="10" t="s">
        <v>44</v>
      </c>
      <c r="W285" s="11" t="n">
        <v>62</v>
      </c>
      <c r="X285" s="12" t="n">
        <v>93</v>
      </c>
      <c r="Y285" s="12" t="s">
        <v>54</v>
      </c>
      <c r="Z285" s="13" t="n">
        <v>93</v>
      </c>
      <c r="AA285" s="14" t="n">
        <v>91</v>
      </c>
      <c r="AB285" s="14" t="s">
        <v>54</v>
      </c>
      <c r="AC285" s="15" t="n">
        <v>91</v>
      </c>
      <c r="AD285" s="2" t="n">
        <f aca="false">SUM(L285,O285,R285,U285,X285,AA285)</f>
        <v>494</v>
      </c>
      <c r="AE285" s="16" t="n">
        <f aca="false">AD285/6</f>
        <v>82.3333333333333</v>
      </c>
      <c r="AF285" s="2" t="str">
        <f aca="false">IF(SUM(COUNTIF(M285,"RA"),COUNTIF(P285,"RA"),COUNTIF(S285,"RA"),COUNTIF(V285,"RA"),COUNTIF(Y285,"RA"),COUNTIF(AB285,"RA"))&gt;0,"FAIL","PASS")</f>
        <v>PASS</v>
      </c>
    </row>
    <row r="286" customFormat="false" ht="15" hidden="false" customHeight="false" outlineLevel="0" collapsed="false">
      <c r="A286" s="2" t="n">
        <v>285</v>
      </c>
      <c r="B286" s="3" t="s">
        <v>1698</v>
      </c>
      <c r="C286" s="2" t="s">
        <v>816</v>
      </c>
      <c r="D286" s="2" t="s">
        <v>1699</v>
      </c>
      <c r="E286" s="2" t="s">
        <v>35</v>
      </c>
      <c r="F286" s="2" t="s">
        <v>36</v>
      </c>
      <c r="G286" s="2" t="s">
        <v>42</v>
      </c>
      <c r="H286" s="2" t="s">
        <v>1700</v>
      </c>
      <c r="I286" s="3" t="s">
        <v>1701</v>
      </c>
      <c r="J286" s="2" t="s">
        <v>1702</v>
      </c>
      <c r="K286" s="2" t="s">
        <v>1703</v>
      </c>
      <c r="L286" s="4" t="n">
        <v>56</v>
      </c>
      <c r="M286" s="4" t="s">
        <v>53</v>
      </c>
      <c r="N286" s="5" t="n">
        <v>56</v>
      </c>
      <c r="O286" s="6" t="n">
        <v>97</v>
      </c>
      <c r="P286" s="6" t="s">
        <v>54</v>
      </c>
      <c r="Q286" s="7" t="n">
        <v>97</v>
      </c>
      <c r="R286" s="8" t="n">
        <v>82</v>
      </c>
      <c r="S286" s="8" t="s">
        <v>42</v>
      </c>
      <c r="T286" s="9" t="n">
        <v>82</v>
      </c>
      <c r="U286" s="10" t="n">
        <v>64</v>
      </c>
      <c r="V286" s="10" t="s">
        <v>44</v>
      </c>
      <c r="W286" s="11" t="n">
        <v>64</v>
      </c>
      <c r="X286" s="12" t="n">
        <v>69</v>
      </c>
      <c r="Y286" s="12" t="s">
        <v>44</v>
      </c>
      <c r="Z286" s="13" t="n">
        <v>69</v>
      </c>
      <c r="AA286" s="14" t="n">
        <v>99</v>
      </c>
      <c r="AB286" s="14" t="s">
        <v>54</v>
      </c>
      <c r="AC286" s="15" t="n">
        <v>99</v>
      </c>
      <c r="AD286" s="2" t="n">
        <f aca="false">SUM(L286,O286,R286,U286,X286,AA286)</f>
        <v>467</v>
      </c>
      <c r="AE286" s="16" t="n">
        <f aca="false">AD286/6</f>
        <v>77.8333333333333</v>
      </c>
      <c r="AF286" s="2" t="str">
        <f aca="false">IF(SUM(COUNTIF(M286,"RA"),COUNTIF(P286,"RA"),COUNTIF(S286,"RA"),COUNTIF(V286,"RA"),COUNTIF(Y286,"RA"),COUNTIF(AB286,"RA"))&gt;0,"FAIL","PASS")</f>
        <v>PASS</v>
      </c>
    </row>
    <row r="287" customFormat="false" ht="15" hidden="false" customHeight="false" outlineLevel="0" collapsed="false">
      <c r="A287" s="2" t="n">
        <v>286</v>
      </c>
      <c r="B287" s="3" t="s">
        <v>1704</v>
      </c>
      <c r="C287" s="2" t="s">
        <v>912</v>
      </c>
      <c r="D287" s="2" t="s">
        <v>1705</v>
      </c>
      <c r="E287" s="2" t="s">
        <v>35</v>
      </c>
      <c r="F287" s="2" t="s">
        <v>36</v>
      </c>
      <c r="G287" s="2" t="s">
        <v>91</v>
      </c>
      <c r="H287" s="2" t="s">
        <v>1706</v>
      </c>
      <c r="I287" s="3" t="s">
        <v>1399</v>
      </c>
      <c r="J287" s="2" t="s">
        <v>1707</v>
      </c>
      <c r="K287" s="2" t="s">
        <v>1708</v>
      </c>
      <c r="L287" s="4" t="n">
        <v>52</v>
      </c>
      <c r="M287" s="4" t="s">
        <v>53</v>
      </c>
      <c r="N287" s="5" t="n">
        <v>52</v>
      </c>
      <c r="O287" s="6" t="n">
        <v>67</v>
      </c>
      <c r="P287" s="6" t="s">
        <v>44</v>
      </c>
      <c r="Q287" s="7" t="n">
        <v>67</v>
      </c>
      <c r="R287" s="8" t="n">
        <v>76</v>
      </c>
      <c r="S287" s="8" t="s">
        <v>43</v>
      </c>
      <c r="T287" s="9" t="n">
        <v>76</v>
      </c>
      <c r="U287" s="10" t="n">
        <v>81</v>
      </c>
      <c r="V287" s="10" t="s">
        <v>42</v>
      </c>
      <c r="W287" s="11" t="n">
        <v>81</v>
      </c>
      <c r="X287" s="12" t="n">
        <v>71</v>
      </c>
      <c r="Y287" s="12" t="s">
        <v>43</v>
      </c>
      <c r="Z287" s="13" t="n">
        <v>71</v>
      </c>
      <c r="AA287" s="14" t="n">
        <v>53</v>
      </c>
      <c r="AB287" s="14" t="s">
        <v>53</v>
      </c>
      <c r="AC287" s="15" t="n">
        <v>53</v>
      </c>
      <c r="AD287" s="2" t="n">
        <f aca="false">SUM(L287,O287,R287,U287,X287,AA287)</f>
        <v>400</v>
      </c>
      <c r="AE287" s="16" t="n">
        <f aca="false">AD287/6</f>
        <v>66.6666666666667</v>
      </c>
      <c r="AF287" s="2" t="str">
        <f aca="false">IF(SUM(COUNTIF(M287,"RA"),COUNTIF(P287,"RA"),COUNTIF(S287,"RA"),COUNTIF(V287,"RA"),COUNTIF(Y287,"RA"),COUNTIF(AB287,"RA"))&gt;0,"FAIL","PASS")</f>
        <v>PASS</v>
      </c>
    </row>
    <row r="288" customFormat="false" ht="15" hidden="false" customHeight="false" outlineLevel="0" collapsed="false">
      <c r="A288" s="2" t="n">
        <v>287</v>
      </c>
      <c r="B288" s="3" t="s">
        <v>1709</v>
      </c>
      <c r="C288" s="2" t="s">
        <v>803</v>
      </c>
      <c r="D288" s="2" t="s">
        <v>1710</v>
      </c>
      <c r="E288" s="2" t="s">
        <v>35</v>
      </c>
      <c r="F288" s="2" t="s">
        <v>36</v>
      </c>
      <c r="G288" s="2" t="s">
        <v>44</v>
      </c>
      <c r="H288" s="2" t="s">
        <v>1711</v>
      </c>
      <c r="I288" s="3" t="s">
        <v>533</v>
      </c>
      <c r="J288" s="2" t="s">
        <v>1712</v>
      </c>
      <c r="K288" s="2" t="s">
        <v>1713</v>
      </c>
      <c r="L288" s="4" t="n">
        <v>71</v>
      </c>
      <c r="M288" s="4" t="s">
        <v>43</v>
      </c>
      <c r="N288" s="5" t="n">
        <v>71</v>
      </c>
      <c r="O288" s="6" t="n">
        <v>93</v>
      </c>
      <c r="P288" s="6" t="s">
        <v>54</v>
      </c>
      <c r="Q288" s="7" t="n">
        <v>93</v>
      </c>
      <c r="R288" s="8" t="n">
        <v>79</v>
      </c>
      <c r="S288" s="8" t="s">
        <v>43</v>
      </c>
      <c r="T288" s="9" t="n">
        <v>79</v>
      </c>
      <c r="U288" s="10" t="n">
        <v>62</v>
      </c>
      <c r="V288" s="10" t="s">
        <v>44</v>
      </c>
      <c r="W288" s="11" t="n">
        <v>62</v>
      </c>
      <c r="X288" s="12" t="n">
        <v>94</v>
      </c>
      <c r="Y288" s="12" t="s">
        <v>54</v>
      </c>
      <c r="Z288" s="13" t="n">
        <v>94</v>
      </c>
      <c r="AA288" s="14" t="n">
        <v>74</v>
      </c>
      <c r="AB288" s="14" t="s">
        <v>43</v>
      </c>
      <c r="AC288" s="15" t="n">
        <v>74</v>
      </c>
      <c r="AD288" s="2" t="n">
        <f aca="false">SUM(L288,O288,R288,U288,X288,AA288)</f>
        <v>473</v>
      </c>
      <c r="AE288" s="16" t="n">
        <f aca="false">AD288/6</f>
        <v>78.8333333333333</v>
      </c>
      <c r="AF288" s="2" t="str">
        <f aca="false">IF(SUM(COUNTIF(M288,"RA"),COUNTIF(P288,"RA"),COUNTIF(S288,"RA"),COUNTIF(V288,"RA"),COUNTIF(Y288,"RA"),COUNTIF(AB288,"RA"))&gt;0,"FAIL","PASS")</f>
        <v>PASS</v>
      </c>
    </row>
    <row r="289" customFormat="false" ht="15" hidden="false" customHeight="false" outlineLevel="0" collapsed="false">
      <c r="A289" s="2" t="n">
        <v>288</v>
      </c>
      <c r="B289" s="3" t="s">
        <v>1714</v>
      </c>
      <c r="C289" s="2" t="s">
        <v>859</v>
      </c>
      <c r="D289" s="2" t="s">
        <v>1715</v>
      </c>
      <c r="E289" s="2" t="s">
        <v>35</v>
      </c>
      <c r="F289" s="2" t="s">
        <v>36</v>
      </c>
      <c r="G289" s="2" t="s">
        <v>78</v>
      </c>
      <c r="H289" s="2" t="s">
        <v>1716</v>
      </c>
      <c r="I289" s="3" t="s">
        <v>1717</v>
      </c>
      <c r="J289" s="2" t="s">
        <v>1718</v>
      </c>
      <c r="K289" s="2" t="s">
        <v>1719</v>
      </c>
      <c r="L289" s="4" t="n">
        <v>79</v>
      </c>
      <c r="M289" s="4" t="s">
        <v>43</v>
      </c>
      <c r="N289" s="5" t="n">
        <v>79</v>
      </c>
      <c r="O289" s="6" t="n">
        <v>75</v>
      </c>
      <c r="P289" s="6" t="s">
        <v>43</v>
      </c>
      <c r="Q289" s="7" t="n">
        <v>75</v>
      </c>
      <c r="R289" s="8" t="n">
        <v>88</v>
      </c>
      <c r="S289" s="8" t="s">
        <v>42</v>
      </c>
      <c r="T289" s="9" t="n">
        <v>88</v>
      </c>
      <c r="U289" s="10" t="n">
        <v>60</v>
      </c>
      <c r="V289" s="10" t="s">
        <v>44</v>
      </c>
      <c r="W289" s="11" t="n">
        <v>60</v>
      </c>
      <c r="X289" s="12" t="n">
        <v>97</v>
      </c>
      <c r="Y289" s="12" t="s">
        <v>54</v>
      </c>
      <c r="Z289" s="13" t="n">
        <v>97</v>
      </c>
      <c r="AA289" s="14" t="n">
        <v>44</v>
      </c>
      <c r="AB289" s="14" t="s">
        <v>45</v>
      </c>
      <c r="AC289" s="15" t="n">
        <v>44</v>
      </c>
      <c r="AD289" s="2" t="n">
        <f aca="false">SUM(L289,O289,R289,U289,X289,AA289)</f>
        <v>443</v>
      </c>
      <c r="AE289" s="16" t="n">
        <f aca="false">AD289/6</f>
        <v>73.8333333333333</v>
      </c>
      <c r="AF289" s="2" t="str">
        <f aca="false">IF(SUM(COUNTIF(M289,"RA"),COUNTIF(P289,"RA"),COUNTIF(S289,"RA"),COUNTIF(V289,"RA"),COUNTIF(Y289,"RA"),COUNTIF(AB289,"RA"))&gt;0,"FAIL","PASS")</f>
        <v>FAIL</v>
      </c>
    </row>
    <row r="290" customFormat="false" ht="15" hidden="false" customHeight="false" outlineLevel="0" collapsed="false">
      <c r="A290" s="2" t="n">
        <v>289</v>
      </c>
      <c r="B290" s="3" t="s">
        <v>1720</v>
      </c>
      <c r="C290" s="2" t="s">
        <v>803</v>
      </c>
      <c r="D290" s="2" t="s">
        <v>1721</v>
      </c>
      <c r="E290" s="2" t="s">
        <v>35</v>
      </c>
      <c r="F290" s="2" t="s">
        <v>36</v>
      </c>
      <c r="G290" s="2" t="s">
        <v>64</v>
      </c>
      <c r="H290" s="2" t="s">
        <v>1722</v>
      </c>
      <c r="I290" s="3" t="s">
        <v>1723</v>
      </c>
      <c r="J290" s="2" t="s">
        <v>1724</v>
      </c>
      <c r="K290" s="2" t="s">
        <v>1725</v>
      </c>
      <c r="L290" s="4" t="n">
        <v>59</v>
      </c>
      <c r="M290" s="4" t="s">
        <v>53</v>
      </c>
      <c r="N290" s="5" t="n">
        <v>59</v>
      </c>
      <c r="O290" s="6" t="n">
        <v>94</v>
      </c>
      <c r="P290" s="6" t="s">
        <v>54</v>
      </c>
      <c r="Q290" s="7" t="n">
        <v>94</v>
      </c>
      <c r="R290" s="8" t="n">
        <v>82</v>
      </c>
      <c r="S290" s="8" t="s">
        <v>42</v>
      </c>
      <c r="T290" s="9" t="n">
        <v>82</v>
      </c>
      <c r="U290" s="10" t="n">
        <v>76</v>
      </c>
      <c r="V290" s="10" t="s">
        <v>43</v>
      </c>
      <c r="W290" s="11" t="n">
        <v>76</v>
      </c>
      <c r="X290" s="12" t="n">
        <v>43</v>
      </c>
      <c r="Y290" s="12" t="s">
        <v>45</v>
      </c>
      <c r="Z290" s="13" t="n">
        <v>43</v>
      </c>
      <c r="AA290" s="14" t="n">
        <v>81</v>
      </c>
      <c r="AB290" s="14" t="s">
        <v>42</v>
      </c>
      <c r="AC290" s="15" t="n">
        <v>81</v>
      </c>
      <c r="AD290" s="2" t="n">
        <f aca="false">SUM(L290,O290,R290,U290,X290,AA290)</f>
        <v>435</v>
      </c>
      <c r="AE290" s="16" t="n">
        <f aca="false">AD290/6</f>
        <v>72.5</v>
      </c>
      <c r="AF290" s="2" t="str">
        <f aca="false">IF(SUM(COUNTIF(M290,"RA"),COUNTIF(P290,"RA"),COUNTIF(S290,"RA"),COUNTIF(V290,"RA"),COUNTIF(Y290,"RA"),COUNTIF(AB290,"RA"))&gt;0,"FAIL","PASS")</f>
        <v>FAIL</v>
      </c>
    </row>
    <row r="291" customFormat="false" ht="15" hidden="false" customHeight="false" outlineLevel="0" collapsed="false">
      <c r="A291" s="2" t="n">
        <v>290</v>
      </c>
      <c r="B291" s="3" t="s">
        <v>1726</v>
      </c>
      <c r="C291" s="2" t="s">
        <v>770</v>
      </c>
      <c r="D291" s="2" t="s">
        <v>1727</v>
      </c>
      <c r="E291" s="2" t="s">
        <v>35</v>
      </c>
      <c r="F291" s="2" t="s">
        <v>36</v>
      </c>
      <c r="G291" s="2" t="s">
        <v>42</v>
      </c>
      <c r="H291" s="2" t="s">
        <v>1728</v>
      </c>
      <c r="I291" s="3" t="s">
        <v>1729</v>
      </c>
      <c r="J291" s="2" t="s">
        <v>1730</v>
      </c>
      <c r="K291" s="2" t="s">
        <v>1731</v>
      </c>
      <c r="L291" s="4" t="n">
        <v>66</v>
      </c>
      <c r="M291" s="4" t="s">
        <v>44</v>
      </c>
      <c r="N291" s="5" t="n">
        <v>66</v>
      </c>
      <c r="O291" s="6" t="n">
        <v>53</v>
      </c>
      <c r="P291" s="6" t="s">
        <v>53</v>
      </c>
      <c r="Q291" s="7" t="n">
        <v>53</v>
      </c>
      <c r="R291" s="8" t="n">
        <v>54</v>
      </c>
      <c r="S291" s="8" t="s">
        <v>53</v>
      </c>
      <c r="T291" s="9" t="n">
        <v>54</v>
      </c>
      <c r="U291" s="10" t="n">
        <v>79</v>
      </c>
      <c r="V291" s="10" t="s">
        <v>43</v>
      </c>
      <c r="W291" s="11" t="n">
        <v>79</v>
      </c>
      <c r="X291" s="12" t="n">
        <v>72</v>
      </c>
      <c r="Y291" s="12" t="s">
        <v>43</v>
      </c>
      <c r="Z291" s="13" t="n">
        <v>72</v>
      </c>
      <c r="AA291" s="14" t="n">
        <v>97</v>
      </c>
      <c r="AB291" s="14" t="s">
        <v>54</v>
      </c>
      <c r="AC291" s="15" t="n">
        <v>97</v>
      </c>
      <c r="AD291" s="2" t="n">
        <f aca="false">SUM(L291,O291,R291,U291,X291,AA291)</f>
        <v>421</v>
      </c>
      <c r="AE291" s="16" t="n">
        <f aca="false">AD291/6</f>
        <v>70.1666666666667</v>
      </c>
      <c r="AF291" s="2" t="str">
        <f aca="false">IF(SUM(COUNTIF(M291,"RA"),COUNTIF(P291,"RA"),COUNTIF(S291,"RA"),COUNTIF(V291,"RA"),COUNTIF(Y291,"RA"),COUNTIF(AB291,"RA"))&gt;0,"FAIL","PASS")</f>
        <v>PASS</v>
      </c>
    </row>
    <row r="292" customFormat="false" ht="15" hidden="false" customHeight="false" outlineLevel="0" collapsed="false">
      <c r="A292" s="2" t="n">
        <v>291</v>
      </c>
      <c r="B292" s="3" t="s">
        <v>1732</v>
      </c>
      <c r="C292" s="2" t="s">
        <v>770</v>
      </c>
      <c r="D292" s="2" t="s">
        <v>1733</v>
      </c>
      <c r="E292" s="2" t="s">
        <v>57</v>
      </c>
      <c r="F292" s="2" t="s">
        <v>36</v>
      </c>
      <c r="G292" s="2" t="s">
        <v>78</v>
      </c>
      <c r="H292" s="2" t="s">
        <v>1734</v>
      </c>
      <c r="I292" s="3" t="s">
        <v>1467</v>
      </c>
      <c r="J292" s="2" t="s">
        <v>1735</v>
      </c>
      <c r="K292" s="2" t="s">
        <v>1736</v>
      </c>
      <c r="L292" s="4" t="n">
        <v>68</v>
      </c>
      <c r="M292" s="4" t="s">
        <v>44</v>
      </c>
      <c r="N292" s="5" t="n">
        <v>68</v>
      </c>
      <c r="O292" s="6" t="n">
        <v>83</v>
      </c>
      <c r="P292" s="6" t="s">
        <v>42</v>
      </c>
      <c r="Q292" s="7" t="n">
        <v>83</v>
      </c>
      <c r="R292" s="8" t="n">
        <v>70</v>
      </c>
      <c r="S292" s="8" t="s">
        <v>43</v>
      </c>
      <c r="T292" s="9" t="n">
        <v>70</v>
      </c>
      <c r="U292" s="10" t="n">
        <v>82</v>
      </c>
      <c r="V292" s="10" t="s">
        <v>42</v>
      </c>
      <c r="W292" s="11" t="n">
        <v>82</v>
      </c>
      <c r="X292" s="12" t="n">
        <v>85</v>
      </c>
      <c r="Y292" s="12" t="s">
        <v>42</v>
      </c>
      <c r="Z292" s="13" t="n">
        <v>85</v>
      </c>
      <c r="AA292" s="14" t="n">
        <v>84</v>
      </c>
      <c r="AB292" s="14" t="s">
        <v>42</v>
      </c>
      <c r="AC292" s="15" t="n">
        <v>84</v>
      </c>
      <c r="AD292" s="2" t="n">
        <f aca="false">SUM(L292,O292,R292,U292,X292,AA292)</f>
        <v>472</v>
      </c>
      <c r="AE292" s="16" t="n">
        <f aca="false">AD292/6</f>
        <v>78.6666666666667</v>
      </c>
      <c r="AF292" s="2" t="str">
        <f aca="false">IF(SUM(COUNTIF(M292,"RA"),COUNTIF(P292,"RA"),COUNTIF(S292,"RA"),COUNTIF(V292,"RA"),COUNTIF(Y292,"RA"),COUNTIF(AB292,"RA"))&gt;0,"FAIL","PASS")</f>
        <v>PASS</v>
      </c>
    </row>
    <row r="293" customFormat="false" ht="15" hidden="false" customHeight="false" outlineLevel="0" collapsed="false">
      <c r="A293" s="2" t="n">
        <v>292</v>
      </c>
      <c r="B293" s="3" t="s">
        <v>1737</v>
      </c>
      <c r="C293" s="2" t="s">
        <v>912</v>
      </c>
      <c r="D293" s="2" t="s">
        <v>1738</v>
      </c>
      <c r="E293" s="2" t="s">
        <v>57</v>
      </c>
      <c r="F293" s="2" t="s">
        <v>36</v>
      </c>
      <c r="G293" s="2" t="s">
        <v>64</v>
      </c>
      <c r="H293" s="2" t="s">
        <v>1539</v>
      </c>
      <c r="I293" s="3" t="s">
        <v>1739</v>
      </c>
      <c r="J293" s="2" t="s">
        <v>1740</v>
      </c>
      <c r="K293" s="2" t="s">
        <v>1741</v>
      </c>
      <c r="L293" s="4" t="n">
        <v>75</v>
      </c>
      <c r="M293" s="4" t="s">
        <v>43</v>
      </c>
      <c r="N293" s="5" t="n">
        <v>75</v>
      </c>
      <c r="O293" s="6" t="n">
        <v>60</v>
      </c>
      <c r="P293" s="6" t="s">
        <v>44</v>
      </c>
      <c r="Q293" s="7" t="n">
        <v>60</v>
      </c>
      <c r="R293" s="8" t="n">
        <v>69</v>
      </c>
      <c r="S293" s="8" t="s">
        <v>44</v>
      </c>
      <c r="T293" s="9" t="n">
        <v>69</v>
      </c>
      <c r="U293" s="10" t="n">
        <v>96</v>
      </c>
      <c r="V293" s="10" t="s">
        <v>54</v>
      </c>
      <c r="W293" s="11" t="n">
        <v>96</v>
      </c>
      <c r="X293" s="12" t="n">
        <v>91</v>
      </c>
      <c r="Y293" s="12" t="s">
        <v>54</v>
      </c>
      <c r="Z293" s="13" t="n">
        <v>91</v>
      </c>
      <c r="AA293" s="14" t="n">
        <v>41</v>
      </c>
      <c r="AB293" s="14" t="s">
        <v>45</v>
      </c>
      <c r="AC293" s="15" t="n">
        <v>41</v>
      </c>
      <c r="AD293" s="2" t="n">
        <f aca="false">SUM(L293,O293,R293,U293,X293,AA293)</f>
        <v>432</v>
      </c>
      <c r="AE293" s="16" t="n">
        <f aca="false">AD293/6</f>
        <v>72</v>
      </c>
      <c r="AF293" s="2" t="str">
        <f aca="false">IF(SUM(COUNTIF(M293,"RA"),COUNTIF(P293,"RA"),COUNTIF(S293,"RA"),COUNTIF(V293,"RA"),COUNTIF(Y293,"RA"),COUNTIF(AB293,"RA"))&gt;0,"FAIL","PASS")</f>
        <v>FAIL</v>
      </c>
    </row>
    <row r="294" customFormat="false" ht="15" hidden="false" customHeight="false" outlineLevel="0" collapsed="false">
      <c r="A294" s="2" t="n">
        <v>293</v>
      </c>
      <c r="B294" s="3" t="s">
        <v>1742</v>
      </c>
      <c r="C294" s="2" t="s">
        <v>816</v>
      </c>
      <c r="D294" s="2" t="s">
        <v>1743</v>
      </c>
      <c r="E294" s="2" t="s">
        <v>35</v>
      </c>
      <c r="F294" s="2" t="s">
        <v>36</v>
      </c>
      <c r="G294" s="2" t="s">
        <v>91</v>
      </c>
      <c r="H294" s="2" t="s">
        <v>1744</v>
      </c>
      <c r="I294" s="3" t="s">
        <v>1347</v>
      </c>
      <c r="J294" s="2" t="s">
        <v>1745</v>
      </c>
      <c r="K294" s="2" t="s">
        <v>1746</v>
      </c>
      <c r="L294" s="4" t="n">
        <v>82</v>
      </c>
      <c r="M294" s="4" t="s">
        <v>42</v>
      </c>
      <c r="N294" s="5" t="n">
        <v>82</v>
      </c>
      <c r="O294" s="6" t="n">
        <v>84</v>
      </c>
      <c r="P294" s="6" t="s">
        <v>42</v>
      </c>
      <c r="Q294" s="7" t="n">
        <v>84</v>
      </c>
      <c r="R294" s="8" t="n">
        <v>89</v>
      </c>
      <c r="S294" s="8" t="s">
        <v>42</v>
      </c>
      <c r="T294" s="9" t="n">
        <v>89</v>
      </c>
      <c r="U294" s="10" t="n">
        <v>50</v>
      </c>
      <c r="V294" s="10" t="s">
        <v>53</v>
      </c>
      <c r="W294" s="11" t="n">
        <v>50</v>
      </c>
      <c r="X294" s="12" t="n">
        <v>74</v>
      </c>
      <c r="Y294" s="12" t="s">
        <v>43</v>
      </c>
      <c r="Z294" s="13" t="n">
        <v>74</v>
      </c>
      <c r="AA294" s="14" t="n">
        <v>70</v>
      </c>
      <c r="AB294" s="14" t="s">
        <v>43</v>
      </c>
      <c r="AC294" s="15" t="n">
        <v>70</v>
      </c>
      <c r="AD294" s="2" t="n">
        <f aca="false">SUM(L294,O294,R294,U294,X294,AA294)</f>
        <v>449</v>
      </c>
      <c r="AE294" s="16" t="n">
        <f aca="false">AD294/6</f>
        <v>74.8333333333333</v>
      </c>
      <c r="AF294" s="2" t="str">
        <f aca="false">IF(SUM(COUNTIF(M294,"RA"),COUNTIF(P294,"RA"),COUNTIF(S294,"RA"),COUNTIF(V294,"RA"),COUNTIF(Y294,"RA"),COUNTIF(AB294,"RA"))&gt;0,"FAIL","PASS")</f>
        <v>PASS</v>
      </c>
    </row>
    <row r="295" customFormat="false" ht="15" hidden="false" customHeight="false" outlineLevel="0" collapsed="false">
      <c r="A295" s="2" t="n">
        <v>294</v>
      </c>
      <c r="B295" s="3" t="s">
        <v>1747</v>
      </c>
      <c r="C295" s="2" t="s">
        <v>770</v>
      </c>
      <c r="D295" s="2" t="s">
        <v>1748</v>
      </c>
      <c r="E295" s="2" t="s">
        <v>57</v>
      </c>
      <c r="F295" s="2" t="s">
        <v>36</v>
      </c>
      <c r="G295" s="2" t="s">
        <v>37</v>
      </c>
      <c r="H295" s="2" t="s">
        <v>1749</v>
      </c>
      <c r="I295" s="3" t="s">
        <v>1750</v>
      </c>
      <c r="J295" s="2" t="s">
        <v>1751</v>
      </c>
      <c r="K295" s="2" t="s">
        <v>1752</v>
      </c>
      <c r="L295" s="4" t="n">
        <v>65</v>
      </c>
      <c r="M295" s="4" t="s">
        <v>44</v>
      </c>
      <c r="N295" s="5" t="n">
        <v>65</v>
      </c>
      <c r="O295" s="6" t="n">
        <v>42</v>
      </c>
      <c r="P295" s="6" t="s">
        <v>45</v>
      </c>
      <c r="Q295" s="7" t="n">
        <v>42</v>
      </c>
      <c r="R295" s="8" t="n">
        <v>55</v>
      </c>
      <c r="S295" s="8" t="s">
        <v>53</v>
      </c>
      <c r="T295" s="9" t="n">
        <v>55</v>
      </c>
      <c r="U295" s="10" t="n">
        <v>83</v>
      </c>
      <c r="V295" s="10" t="s">
        <v>42</v>
      </c>
      <c r="W295" s="11" t="n">
        <v>83</v>
      </c>
      <c r="X295" s="12" t="n">
        <v>65</v>
      </c>
      <c r="Y295" s="12" t="s">
        <v>44</v>
      </c>
      <c r="Z295" s="13" t="n">
        <v>65</v>
      </c>
      <c r="AA295" s="14" t="n">
        <v>48</v>
      </c>
      <c r="AB295" s="14" t="s">
        <v>45</v>
      </c>
      <c r="AC295" s="15" t="n">
        <v>48</v>
      </c>
      <c r="AD295" s="2" t="n">
        <f aca="false">SUM(L295,O295,R295,U295,X295,AA295)</f>
        <v>358</v>
      </c>
      <c r="AE295" s="16" t="n">
        <f aca="false">AD295/6</f>
        <v>59.6666666666667</v>
      </c>
      <c r="AF295" s="2" t="str">
        <f aca="false">IF(SUM(COUNTIF(M295,"RA"),COUNTIF(P295,"RA"),COUNTIF(S295,"RA"),COUNTIF(V295,"RA"),COUNTIF(Y295,"RA"),COUNTIF(AB295,"RA"))&gt;0,"FAIL","PASS")</f>
        <v>FAIL</v>
      </c>
    </row>
    <row r="296" customFormat="false" ht="15" hidden="false" customHeight="false" outlineLevel="0" collapsed="false">
      <c r="A296" s="2" t="n">
        <v>295</v>
      </c>
      <c r="B296" s="3" t="s">
        <v>1753</v>
      </c>
      <c r="C296" s="2" t="s">
        <v>803</v>
      </c>
      <c r="D296" s="2" t="s">
        <v>1754</v>
      </c>
      <c r="E296" s="2" t="s">
        <v>57</v>
      </c>
      <c r="F296" s="2" t="s">
        <v>36</v>
      </c>
      <c r="G296" s="2" t="s">
        <v>44</v>
      </c>
      <c r="H296" s="2" t="s">
        <v>1755</v>
      </c>
      <c r="I296" s="3" t="s">
        <v>1756</v>
      </c>
      <c r="J296" s="2" t="s">
        <v>1757</v>
      </c>
      <c r="K296" s="2" t="s">
        <v>1758</v>
      </c>
      <c r="L296" s="4" t="n">
        <v>82</v>
      </c>
      <c r="M296" s="4" t="s">
        <v>42</v>
      </c>
      <c r="N296" s="5" t="n">
        <v>82</v>
      </c>
      <c r="O296" s="6" t="n">
        <v>64</v>
      </c>
      <c r="P296" s="6" t="s">
        <v>44</v>
      </c>
      <c r="Q296" s="7" t="n">
        <v>64</v>
      </c>
      <c r="R296" s="8" t="n">
        <v>88</v>
      </c>
      <c r="S296" s="8" t="s">
        <v>42</v>
      </c>
      <c r="T296" s="9" t="n">
        <v>88</v>
      </c>
      <c r="U296" s="10" t="n">
        <v>71</v>
      </c>
      <c r="V296" s="10" t="s">
        <v>43</v>
      </c>
      <c r="W296" s="11" t="n">
        <v>71</v>
      </c>
      <c r="X296" s="12" t="n">
        <v>54</v>
      </c>
      <c r="Y296" s="12" t="s">
        <v>53</v>
      </c>
      <c r="Z296" s="13" t="n">
        <v>54</v>
      </c>
      <c r="AA296" s="14" t="n">
        <v>95</v>
      </c>
      <c r="AB296" s="14" t="s">
        <v>54</v>
      </c>
      <c r="AC296" s="15" t="n">
        <v>95</v>
      </c>
      <c r="AD296" s="2" t="n">
        <f aca="false">SUM(L296,O296,R296,U296,X296,AA296)</f>
        <v>454</v>
      </c>
      <c r="AE296" s="16" t="n">
        <f aca="false">AD296/6</f>
        <v>75.6666666666667</v>
      </c>
      <c r="AF296" s="2" t="str">
        <f aca="false">IF(SUM(COUNTIF(M296,"RA"),COUNTIF(P296,"RA"),COUNTIF(S296,"RA"),COUNTIF(V296,"RA"),COUNTIF(Y296,"RA"),COUNTIF(AB296,"RA"))&gt;0,"FAIL","PASS")</f>
        <v>PASS</v>
      </c>
    </row>
    <row r="297" customFormat="false" ht="15" hidden="false" customHeight="false" outlineLevel="0" collapsed="false">
      <c r="A297" s="2" t="n">
        <v>296</v>
      </c>
      <c r="B297" s="3" t="s">
        <v>1759</v>
      </c>
      <c r="C297" s="2" t="s">
        <v>912</v>
      </c>
      <c r="D297" s="2" t="s">
        <v>1760</v>
      </c>
      <c r="E297" s="2" t="s">
        <v>57</v>
      </c>
      <c r="F297" s="2" t="s">
        <v>36</v>
      </c>
      <c r="G297" s="2" t="s">
        <v>44</v>
      </c>
      <c r="H297" s="2" t="s">
        <v>1761</v>
      </c>
      <c r="I297" s="3" t="s">
        <v>1762</v>
      </c>
      <c r="J297" s="2" t="s">
        <v>1763</v>
      </c>
      <c r="K297" s="2" t="s">
        <v>1764</v>
      </c>
      <c r="L297" s="4" t="n">
        <v>98</v>
      </c>
      <c r="M297" s="4" t="s">
        <v>54</v>
      </c>
      <c r="N297" s="5" t="n">
        <v>98</v>
      </c>
      <c r="O297" s="6" t="n">
        <v>42</v>
      </c>
      <c r="P297" s="6" t="s">
        <v>45</v>
      </c>
      <c r="Q297" s="7" t="n">
        <v>42</v>
      </c>
      <c r="R297" s="8" t="n">
        <v>61</v>
      </c>
      <c r="S297" s="8" t="s">
        <v>44</v>
      </c>
      <c r="T297" s="9" t="n">
        <v>61</v>
      </c>
      <c r="U297" s="10" t="n">
        <v>90</v>
      </c>
      <c r="V297" s="10" t="s">
        <v>54</v>
      </c>
      <c r="W297" s="11" t="n">
        <v>90</v>
      </c>
      <c r="X297" s="12" t="n">
        <v>74</v>
      </c>
      <c r="Y297" s="12" t="s">
        <v>43</v>
      </c>
      <c r="Z297" s="13" t="n">
        <v>74</v>
      </c>
      <c r="AA297" s="14" t="n">
        <v>85</v>
      </c>
      <c r="AB297" s="14" t="s">
        <v>42</v>
      </c>
      <c r="AC297" s="15" t="n">
        <v>85</v>
      </c>
      <c r="AD297" s="2" t="n">
        <f aca="false">SUM(L297,O297,R297,U297,X297,AA297)</f>
        <v>450</v>
      </c>
      <c r="AE297" s="16" t="n">
        <f aca="false">AD297/6</f>
        <v>75</v>
      </c>
      <c r="AF297" s="2" t="str">
        <f aca="false">IF(SUM(COUNTIF(M297,"RA"),COUNTIF(P297,"RA"),COUNTIF(S297,"RA"),COUNTIF(V297,"RA"),COUNTIF(Y297,"RA"),COUNTIF(AB297,"RA"))&gt;0,"FAIL","PASS")</f>
        <v>FAIL</v>
      </c>
    </row>
    <row r="298" customFormat="false" ht="15" hidden="false" customHeight="false" outlineLevel="0" collapsed="false">
      <c r="A298" s="2" t="n">
        <v>297</v>
      </c>
      <c r="B298" s="3" t="s">
        <v>1765</v>
      </c>
      <c r="C298" s="2" t="s">
        <v>757</v>
      </c>
      <c r="D298" s="2" t="s">
        <v>1766</v>
      </c>
      <c r="E298" s="2" t="s">
        <v>35</v>
      </c>
      <c r="F298" s="2" t="s">
        <v>36</v>
      </c>
      <c r="G298" s="2" t="s">
        <v>64</v>
      </c>
      <c r="H298" s="2" t="s">
        <v>1767</v>
      </c>
      <c r="I298" s="3" t="s">
        <v>1768</v>
      </c>
      <c r="J298" s="2" t="s">
        <v>1769</v>
      </c>
      <c r="K298" s="2" t="s">
        <v>1770</v>
      </c>
      <c r="L298" s="4" t="n">
        <v>99</v>
      </c>
      <c r="M298" s="4" t="s">
        <v>54</v>
      </c>
      <c r="N298" s="5" t="n">
        <v>99</v>
      </c>
      <c r="O298" s="6" t="n">
        <v>61</v>
      </c>
      <c r="P298" s="6" t="s">
        <v>44</v>
      </c>
      <c r="Q298" s="7" t="n">
        <v>61</v>
      </c>
      <c r="R298" s="8" t="n">
        <v>50</v>
      </c>
      <c r="S298" s="8" t="s">
        <v>53</v>
      </c>
      <c r="T298" s="9" t="n">
        <v>50</v>
      </c>
      <c r="U298" s="10" t="n">
        <v>64</v>
      </c>
      <c r="V298" s="10" t="s">
        <v>44</v>
      </c>
      <c r="W298" s="11" t="n">
        <v>64</v>
      </c>
      <c r="X298" s="12" t="n">
        <v>99</v>
      </c>
      <c r="Y298" s="12" t="s">
        <v>54</v>
      </c>
      <c r="Z298" s="13" t="n">
        <v>99</v>
      </c>
      <c r="AA298" s="14" t="n">
        <v>55</v>
      </c>
      <c r="AB298" s="14" t="s">
        <v>53</v>
      </c>
      <c r="AC298" s="15" t="n">
        <v>55</v>
      </c>
      <c r="AD298" s="2" t="n">
        <f aca="false">SUM(L298,O298,R298,U298,X298,AA298)</f>
        <v>428</v>
      </c>
      <c r="AE298" s="16" t="n">
        <f aca="false">AD298/6</f>
        <v>71.3333333333333</v>
      </c>
      <c r="AF298" s="2" t="str">
        <f aca="false">IF(SUM(COUNTIF(M298,"RA"),COUNTIF(P298,"RA"),COUNTIF(S298,"RA"),COUNTIF(V298,"RA"),COUNTIF(Y298,"RA"),COUNTIF(AB298,"RA"))&gt;0,"FAIL","PASS")</f>
        <v>PASS</v>
      </c>
    </row>
    <row r="299" customFormat="false" ht="15" hidden="false" customHeight="false" outlineLevel="0" collapsed="false">
      <c r="A299" s="2" t="n">
        <v>298</v>
      </c>
      <c r="B299" s="3" t="s">
        <v>1771</v>
      </c>
      <c r="C299" s="2" t="s">
        <v>783</v>
      </c>
      <c r="D299" s="2" t="s">
        <v>1772</v>
      </c>
      <c r="E299" s="2" t="s">
        <v>57</v>
      </c>
      <c r="F299" s="2" t="s">
        <v>36</v>
      </c>
      <c r="G299" s="2" t="s">
        <v>91</v>
      </c>
      <c r="H299" s="2" t="s">
        <v>1773</v>
      </c>
      <c r="I299" s="3" t="s">
        <v>1774</v>
      </c>
      <c r="J299" s="2" t="s">
        <v>1775</v>
      </c>
      <c r="K299" s="2" t="s">
        <v>1776</v>
      </c>
      <c r="L299" s="4" t="n">
        <v>74</v>
      </c>
      <c r="M299" s="4" t="s">
        <v>43</v>
      </c>
      <c r="N299" s="5" t="n">
        <v>74</v>
      </c>
      <c r="O299" s="6" t="n">
        <v>78</v>
      </c>
      <c r="P299" s="6" t="s">
        <v>43</v>
      </c>
      <c r="Q299" s="7" t="n">
        <v>78</v>
      </c>
      <c r="R299" s="8" t="n">
        <v>74</v>
      </c>
      <c r="S299" s="8" t="s">
        <v>43</v>
      </c>
      <c r="T299" s="9" t="n">
        <v>74</v>
      </c>
      <c r="U299" s="10" t="n">
        <v>77</v>
      </c>
      <c r="V299" s="10" t="s">
        <v>43</v>
      </c>
      <c r="W299" s="11" t="n">
        <v>77</v>
      </c>
      <c r="X299" s="12" t="n">
        <v>66</v>
      </c>
      <c r="Y299" s="12" t="s">
        <v>44</v>
      </c>
      <c r="Z299" s="13" t="n">
        <v>66</v>
      </c>
      <c r="AA299" s="14" t="n">
        <v>75</v>
      </c>
      <c r="AB299" s="14" t="s">
        <v>43</v>
      </c>
      <c r="AC299" s="15" t="n">
        <v>75</v>
      </c>
      <c r="AD299" s="2" t="n">
        <f aca="false">SUM(L299,O299,R299,U299,X299,AA299)</f>
        <v>444</v>
      </c>
      <c r="AE299" s="16" t="n">
        <f aca="false">AD299/6</f>
        <v>74</v>
      </c>
      <c r="AF299" s="2" t="str">
        <f aca="false">IF(SUM(COUNTIF(M299,"RA"),COUNTIF(P299,"RA"),COUNTIF(S299,"RA"),COUNTIF(V299,"RA"),COUNTIF(Y299,"RA"),COUNTIF(AB299,"RA"))&gt;0,"FAIL","PASS")</f>
        <v>PASS</v>
      </c>
    </row>
    <row r="300" customFormat="false" ht="15" hidden="false" customHeight="false" outlineLevel="0" collapsed="false">
      <c r="A300" s="2" t="n">
        <v>299</v>
      </c>
      <c r="B300" s="3" t="s">
        <v>1777</v>
      </c>
      <c r="C300" s="2" t="s">
        <v>841</v>
      </c>
      <c r="D300" s="2" t="s">
        <v>1778</v>
      </c>
      <c r="E300" s="2" t="s">
        <v>35</v>
      </c>
      <c r="F300" s="2" t="s">
        <v>36</v>
      </c>
      <c r="G300" s="2" t="s">
        <v>78</v>
      </c>
      <c r="H300" s="2" t="s">
        <v>1779</v>
      </c>
      <c r="I300" s="3" t="s">
        <v>1780</v>
      </c>
      <c r="J300" s="2" t="s">
        <v>1781</v>
      </c>
      <c r="K300" s="2" t="s">
        <v>1782</v>
      </c>
      <c r="L300" s="4" t="n">
        <v>87</v>
      </c>
      <c r="M300" s="4" t="s">
        <v>42</v>
      </c>
      <c r="N300" s="5" t="n">
        <v>87</v>
      </c>
      <c r="O300" s="6" t="n">
        <v>71</v>
      </c>
      <c r="P300" s="6" t="s">
        <v>43</v>
      </c>
      <c r="Q300" s="7" t="n">
        <v>71</v>
      </c>
      <c r="R300" s="8" t="n">
        <v>61</v>
      </c>
      <c r="S300" s="8" t="s">
        <v>44</v>
      </c>
      <c r="T300" s="9" t="n">
        <v>61</v>
      </c>
      <c r="U300" s="10" t="n">
        <v>99</v>
      </c>
      <c r="V300" s="10" t="s">
        <v>54</v>
      </c>
      <c r="W300" s="11" t="n">
        <v>99</v>
      </c>
      <c r="X300" s="12" t="n">
        <v>91</v>
      </c>
      <c r="Y300" s="12" t="s">
        <v>54</v>
      </c>
      <c r="Z300" s="13" t="n">
        <v>91</v>
      </c>
      <c r="AA300" s="14" t="n">
        <v>58</v>
      </c>
      <c r="AB300" s="14" t="s">
        <v>53</v>
      </c>
      <c r="AC300" s="15" t="n">
        <v>58</v>
      </c>
      <c r="AD300" s="2" t="n">
        <f aca="false">SUM(L300,O300,R300,U300,X300,AA300)</f>
        <v>467</v>
      </c>
      <c r="AE300" s="16" t="n">
        <f aca="false">AD300/6</f>
        <v>77.8333333333333</v>
      </c>
      <c r="AF300" s="2" t="str">
        <f aca="false">IF(SUM(COUNTIF(M300,"RA"),COUNTIF(P300,"RA"),COUNTIF(S300,"RA"),COUNTIF(V300,"RA"),COUNTIF(Y300,"RA"),COUNTIF(AB300,"RA"))&gt;0,"FAIL","PASS")</f>
        <v>PASS</v>
      </c>
    </row>
    <row r="301" customFormat="false" ht="15" hidden="false" customHeight="false" outlineLevel="0" collapsed="false">
      <c r="A301" s="2" t="n">
        <v>300</v>
      </c>
      <c r="B301" s="3" t="s">
        <v>1783</v>
      </c>
      <c r="C301" s="2" t="s">
        <v>783</v>
      </c>
      <c r="D301" s="2" t="s">
        <v>1784</v>
      </c>
      <c r="E301" s="2" t="s">
        <v>57</v>
      </c>
      <c r="F301" s="2" t="s">
        <v>36</v>
      </c>
      <c r="G301" s="2" t="s">
        <v>42</v>
      </c>
      <c r="H301" s="2" t="s">
        <v>1785</v>
      </c>
      <c r="I301" s="3" t="s">
        <v>915</v>
      </c>
      <c r="J301" s="2" t="s">
        <v>1786</v>
      </c>
      <c r="K301" s="2" t="s">
        <v>1787</v>
      </c>
      <c r="L301" s="4" t="n">
        <v>94</v>
      </c>
      <c r="M301" s="4" t="s">
        <v>54</v>
      </c>
      <c r="N301" s="5" t="n">
        <v>94</v>
      </c>
      <c r="O301" s="6" t="n">
        <v>78</v>
      </c>
      <c r="P301" s="6" t="s">
        <v>43</v>
      </c>
      <c r="Q301" s="7" t="n">
        <v>78</v>
      </c>
      <c r="R301" s="8" t="n">
        <v>73</v>
      </c>
      <c r="S301" s="8" t="s">
        <v>43</v>
      </c>
      <c r="T301" s="9" t="n">
        <v>73</v>
      </c>
      <c r="U301" s="10" t="n">
        <v>79</v>
      </c>
      <c r="V301" s="10" t="s">
        <v>43</v>
      </c>
      <c r="W301" s="11" t="n">
        <v>79</v>
      </c>
      <c r="X301" s="12" t="n">
        <v>67</v>
      </c>
      <c r="Y301" s="12" t="s">
        <v>44</v>
      </c>
      <c r="Z301" s="13" t="n">
        <v>67</v>
      </c>
      <c r="AA301" s="14" t="n">
        <v>92</v>
      </c>
      <c r="AB301" s="14" t="s">
        <v>54</v>
      </c>
      <c r="AC301" s="15" t="n">
        <v>92</v>
      </c>
      <c r="AD301" s="2" t="n">
        <f aca="false">SUM(L301,O301,R301,U301,X301,AA301)</f>
        <v>483</v>
      </c>
      <c r="AE301" s="16" t="n">
        <f aca="false">AD301/6</f>
        <v>80.5</v>
      </c>
      <c r="AF301" s="2" t="str">
        <f aca="false">IF(SUM(COUNTIF(M301,"RA"),COUNTIF(P301,"RA"),COUNTIF(S301,"RA"),COUNTIF(V301,"RA"),COUNTIF(Y301,"RA"),COUNTIF(AB301,"RA"))&gt;0,"FAIL","PASS")</f>
        <v>PASS</v>
      </c>
    </row>
    <row r="302" customFormat="false" ht="15" hidden="false" customHeight="false" outlineLevel="0" collapsed="false">
      <c r="A302" s="2" t="n">
        <v>301</v>
      </c>
      <c r="B302" s="3" t="s">
        <v>1788</v>
      </c>
      <c r="C302" s="2" t="s">
        <v>790</v>
      </c>
      <c r="D302" s="2" t="s">
        <v>1789</v>
      </c>
      <c r="E302" s="2" t="s">
        <v>35</v>
      </c>
      <c r="F302" s="2" t="s">
        <v>36</v>
      </c>
      <c r="G302" s="2" t="s">
        <v>48</v>
      </c>
      <c r="H302" s="2" t="s">
        <v>1790</v>
      </c>
      <c r="I302" s="3" t="s">
        <v>585</v>
      </c>
      <c r="J302" s="2" t="s">
        <v>1791</v>
      </c>
      <c r="K302" s="2" t="s">
        <v>1792</v>
      </c>
      <c r="L302" s="4" t="n">
        <v>98</v>
      </c>
      <c r="M302" s="4" t="s">
        <v>54</v>
      </c>
      <c r="N302" s="5" t="n">
        <v>98</v>
      </c>
      <c r="O302" s="6" t="n">
        <v>93</v>
      </c>
      <c r="P302" s="6" t="s">
        <v>54</v>
      </c>
      <c r="Q302" s="7" t="n">
        <v>93</v>
      </c>
      <c r="R302" s="8" t="n">
        <v>62</v>
      </c>
      <c r="S302" s="8" t="s">
        <v>44</v>
      </c>
      <c r="T302" s="9" t="n">
        <v>62</v>
      </c>
      <c r="U302" s="10" t="n">
        <v>87</v>
      </c>
      <c r="V302" s="10" t="s">
        <v>42</v>
      </c>
      <c r="W302" s="11" t="n">
        <v>87</v>
      </c>
      <c r="X302" s="12" t="n">
        <v>86</v>
      </c>
      <c r="Y302" s="12" t="s">
        <v>42</v>
      </c>
      <c r="Z302" s="13" t="n">
        <v>86</v>
      </c>
      <c r="AA302" s="14" t="n">
        <v>54</v>
      </c>
      <c r="AB302" s="14" t="s">
        <v>53</v>
      </c>
      <c r="AC302" s="15" t="n">
        <v>54</v>
      </c>
      <c r="AD302" s="2" t="n">
        <f aca="false">SUM(L302,O302,R302,U302,X302,AA302)</f>
        <v>480</v>
      </c>
      <c r="AE302" s="16" t="n">
        <f aca="false">AD302/6</f>
        <v>80</v>
      </c>
      <c r="AF302" s="2" t="str">
        <f aca="false">IF(SUM(COUNTIF(M302,"RA"),COUNTIF(P302,"RA"),COUNTIF(S302,"RA"),COUNTIF(V302,"RA"),COUNTIF(Y302,"RA"),COUNTIF(AB302,"RA"))&gt;0,"FAIL","PASS")</f>
        <v>PASS</v>
      </c>
    </row>
    <row r="303" customFormat="false" ht="15" hidden="false" customHeight="false" outlineLevel="0" collapsed="false">
      <c r="A303" s="2" t="n">
        <v>302</v>
      </c>
      <c r="B303" s="3" t="s">
        <v>1793</v>
      </c>
      <c r="C303" s="2" t="s">
        <v>790</v>
      </c>
      <c r="D303" s="2" t="s">
        <v>1794</v>
      </c>
      <c r="E303" s="2" t="s">
        <v>57</v>
      </c>
      <c r="F303" s="2" t="s">
        <v>36</v>
      </c>
      <c r="G303" s="2" t="s">
        <v>64</v>
      </c>
      <c r="H303" s="2" t="s">
        <v>1795</v>
      </c>
      <c r="I303" s="3" t="s">
        <v>1796</v>
      </c>
      <c r="J303" s="2" t="s">
        <v>1797</v>
      </c>
      <c r="K303" s="2" t="s">
        <v>1798</v>
      </c>
      <c r="L303" s="4" t="n">
        <v>78</v>
      </c>
      <c r="M303" s="4" t="s">
        <v>43</v>
      </c>
      <c r="N303" s="5" t="n">
        <v>78</v>
      </c>
      <c r="O303" s="6" t="n">
        <v>60</v>
      </c>
      <c r="P303" s="6" t="s">
        <v>44</v>
      </c>
      <c r="Q303" s="7" t="n">
        <v>60</v>
      </c>
      <c r="R303" s="8" t="n">
        <v>67</v>
      </c>
      <c r="S303" s="8" t="s">
        <v>44</v>
      </c>
      <c r="T303" s="9" t="n">
        <v>67</v>
      </c>
      <c r="U303" s="10" t="n">
        <v>95</v>
      </c>
      <c r="V303" s="10" t="s">
        <v>54</v>
      </c>
      <c r="W303" s="11" t="n">
        <v>95</v>
      </c>
      <c r="X303" s="12" t="n">
        <v>85</v>
      </c>
      <c r="Y303" s="12" t="s">
        <v>42</v>
      </c>
      <c r="Z303" s="13" t="n">
        <v>85</v>
      </c>
      <c r="AA303" s="14" t="n">
        <v>97</v>
      </c>
      <c r="AB303" s="14" t="s">
        <v>54</v>
      </c>
      <c r="AC303" s="15" t="n">
        <v>97</v>
      </c>
      <c r="AD303" s="2" t="n">
        <f aca="false">SUM(L303,O303,R303,U303,X303,AA303)</f>
        <v>482</v>
      </c>
      <c r="AE303" s="16" t="n">
        <f aca="false">AD303/6</f>
        <v>80.3333333333333</v>
      </c>
      <c r="AF303" s="2" t="str">
        <f aca="false">IF(SUM(COUNTIF(M303,"RA"),COUNTIF(P303,"RA"),COUNTIF(S303,"RA"),COUNTIF(V303,"RA"),COUNTIF(Y303,"RA"),COUNTIF(AB303,"RA"))&gt;0,"FAIL","PASS")</f>
        <v>PASS</v>
      </c>
    </row>
    <row r="304" customFormat="false" ht="15" hidden="false" customHeight="false" outlineLevel="0" collapsed="false">
      <c r="A304" s="2" t="n">
        <v>303</v>
      </c>
      <c r="B304" s="3" t="s">
        <v>1799</v>
      </c>
      <c r="C304" s="2" t="s">
        <v>912</v>
      </c>
      <c r="D304" s="2" t="s">
        <v>1800</v>
      </c>
      <c r="E304" s="2" t="s">
        <v>57</v>
      </c>
      <c r="F304" s="2" t="s">
        <v>36</v>
      </c>
      <c r="G304" s="2" t="s">
        <v>78</v>
      </c>
      <c r="H304" s="2" t="s">
        <v>1801</v>
      </c>
      <c r="I304" s="3" t="s">
        <v>1802</v>
      </c>
      <c r="J304" s="2" t="s">
        <v>1803</v>
      </c>
      <c r="K304" s="2" t="s">
        <v>1804</v>
      </c>
      <c r="L304" s="4" t="n">
        <v>98</v>
      </c>
      <c r="M304" s="4" t="s">
        <v>54</v>
      </c>
      <c r="N304" s="5" t="n">
        <v>98</v>
      </c>
      <c r="O304" s="6" t="n">
        <v>97</v>
      </c>
      <c r="P304" s="6" t="s">
        <v>54</v>
      </c>
      <c r="Q304" s="7" t="n">
        <v>97</v>
      </c>
      <c r="R304" s="8" t="n">
        <v>48</v>
      </c>
      <c r="S304" s="8" t="s">
        <v>45</v>
      </c>
      <c r="T304" s="9" t="n">
        <v>48</v>
      </c>
      <c r="U304" s="10" t="n">
        <v>58</v>
      </c>
      <c r="V304" s="10" t="s">
        <v>53</v>
      </c>
      <c r="W304" s="11" t="n">
        <v>58</v>
      </c>
      <c r="X304" s="12" t="n">
        <v>77</v>
      </c>
      <c r="Y304" s="12" t="s">
        <v>43</v>
      </c>
      <c r="Z304" s="13" t="n">
        <v>77</v>
      </c>
      <c r="AA304" s="14" t="n">
        <v>59</v>
      </c>
      <c r="AB304" s="14" t="s">
        <v>53</v>
      </c>
      <c r="AC304" s="15" t="n">
        <v>59</v>
      </c>
      <c r="AD304" s="2" t="n">
        <f aca="false">SUM(L304,O304,R304,U304,X304,AA304)</f>
        <v>437</v>
      </c>
      <c r="AE304" s="16" t="n">
        <f aca="false">AD304/6</f>
        <v>72.8333333333333</v>
      </c>
      <c r="AF304" s="2" t="str">
        <f aca="false">IF(SUM(COUNTIF(M304,"RA"),COUNTIF(P304,"RA"),COUNTIF(S304,"RA"),COUNTIF(V304,"RA"),COUNTIF(Y304,"RA"),COUNTIF(AB304,"RA"))&gt;0,"FAIL","PASS")</f>
        <v>FAIL</v>
      </c>
    </row>
    <row r="305" customFormat="false" ht="15" hidden="false" customHeight="false" outlineLevel="0" collapsed="false">
      <c r="A305" s="2" t="n">
        <v>304</v>
      </c>
      <c r="B305" s="3" t="s">
        <v>1805</v>
      </c>
      <c r="C305" s="2" t="s">
        <v>912</v>
      </c>
      <c r="D305" s="2" t="s">
        <v>1806</v>
      </c>
      <c r="E305" s="2" t="s">
        <v>57</v>
      </c>
      <c r="F305" s="2" t="s">
        <v>36</v>
      </c>
      <c r="G305" s="2" t="s">
        <v>91</v>
      </c>
      <c r="H305" s="2" t="s">
        <v>1807</v>
      </c>
      <c r="I305" s="3" t="s">
        <v>1808</v>
      </c>
      <c r="J305" s="2" t="s">
        <v>1809</v>
      </c>
      <c r="K305" s="2" t="s">
        <v>1810</v>
      </c>
      <c r="L305" s="4" t="n">
        <v>68</v>
      </c>
      <c r="M305" s="4" t="s">
        <v>44</v>
      </c>
      <c r="N305" s="5" t="n">
        <v>68</v>
      </c>
      <c r="O305" s="6" t="n">
        <v>62</v>
      </c>
      <c r="P305" s="6" t="s">
        <v>44</v>
      </c>
      <c r="Q305" s="7" t="n">
        <v>62</v>
      </c>
      <c r="R305" s="8" t="n">
        <v>74</v>
      </c>
      <c r="S305" s="8" t="s">
        <v>43</v>
      </c>
      <c r="T305" s="9" t="n">
        <v>74</v>
      </c>
      <c r="U305" s="10" t="n">
        <v>97</v>
      </c>
      <c r="V305" s="10" t="s">
        <v>54</v>
      </c>
      <c r="W305" s="11" t="n">
        <v>97</v>
      </c>
      <c r="X305" s="12" t="n">
        <v>69</v>
      </c>
      <c r="Y305" s="12" t="s">
        <v>44</v>
      </c>
      <c r="Z305" s="13" t="n">
        <v>69</v>
      </c>
      <c r="AA305" s="14" t="n">
        <v>79</v>
      </c>
      <c r="AB305" s="14" t="s">
        <v>43</v>
      </c>
      <c r="AC305" s="15" t="n">
        <v>79</v>
      </c>
      <c r="AD305" s="2" t="n">
        <f aca="false">SUM(L305,O305,R305,U305,X305,AA305)</f>
        <v>449</v>
      </c>
      <c r="AE305" s="16" t="n">
        <f aca="false">AD305/6</f>
        <v>74.8333333333333</v>
      </c>
      <c r="AF305" s="2" t="str">
        <f aca="false">IF(SUM(COUNTIF(M305,"RA"),COUNTIF(P305,"RA"),COUNTIF(S305,"RA"),COUNTIF(V305,"RA"),COUNTIF(Y305,"RA"),COUNTIF(AB305,"RA"))&gt;0,"FAIL","PASS")</f>
        <v>PASS</v>
      </c>
    </row>
    <row r="306" customFormat="false" ht="15" hidden="false" customHeight="false" outlineLevel="0" collapsed="false">
      <c r="A306" s="2" t="n">
        <v>305</v>
      </c>
      <c r="B306" s="3" t="s">
        <v>1811</v>
      </c>
      <c r="C306" s="2" t="s">
        <v>841</v>
      </c>
      <c r="D306" s="2" t="s">
        <v>1812</v>
      </c>
      <c r="E306" s="2" t="s">
        <v>35</v>
      </c>
      <c r="F306" s="2" t="s">
        <v>36</v>
      </c>
      <c r="G306" s="2" t="s">
        <v>44</v>
      </c>
      <c r="H306" s="2" t="s">
        <v>1813</v>
      </c>
      <c r="I306" s="3" t="s">
        <v>773</v>
      </c>
      <c r="J306" s="2" t="s">
        <v>1814</v>
      </c>
      <c r="K306" s="2" t="s">
        <v>1815</v>
      </c>
      <c r="L306" s="4" t="n">
        <v>53</v>
      </c>
      <c r="M306" s="4" t="s">
        <v>53</v>
      </c>
      <c r="N306" s="5" t="n">
        <v>53</v>
      </c>
      <c r="O306" s="6" t="n">
        <v>42</v>
      </c>
      <c r="P306" s="6" t="s">
        <v>45</v>
      </c>
      <c r="Q306" s="7" t="n">
        <v>42</v>
      </c>
      <c r="R306" s="8" t="n">
        <v>75</v>
      </c>
      <c r="S306" s="8" t="s">
        <v>43</v>
      </c>
      <c r="T306" s="9" t="n">
        <v>75</v>
      </c>
      <c r="U306" s="10" t="n">
        <v>73</v>
      </c>
      <c r="V306" s="10" t="s">
        <v>43</v>
      </c>
      <c r="W306" s="11" t="n">
        <v>73</v>
      </c>
      <c r="X306" s="12" t="n">
        <v>81</v>
      </c>
      <c r="Y306" s="12" t="s">
        <v>42</v>
      </c>
      <c r="Z306" s="13" t="n">
        <v>81</v>
      </c>
      <c r="AA306" s="14" t="n">
        <v>43</v>
      </c>
      <c r="AB306" s="14" t="s">
        <v>45</v>
      </c>
      <c r="AC306" s="15" t="n">
        <v>43</v>
      </c>
      <c r="AD306" s="2" t="n">
        <f aca="false">SUM(L306,O306,R306,U306,X306,AA306)</f>
        <v>367</v>
      </c>
      <c r="AE306" s="16" t="n">
        <f aca="false">AD306/6</f>
        <v>61.1666666666667</v>
      </c>
      <c r="AF306" s="2" t="str">
        <f aca="false">IF(SUM(COUNTIF(M306,"RA"),COUNTIF(P306,"RA"),COUNTIF(S306,"RA"),COUNTIF(V306,"RA"),COUNTIF(Y306,"RA"),COUNTIF(AB306,"RA"))&gt;0,"FAIL","PASS")</f>
        <v>FAIL</v>
      </c>
    </row>
    <row r="307" customFormat="false" ht="15" hidden="false" customHeight="false" outlineLevel="0" collapsed="false">
      <c r="A307" s="2" t="n">
        <v>306</v>
      </c>
      <c r="B307" s="3" t="s">
        <v>1816</v>
      </c>
      <c r="C307" s="2" t="s">
        <v>783</v>
      </c>
      <c r="D307" s="2" t="s">
        <v>1817</v>
      </c>
      <c r="E307" s="2" t="s">
        <v>57</v>
      </c>
      <c r="F307" s="2" t="s">
        <v>36</v>
      </c>
      <c r="G307" s="2" t="s">
        <v>71</v>
      </c>
      <c r="H307" s="2" t="s">
        <v>1818</v>
      </c>
      <c r="I307" s="3" t="s">
        <v>1596</v>
      </c>
      <c r="J307" s="2" t="s">
        <v>1819</v>
      </c>
      <c r="K307" s="2" t="s">
        <v>1820</v>
      </c>
      <c r="L307" s="4" t="n">
        <v>61</v>
      </c>
      <c r="M307" s="4" t="s">
        <v>44</v>
      </c>
      <c r="N307" s="5" t="n">
        <v>61</v>
      </c>
      <c r="O307" s="6" t="n">
        <v>93</v>
      </c>
      <c r="P307" s="6" t="s">
        <v>54</v>
      </c>
      <c r="Q307" s="7" t="n">
        <v>93</v>
      </c>
      <c r="R307" s="8" t="n">
        <v>76</v>
      </c>
      <c r="S307" s="8" t="s">
        <v>43</v>
      </c>
      <c r="T307" s="9" t="n">
        <v>76</v>
      </c>
      <c r="U307" s="10" t="n">
        <v>74</v>
      </c>
      <c r="V307" s="10" t="s">
        <v>43</v>
      </c>
      <c r="W307" s="11" t="n">
        <v>74</v>
      </c>
      <c r="X307" s="12" t="n">
        <v>100</v>
      </c>
      <c r="Y307" s="12" t="s">
        <v>54</v>
      </c>
      <c r="Z307" s="13" t="n">
        <v>100</v>
      </c>
      <c r="AA307" s="14" t="n">
        <v>46</v>
      </c>
      <c r="AB307" s="14" t="s">
        <v>45</v>
      </c>
      <c r="AC307" s="15" t="n">
        <v>46</v>
      </c>
      <c r="AD307" s="2" t="n">
        <f aca="false">SUM(L307,O307,R307,U307,X307,AA307)</f>
        <v>450</v>
      </c>
      <c r="AE307" s="16" t="n">
        <f aca="false">AD307/6</f>
        <v>75</v>
      </c>
      <c r="AF307" s="2" t="str">
        <f aca="false">IF(SUM(COUNTIF(M307,"RA"),COUNTIF(P307,"RA"),COUNTIF(S307,"RA"),COUNTIF(V307,"RA"),COUNTIF(Y307,"RA"),COUNTIF(AB307,"RA"))&gt;0,"FAIL","PASS")</f>
        <v>FAIL</v>
      </c>
    </row>
    <row r="308" customFormat="false" ht="15" hidden="false" customHeight="false" outlineLevel="0" collapsed="false">
      <c r="A308" s="2" t="n">
        <v>307</v>
      </c>
      <c r="B308" s="3" t="s">
        <v>1821</v>
      </c>
      <c r="C308" s="2" t="s">
        <v>859</v>
      </c>
      <c r="D308" s="2" t="s">
        <v>1822</v>
      </c>
      <c r="E308" s="2" t="s">
        <v>35</v>
      </c>
      <c r="F308" s="2" t="s">
        <v>36</v>
      </c>
      <c r="G308" s="2" t="s">
        <v>78</v>
      </c>
      <c r="H308" s="2" t="s">
        <v>1823</v>
      </c>
      <c r="I308" s="3" t="s">
        <v>1824</v>
      </c>
      <c r="J308" s="2" t="s">
        <v>1825</v>
      </c>
      <c r="K308" s="2" t="s">
        <v>1826</v>
      </c>
      <c r="L308" s="4" t="n">
        <v>69</v>
      </c>
      <c r="M308" s="4" t="s">
        <v>44</v>
      </c>
      <c r="N308" s="5" t="n">
        <v>69</v>
      </c>
      <c r="O308" s="6" t="n">
        <v>81</v>
      </c>
      <c r="P308" s="6" t="s">
        <v>42</v>
      </c>
      <c r="Q308" s="7" t="n">
        <v>81</v>
      </c>
      <c r="R308" s="8" t="n">
        <v>87</v>
      </c>
      <c r="S308" s="8" t="s">
        <v>42</v>
      </c>
      <c r="T308" s="9" t="n">
        <v>87</v>
      </c>
      <c r="U308" s="10" t="n">
        <v>78</v>
      </c>
      <c r="V308" s="10" t="s">
        <v>43</v>
      </c>
      <c r="W308" s="11" t="n">
        <v>78</v>
      </c>
      <c r="X308" s="12" t="n">
        <v>67</v>
      </c>
      <c r="Y308" s="12" t="s">
        <v>44</v>
      </c>
      <c r="Z308" s="13" t="n">
        <v>67</v>
      </c>
      <c r="AA308" s="14" t="n">
        <v>78</v>
      </c>
      <c r="AB308" s="14" t="s">
        <v>43</v>
      </c>
      <c r="AC308" s="15" t="n">
        <v>78</v>
      </c>
      <c r="AD308" s="2" t="n">
        <f aca="false">SUM(L308,O308,R308,U308,X308,AA308)</f>
        <v>460</v>
      </c>
      <c r="AE308" s="16" t="n">
        <f aca="false">AD308/6</f>
        <v>76.6666666666667</v>
      </c>
      <c r="AF308" s="2" t="str">
        <f aca="false">IF(SUM(COUNTIF(M308,"RA"),COUNTIF(P308,"RA"),COUNTIF(S308,"RA"),COUNTIF(V308,"RA"),COUNTIF(Y308,"RA"),COUNTIF(AB308,"RA"))&gt;0,"FAIL","PASS")</f>
        <v>PASS</v>
      </c>
    </row>
    <row r="309" customFormat="false" ht="15" hidden="false" customHeight="false" outlineLevel="0" collapsed="false">
      <c r="A309" s="2" t="n">
        <v>308</v>
      </c>
      <c r="B309" s="3" t="s">
        <v>1827</v>
      </c>
      <c r="C309" s="2" t="s">
        <v>790</v>
      </c>
      <c r="D309" s="2" t="s">
        <v>1828</v>
      </c>
      <c r="E309" s="2" t="s">
        <v>35</v>
      </c>
      <c r="F309" s="2" t="s">
        <v>36</v>
      </c>
      <c r="G309" s="2" t="s">
        <v>48</v>
      </c>
      <c r="H309" s="2" t="s">
        <v>1829</v>
      </c>
      <c r="I309" s="3" t="s">
        <v>1830</v>
      </c>
      <c r="J309" s="2" t="s">
        <v>1831</v>
      </c>
      <c r="K309" s="2" t="s">
        <v>1832</v>
      </c>
      <c r="L309" s="4" t="n">
        <v>96</v>
      </c>
      <c r="M309" s="4" t="s">
        <v>54</v>
      </c>
      <c r="N309" s="5" t="n">
        <v>96</v>
      </c>
      <c r="O309" s="6" t="n">
        <v>66</v>
      </c>
      <c r="P309" s="6" t="s">
        <v>44</v>
      </c>
      <c r="Q309" s="7" t="n">
        <v>66</v>
      </c>
      <c r="R309" s="8" t="n">
        <v>69</v>
      </c>
      <c r="S309" s="8" t="s">
        <v>44</v>
      </c>
      <c r="T309" s="9" t="n">
        <v>69</v>
      </c>
      <c r="U309" s="10" t="n">
        <v>98</v>
      </c>
      <c r="V309" s="10" t="s">
        <v>54</v>
      </c>
      <c r="W309" s="11" t="n">
        <v>98</v>
      </c>
      <c r="X309" s="12" t="n">
        <v>75</v>
      </c>
      <c r="Y309" s="12" t="s">
        <v>43</v>
      </c>
      <c r="Z309" s="13" t="n">
        <v>75</v>
      </c>
      <c r="AA309" s="14" t="n">
        <v>73</v>
      </c>
      <c r="AB309" s="14" t="s">
        <v>43</v>
      </c>
      <c r="AC309" s="15" t="n">
        <v>73</v>
      </c>
      <c r="AD309" s="2" t="n">
        <f aca="false">SUM(L309,O309,R309,U309,X309,AA309)</f>
        <v>477</v>
      </c>
      <c r="AE309" s="16" t="n">
        <f aca="false">AD309/6</f>
        <v>79.5</v>
      </c>
      <c r="AF309" s="2" t="str">
        <f aca="false">IF(SUM(COUNTIF(M309,"RA"),COUNTIF(P309,"RA"),COUNTIF(S309,"RA"),COUNTIF(V309,"RA"),COUNTIF(Y309,"RA"),COUNTIF(AB309,"RA"))&gt;0,"FAIL","PASS")</f>
        <v>PASS</v>
      </c>
    </row>
    <row r="310" customFormat="false" ht="15" hidden="false" customHeight="false" outlineLevel="0" collapsed="false">
      <c r="A310" s="2" t="n">
        <v>309</v>
      </c>
      <c r="B310" s="3" t="s">
        <v>1833</v>
      </c>
      <c r="C310" s="2" t="s">
        <v>841</v>
      </c>
      <c r="D310" s="2" t="s">
        <v>1834</v>
      </c>
      <c r="E310" s="2" t="s">
        <v>35</v>
      </c>
      <c r="F310" s="2" t="s">
        <v>36</v>
      </c>
      <c r="G310" s="2" t="s">
        <v>44</v>
      </c>
      <c r="H310" s="2" t="s">
        <v>1835</v>
      </c>
      <c r="I310" s="3" t="s">
        <v>1836</v>
      </c>
      <c r="J310" s="2" t="s">
        <v>1837</v>
      </c>
      <c r="K310" s="2" t="s">
        <v>1838</v>
      </c>
      <c r="L310" s="4" t="n">
        <v>92</v>
      </c>
      <c r="M310" s="4" t="s">
        <v>54</v>
      </c>
      <c r="N310" s="5" t="n">
        <v>92</v>
      </c>
      <c r="O310" s="6" t="n">
        <v>79</v>
      </c>
      <c r="P310" s="6" t="s">
        <v>43</v>
      </c>
      <c r="Q310" s="7" t="n">
        <v>79</v>
      </c>
      <c r="R310" s="8" t="n">
        <v>94</v>
      </c>
      <c r="S310" s="8" t="s">
        <v>54</v>
      </c>
      <c r="T310" s="9" t="n">
        <v>94</v>
      </c>
      <c r="U310" s="10" t="n">
        <v>89</v>
      </c>
      <c r="V310" s="10" t="s">
        <v>42</v>
      </c>
      <c r="W310" s="11" t="n">
        <v>89</v>
      </c>
      <c r="X310" s="12" t="n">
        <v>81</v>
      </c>
      <c r="Y310" s="12" t="s">
        <v>42</v>
      </c>
      <c r="Z310" s="13" t="n">
        <v>81</v>
      </c>
      <c r="AA310" s="14" t="n">
        <v>69</v>
      </c>
      <c r="AB310" s="14" t="s">
        <v>44</v>
      </c>
      <c r="AC310" s="15" t="n">
        <v>69</v>
      </c>
      <c r="AD310" s="2" t="n">
        <f aca="false">SUM(L310,O310,R310,U310,X310,AA310)</f>
        <v>504</v>
      </c>
      <c r="AE310" s="16" t="n">
        <f aca="false">AD310/6</f>
        <v>84</v>
      </c>
      <c r="AF310" s="2" t="str">
        <f aca="false">IF(SUM(COUNTIF(M310,"RA"),COUNTIF(P310,"RA"),COUNTIF(S310,"RA"),COUNTIF(V310,"RA"),COUNTIF(Y310,"RA"),COUNTIF(AB310,"RA"))&gt;0,"FAIL","PASS")</f>
        <v>PASS</v>
      </c>
    </row>
    <row r="311" customFormat="false" ht="15" hidden="false" customHeight="false" outlineLevel="0" collapsed="false">
      <c r="A311" s="2" t="n">
        <v>310</v>
      </c>
      <c r="B311" s="3" t="s">
        <v>1839</v>
      </c>
      <c r="C311" s="2" t="s">
        <v>859</v>
      </c>
      <c r="D311" s="2" t="s">
        <v>1840</v>
      </c>
      <c r="E311" s="2" t="s">
        <v>57</v>
      </c>
      <c r="F311" s="2" t="s">
        <v>36</v>
      </c>
      <c r="G311" s="2" t="s">
        <v>78</v>
      </c>
      <c r="H311" s="2" t="s">
        <v>1841</v>
      </c>
      <c r="I311" s="3" t="s">
        <v>1842</v>
      </c>
      <c r="J311" s="2" t="s">
        <v>1843</v>
      </c>
      <c r="K311" s="2" t="s">
        <v>1844</v>
      </c>
      <c r="L311" s="4" t="n">
        <v>68</v>
      </c>
      <c r="M311" s="4" t="s">
        <v>44</v>
      </c>
      <c r="N311" s="5" t="n">
        <v>68</v>
      </c>
      <c r="O311" s="6" t="n">
        <v>40</v>
      </c>
      <c r="P311" s="6" t="s">
        <v>45</v>
      </c>
      <c r="Q311" s="7" t="n">
        <v>40</v>
      </c>
      <c r="R311" s="8" t="n">
        <v>93</v>
      </c>
      <c r="S311" s="8" t="s">
        <v>54</v>
      </c>
      <c r="T311" s="9" t="n">
        <v>93</v>
      </c>
      <c r="U311" s="10" t="n">
        <v>61</v>
      </c>
      <c r="V311" s="10" t="s">
        <v>44</v>
      </c>
      <c r="W311" s="11" t="n">
        <v>61</v>
      </c>
      <c r="X311" s="12" t="n">
        <v>85</v>
      </c>
      <c r="Y311" s="12" t="s">
        <v>42</v>
      </c>
      <c r="Z311" s="13" t="n">
        <v>85</v>
      </c>
      <c r="AA311" s="14" t="n">
        <v>79</v>
      </c>
      <c r="AB311" s="14" t="s">
        <v>43</v>
      </c>
      <c r="AC311" s="15" t="n">
        <v>79</v>
      </c>
      <c r="AD311" s="2" t="n">
        <f aca="false">SUM(L311,O311,R311,U311,X311,AA311)</f>
        <v>426</v>
      </c>
      <c r="AE311" s="16" t="n">
        <f aca="false">AD311/6</f>
        <v>71</v>
      </c>
      <c r="AF311" s="2" t="str">
        <f aca="false">IF(SUM(COUNTIF(M311,"RA"),COUNTIF(P311,"RA"),COUNTIF(S311,"RA"),COUNTIF(V311,"RA"),COUNTIF(Y311,"RA"),COUNTIF(AB311,"RA"))&gt;0,"FAIL","PASS")</f>
        <v>FAIL</v>
      </c>
    </row>
    <row r="312" customFormat="false" ht="15" hidden="false" customHeight="false" outlineLevel="0" collapsed="false">
      <c r="A312" s="2" t="n">
        <v>311</v>
      </c>
      <c r="B312" s="3" t="s">
        <v>1845</v>
      </c>
      <c r="C312" s="2" t="s">
        <v>803</v>
      </c>
      <c r="D312" s="2" t="s">
        <v>1846</v>
      </c>
      <c r="E312" s="2" t="s">
        <v>57</v>
      </c>
      <c r="F312" s="2" t="s">
        <v>36</v>
      </c>
      <c r="G312" s="2" t="s">
        <v>48</v>
      </c>
      <c r="H312" s="2" t="s">
        <v>1847</v>
      </c>
      <c r="I312" s="3" t="s">
        <v>207</v>
      </c>
      <c r="J312" s="2" t="s">
        <v>1848</v>
      </c>
      <c r="K312" s="2" t="s">
        <v>1849</v>
      </c>
      <c r="L312" s="4" t="n">
        <v>89</v>
      </c>
      <c r="M312" s="4" t="s">
        <v>42</v>
      </c>
      <c r="N312" s="5" t="n">
        <v>89</v>
      </c>
      <c r="O312" s="6" t="n">
        <v>78</v>
      </c>
      <c r="P312" s="6" t="s">
        <v>43</v>
      </c>
      <c r="Q312" s="7" t="n">
        <v>78</v>
      </c>
      <c r="R312" s="8" t="n">
        <v>88</v>
      </c>
      <c r="S312" s="8" t="s">
        <v>42</v>
      </c>
      <c r="T312" s="9" t="n">
        <v>88</v>
      </c>
      <c r="U312" s="10" t="n">
        <v>63</v>
      </c>
      <c r="V312" s="10" t="s">
        <v>44</v>
      </c>
      <c r="W312" s="11" t="n">
        <v>63</v>
      </c>
      <c r="X312" s="12" t="n">
        <v>61</v>
      </c>
      <c r="Y312" s="12" t="s">
        <v>44</v>
      </c>
      <c r="Z312" s="13" t="n">
        <v>61</v>
      </c>
      <c r="AA312" s="14" t="n">
        <v>50</v>
      </c>
      <c r="AB312" s="14" t="s">
        <v>53</v>
      </c>
      <c r="AC312" s="15" t="n">
        <v>50</v>
      </c>
      <c r="AD312" s="2" t="n">
        <f aca="false">SUM(L312,O312,R312,U312,X312,AA312)</f>
        <v>429</v>
      </c>
      <c r="AE312" s="16" t="n">
        <f aca="false">AD312/6</f>
        <v>71.5</v>
      </c>
      <c r="AF312" s="2" t="str">
        <f aca="false">IF(SUM(COUNTIF(M312,"RA"),COUNTIF(P312,"RA"),COUNTIF(S312,"RA"),COUNTIF(V312,"RA"),COUNTIF(Y312,"RA"),COUNTIF(AB312,"RA"))&gt;0,"FAIL","PASS")</f>
        <v>PASS</v>
      </c>
    </row>
    <row r="313" customFormat="false" ht="15" hidden="false" customHeight="false" outlineLevel="0" collapsed="false">
      <c r="A313" s="2" t="n">
        <v>312</v>
      </c>
      <c r="B313" s="3" t="s">
        <v>1850</v>
      </c>
      <c r="C313" s="2" t="s">
        <v>750</v>
      </c>
      <c r="D313" s="2" t="s">
        <v>1851</v>
      </c>
      <c r="E313" s="2" t="s">
        <v>57</v>
      </c>
      <c r="F313" s="2" t="s">
        <v>36</v>
      </c>
      <c r="G313" s="2" t="s">
        <v>91</v>
      </c>
      <c r="H313" s="2" t="s">
        <v>1852</v>
      </c>
      <c r="I313" s="3" t="s">
        <v>1651</v>
      </c>
      <c r="J313" s="2" t="s">
        <v>1853</v>
      </c>
      <c r="K313" s="2" t="s">
        <v>1854</v>
      </c>
      <c r="L313" s="4" t="n">
        <v>77</v>
      </c>
      <c r="M313" s="4" t="s">
        <v>43</v>
      </c>
      <c r="N313" s="5" t="n">
        <v>77</v>
      </c>
      <c r="O313" s="6" t="n">
        <v>83</v>
      </c>
      <c r="P313" s="6" t="s">
        <v>42</v>
      </c>
      <c r="Q313" s="7" t="n">
        <v>83</v>
      </c>
      <c r="R313" s="8" t="n">
        <v>65</v>
      </c>
      <c r="S313" s="8" t="s">
        <v>44</v>
      </c>
      <c r="T313" s="9" t="n">
        <v>65</v>
      </c>
      <c r="U313" s="10" t="n">
        <v>56</v>
      </c>
      <c r="V313" s="10" t="s">
        <v>53</v>
      </c>
      <c r="W313" s="11" t="n">
        <v>56</v>
      </c>
      <c r="X313" s="12" t="n">
        <v>81</v>
      </c>
      <c r="Y313" s="12" t="s">
        <v>42</v>
      </c>
      <c r="Z313" s="13" t="n">
        <v>81</v>
      </c>
      <c r="AA313" s="14" t="n">
        <v>65</v>
      </c>
      <c r="AB313" s="14" t="s">
        <v>44</v>
      </c>
      <c r="AC313" s="15" t="n">
        <v>65</v>
      </c>
      <c r="AD313" s="2" t="n">
        <f aca="false">SUM(L313,O313,R313,U313,X313,AA313)</f>
        <v>427</v>
      </c>
      <c r="AE313" s="16" t="n">
        <f aca="false">AD313/6</f>
        <v>71.1666666666667</v>
      </c>
      <c r="AF313" s="2" t="str">
        <f aca="false">IF(SUM(COUNTIF(M313,"RA"),COUNTIF(P313,"RA"),COUNTIF(S313,"RA"),COUNTIF(V313,"RA"),COUNTIF(Y313,"RA"),COUNTIF(AB313,"RA"))&gt;0,"FAIL","PASS")</f>
        <v>PASS</v>
      </c>
    </row>
    <row r="314" customFormat="false" ht="15" hidden="false" customHeight="false" outlineLevel="0" collapsed="false">
      <c r="A314" s="2" t="n">
        <v>313</v>
      </c>
      <c r="B314" s="3" t="s">
        <v>1855</v>
      </c>
      <c r="C314" s="2" t="s">
        <v>841</v>
      </c>
      <c r="D314" s="2" t="s">
        <v>1856</v>
      </c>
      <c r="E314" s="2" t="s">
        <v>57</v>
      </c>
      <c r="F314" s="2" t="s">
        <v>36</v>
      </c>
      <c r="G314" s="2" t="s">
        <v>71</v>
      </c>
      <c r="H314" s="2" t="s">
        <v>987</v>
      </c>
      <c r="I314" s="3" t="s">
        <v>171</v>
      </c>
      <c r="J314" s="2" t="s">
        <v>1857</v>
      </c>
      <c r="K314" s="2" t="s">
        <v>1858</v>
      </c>
      <c r="L314" s="4" t="n">
        <v>80</v>
      </c>
      <c r="M314" s="4" t="s">
        <v>42</v>
      </c>
      <c r="N314" s="5" t="n">
        <v>80</v>
      </c>
      <c r="O314" s="6" t="n">
        <v>44</v>
      </c>
      <c r="P314" s="6" t="s">
        <v>45</v>
      </c>
      <c r="Q314" s="7" t="n">
        <v>44</v>
      </c>
      <c r="R314" s="8" t="n">
        <v>44</v>
      </c>
      <c r="S314" s="8" t="s">
        <v>45</v>
      </c>
      <c r="T314" s="9" t="n">
        <v>44</v>
      </c>
      <c r="U314" s="10" t="n">
        <v>94</v>
      </c>
      <c r="V314" s="10" t="s">
        <v>54</v>
      </c>
      <c r="W314" s="11" t="n">
        <v>94</v>
      </c>
      <c r="X314" s="12" t="n">
        <v>98</v>
      </c>
      <c r="Y314" s="12" t="s">
        <v>54</v>
      </c>
      <c r="Z314" s="13" t="n">
        <v>98</v>
      </c>
      <c r="AA314" s="14" t="n">
        <v>67</v>
      </c>
      <c r="AB314" s="14" t="s">
        <v>44</v>
      </c>
      <c r="AC314" s="15" t="n">
        <v>67</v>
      </c>
      <c r="AD314" s="2" t="n">
        <f aca="false">SUM(L314,O314,R314,U314,X314,AA314)</f>
        <v>427</v>
      </c>
      <c r="AE314" s="16" t="n">
        <f aca="false">AD314/6</f>
        <v>71.1666666666667</v>
      </c>
      <c r="AF314" s="2" t="str">
        <f aca="false">IF(SUM(COUNTIF(M314,"RA"),COUNTIF(P314,"RA"),COUNTIF(S314,"RA"),COUNTIF(V314,"RA"),COUNTIF(Y314,"RA"),COUNTIF(AB314,"RA"))&gt;0,"FAIL","PASS")</f>
        <v>FAIL</v>
      </c>
    </row>
    <row r="315" customFormat="false" ht="15" hidden="false" customHeight="false" outlineLevel="0" collapsed="false">
      <c r="A315" s="2" t="n">
        <v>314</v>
      </c>
      <c r="B315" s="3" t="s">
        <v>1859</v>
      </c>
      <c r="C315" s="2" t="s">
        <v>859</v>
      </c>
      <c r="D315" s="2" t="s">
        <v>1860</v>
      </c>
      <c r="E315" s="2" t="s">
        <v>57</v>
      </c>
      <c r="F315" s="2" t="s">
        <v>36</v>
      </c>
      <c r="G315" s="2" t="s">
        <v>37</v>
      </c>
      <c r="H315" s="2" t="s">
        <v>878</v>
      </c>
      <c r="I315" s="3" t="s">
        <v>1861</v>
      </c>
      <c r="J315" s="2" t="s">
        <v>1862</v>
      </c>
      <c r="K315" s="2" t="s">
        <v>1863</v>
      </c>
      <c r="L315" s="4" t="n">
        <v>92</v>
      </c>
      <c r="M315" s="4" t="s">
        <v>54</v>
      </c>
      <c r="N315" s="5" t="n">
        <v>92</v>
      </c>
      <c r="O315" s="6" t="n">
        <v>69</v>
      </c>
      <c r="P315" s="6" t="s">
        <v>44</v>
      </c>
      <c r="Q315" s="7" t="n">
        <v>69</v>
      </c>
      <c r="R315" s="8" t="n">
        <v>93</v>
      </c>
      <c r="S315" s="8" t="s">
        <v>54</v>
      </c>
      <c r="T315" s="9" t="n">
        <v>93</v>
      </c>
      <c r="U315" s="10" t="n">
        <v>99</v>
      </c>
      <c r="V315" s="10" t="s">
        <v>54</v>
      </c>
      <c r="W315" s="11" t="n">
        <v>99</v>
      </c>
      <c r="X315" s="12" t="n">
        <v>83</v>
      </c>
      <c r="Y315" s="12" t="s">
        <v>42</v>
      </c>
      <c r="Z315" s="13" t="n">
        <v>83</v>
      </c>
      <c r="AA315" s="14" t="n">
        <v>46</v>
      </c>
      <c r="AB315" s="14" t="s">
        <v>45</v>
      </c>
      <c r="AC315" s="15" t="n">
        <v>46</v>
      </c>
      <c r="AD315" s="2" t="n">
        <f aca="false">SUM(L315,O315,R315,U315,X315,AA315)</f>
        <v>482</v>
      </c>
      <c r="AE315" s="16" t="n">
        <f aca="false">AD315/6</f>
        <v>80.3333333333333</v>
      </c>
      <c r="AF315" s="2" t="str">
        <f aca="false">IF(SUM(COUNTIF(M315,"RA"),COUNTIF(P315,"RA"),COUNTIF(S315,"RA"),COUNTIF(V315,"RA"),COUNTIF(Y315,"RA"),COUNTIF(AB315,"RA"))&gt;0,"FAIL","PASS")</f>
        <v>FAIL</v>
      </c>
    </row>
    <row r="316" customFormat="false" ht="15" hidden="false" customHeight="false" outlineLevel="0" collapsed="false">
      <c r="A316" s="2" t="n">
        <v>315</v>
      </c>
      <c r="B316" s="3" t="s">
        <v>1864</v>
      </c>
      <c r="C316" s="2" t="s">
        <v>790</v>
      </c>
      <c r="D316" s="2" t="s">
        <v>1865</v>
      </c>
      <c r="E316" s="2" t="s">
        <v>35</v>
      </c>
      <c r="F316" s="2" t="s">
        <v>36</v>
      </c>
      <c r="G316" s="2" t="s">
        <v>48</v>
      </c>
      <c r="H316" s="2" t="s">
        <v>1866</v>
      </c>
      <c r="I316" s="3" t="s">
        <v>1867</v>
      </c>
      <c r="J316" s="2" t="s">
        <v>1868</v>
      </c>
      <c r="K316" s="2" t="s">
        <v>1869</v>
      </c>
      <c r="L316" s="4" t="n">
        <v>63</v>
      </c>
      <c r="M316" s="4" t="s">
        <v>44</v>
      </c>
      <c r="N316" s="5" t="n">
        <v>63</v>
      </c>
      <c r="O316" s="6" t="n">
        <v>62</v>
      </c>
      <c r="P316" s="6" t="s">
        <v>44</v>
      </c>
      <c r="Q316" s="7" t="n">
        <v>62</v>
      </c>
      <c r="R316" s="8" t="n">
        <v>86</v>
      </c>
      <c r="S316" s="8" t="s">
        <v>42</v>
      </c>
      <c r="T316" s="9" t="n">
        <v>86</v>
      </c>
      <c r="U316" s="10" t="n">
        <v>80</v>
      </c>
      <c r="V316" s="10" t="s">
        <v>42</v>
      </c>
      <c r="W316" s="11" t="n">
        <v>80</v>
      </c>
      <c r="X316" s="12" t="n">
        <v>64</v>
      </c>
      <c r="Y316" s="12" t="s">
        <v>44</v>
      </c>
      <c r="Z316" s="13" t="n">
        <v>64</v>
      </c>
      <c r="AA316" s="14" t="n">
        <v>88</v>
      </c>
      <c r="AB316" s="14" t="s">
        <v>42</v>
      </c>
      <c r="AC316" s="15" t="n">
        <v>88</v>
      </c>
      <c r="AD316" s="2" t="n">
        <f aca="false">SUM(L316,O316,R316,U316,X316,AA316)</f>
        <v>443</v>
      </c>
      <c r="AE316" s="16" t="n">
        <f aca="false">AD316/6</f>
        <v>73.8333333333333</v>
      </c>
      <c r="AF316" s="2" t="str">
        <f aca="false">IF(SUM(COUNTIF(M316,"RA"),COUNTIF(P316,"RA"),COUNTIF(S316,"RA"),COUNTIF(V316,"RA"),COUNTIF(Y316,"RA"),COUNTIF(AB316,"RA"))&gt;0,"FAIL","PASS")</f>
        <v>PASS</v>
      </c>
    </row>
    <row r="317" customFormat="false" ht="15" hidden="false" customHeight="false" outlineLevel="0" collapsed="false">
      <c r="A317" s="2" t="n">
        <v>316</v>
      </c>
      <c r="B317" s="3" t="s">
        <v>1870</v>
      </c>
      <c r="C317" s="2" t="s">
        <v>912</v>
      </c>
      <c r="D317" s="2" t="s">
        <v>1871</v>
      </c>
      <c r="E317" s="2" t="s">
        <v>57</v>
      </c>
      <c r="F317" s="2" t="s">
        <v>36</v>
      </c>
      <c r="G317" s="2" t="s">
        <v>42</v>
      </c>
      <c r="H317" s="2" t="s">
        <v>1872</v>
      </c>
      <c r="I317" s="3" t="s">
        <v>1873</v>
      </c>
      <c r="J317" s="2" t="s">
        <v>1874</v>
      </c>
      <c r="K317" s="2" t="s">
        <v>1875</v>
      </c>
      <c r="L317" s="4" t="n">
        <v>65</v>
      </c>
      <c r="M317" s="4" t="s">
        <v>44</v>
      </c>
      <c r="N317" s="5" t="n">
        <v>65</v>
      </c>
      <c r="O317" s="6" t="n">
        <v>63</v>
      </c>
      <c r="P317" s="6" t="s">
        <v>44</v>
      </c>
      <c r="Q317" s="7" t="n">
        <v>63</v>
      </c>
      <c r="R317" s="8" t="n">
        <v>53</v>
      </c>
      <c r="S317" s="8" t="s">
        <v>53</v>
      </c>
      <c r="T317" s="9" t="n">
        <v>53</v>
      </c>
      <c r="U317" s="10" t="n">
        <v>54</v>
      </c>
      <c r="V317" s="10" t="s">
        <v>53</v>
      </c>
      <c r="W317" s="11" t="n">
        <v>54</v>
      </c>
      <c r="X317" s="12" t="n">
        <v>89</v>
      </c>
      <c r="Y317" s="12" t="s">
        <v>42</v>
      </c>
      <c r="Z317" s="13" t="n">
        <v>89</v>
      </c>
      <c r="AA317" s="14" t="n">
        <v>87</v>
      </c>
      <c r="AB317" s="14" t="s">
        <v>42</v>
      </c>
      <c r="AC317" s="15" t="n">
        <v>87</v>
      </c>
      <c r="AD317" s="2" t="n">
        <f aca="false">SUM(L317,O317,R317,U317,X317,AA317)</f>
        <v>411</v>
      </c>
      <c r="AE317" s="16" t="n">
        <f aca="false">AD317/6</f>
        <v>68.5</v>
      </c>
      <c r="AF317" s="2" t="str">
        <f aca="false">IF(SUM(COUNTIF(M317,"RA"),COUNTIF(P317,"RA"),COUNTIF(S317,"RA"),COUNTIF(V317,"RA"),COUNTIF(Y317,"RA"),COUNTIF(AB317,"RA"))&gt;0,"FAIL","PASS")</f>
        <v>PASS</v>
      </c>
    </row>
    <row r="318" customFormat="false" ht="15" hidden="false" customHeight="false" outlineLevel="0" collapsed="false">
      <c r="A318" s="2" t="n">
        <v>317</v>
      </c>
      <c r="B318" s="3" t="s">
        <v>1876</v>
      </c>
      <c r="C318" s="2" t="s">
        <v>783</v>
      </c>
      <c r="D318" s="2" t="s">
        <v>1877</v>
      </c>
      <c r="E318" s="2" t="s">
        <v>35</v>
      </c>
      <c r="F318" s="2" t="s">
        <v>36</v>
      </c>
      <c r="G318" s="2" t="s">
        <v>71</v>
      </c>
      <c r="H318" s="2" t="s">
        <v>1878</v>
      </c>
      <c r="I318" s="3" t="s">
        <v>1879</v>
      </c>
      <c r="J318" s="2" t="s">
        <v>1880</v>
      </c>
      <c r="K318" s="2" t="s">
        <v>1881</v>
      </c>
      <c r="L318" s="4" t="n">
        <v>50</v>
      </c>
      <c r="M318" s="4" t="s">
        <v>53</v>
      </c>
      <c r="N318" s="5" t="n">
        <v>50</v>
      </c>
      <c r="O318" s="6" t="n">
        <v>85</v>
      </c>
      <c r="P318" s="6" t="s">
        <v>42</v>
      </c>
      <c r="Q318" s="7" t="n">
        <v>85</v>
      </c>
      <c r="R318" s="8" t="n">
        <v>97</v>
      </c>
      <c r="S318" s="8" t="s">
        <v>54</v>
      </c>
      <c r="T318" s="9" t="n">
        <v>97</v>
      </c>
      <c r="U318" s="10" t="n">
        <v>99</v>
      </c>
      <c r="V318" s="10" t="s">
        <v>54</v>
      </c>
      <c r="W318" s="11" t="n">
        <v>99</v>
      </c>
      <c r="X318" s="12" t="n">
        <v>73</v>
      </c>
      <c r="Y318" s="12" t="s">
        <v>43</v>
      </c>
      <c r="Z318" s="13" t="n">
        <v>73</v>
      </c>
      <c r="AA318" s="14" t="n">
        <v>75</v>
      </c>
      <c r="AB318" s="14" t="s">
        <v>43</v>
      </c>
      <c r="AC318" s="15" t="n">
        <v>75</v>
      </c>
      <c r="AD318" s="2" t="n">
        <f aca="false">SUM(L318,O318,R318,U318,X318,AA318)</f>
        <v>479</v>
      </c>
      <c r="AE318" s="16" t="n">
        <f aca="false">AD318/6</f>
        <v>79.8333333333333</v>
      </c>
      <c r="AF318" s="2" t="str">
        <f aca="false">IF(SUM(COUNTIF(M318,"RA"),COUNTIF(P318,"RA"),COUNTIF(S318,"RA"),COUNTIF(V318,"RA"),COUNTIF(Y318,"RA"),COUNTIF(AB318,"RA"))&gt;0,"FAIL","PASS")</f>
        <v>PASS</v>
      </c>
    </row>
    <row r="319" customFormat="false" ht="15" hidden="false" customHeight="false" outlineLevel="0" collapsed="false">
      <c r="A319" s="2" t="n">
        <v>318</v>
      </c>
      <c r="B319" s="3" t="s">
        <v>1882</v>
      </c>
      <c r="C319" s="2" t="s">
        <v>750</v>
      </c>
      <c r="D319" s="2" t="s">
        <v>1883</v>
      </c>
      <c r="E319" s="2" t="s">
        <v>35</v>
      </c>
      <c r="F319" s="2" t="s">
        <v>36</v>
      </c>
      <c r="G319" s="2" t="s">
        <v>78</v>
      </c>
      <c r="H319" s="2" t="s">
        <v>1884</v>
      </c>
      <c r="I319" s="3" t="s">
        <v>1885</v>
      </c>
      <c r="J319" s="2" t="s">
        <v>1886</v>
      </c>
      <c r="K319" s="2" t="s">
        <v>1887</v>
      </c>
      <c r="L319" s="4" t="n">
        <v>75</v>
      </c>
      <c r="M319" s="4" t="s">
        <v>43</v>
      </c>
      <c r="N319" s="5" t="n">
        <v>75</v>
      </c>
      <c r="O319" s="6" t="n">
        <v>89</v>
      </c>
      <c r="P319" s="6" t="s">
        <v>42</v>
      </c>
      <c r="Q319" s="7" t="n">
        <v>89</v>
      </c>
      <c r="R319" s="8" t="n">
        <v>98</v>
      </c>
      <c r="S319" s="8" t="s">
        <v>54</v>
      </c>
      <c r="T319" s="9" t="n">
        <v>98</v>
      </c>
      <c r="U319" s="10" t="n">
        <v>59</v>
      </c>
      <c r="V319" s="10" t="s">
        <v>53</v>
      </c>
      <c r="W319" s="11" t="n">
        <v>59</v>
      </c>
      <c r="X319" s="12" t="n">
        <v>40</v>
      </c>
      <c r="Y319" s="12" t="s">
        <v>45</v>
      </c>
      <c r="Z319" s="13" t="n">
        <v>40</v>
      </c>
      <c r="AA319" s="14" t="n">
        <v>44</v>
      </c>
      <c r="AB319" s="14" t="s">
        <v>45</v>
      </c>
      <c r="AC319" s="15" t="n">
        <v>44</v>
      </c>
      <c r="AD319" s="2" t="n">
        <f aca="false">SUM(L319,O319,R319,U319,X319,AA319)</f>
        <v>405</v>
      </c>
      <c r="AE319" s="16" t="n">
        <f aca="false">AD319/6</f>
        <v>67.5</v>
      </c>
      <c r="AF319" s="2" t="str">
        <f aca="false">IF(SUM(COUNTIF(M319,"RA"),COUNTIF(P319,"RA"),COUNTIF(S319,"RA"),COUNTIF(V319,"RA"),COUNTIF(Y319,"RA"),COUNTIF(AB319,"RA"))&gt;0,"FAIL","PASS")</f>
        <v>FAIL</v>
      </c>
    </row>
    <row r="320" customFormat="false" ht="15" hidden="false" customHeight="false" outlineLevel="0" collapsed="false">
      <c r="A320" s="2" t="n">
        <v>319</v>
      </c>
      <c r="B320" s="3" t="s">
        <v>1888</v>
      </c>
      <c r="C320" s="2" t="s">
        <v>790</v>
      </c>
      <c r="D320" s="2" t="s">
        <v>1889</v>
      </c>
      <c r="E320" s="2" t="s">
        <v>35</v>
      </c>
      <c r="F320" s="2" t="s">
        <v>36</v>
      </c>
      <c r="G320" s="2" t="s">
        <v>44</v>
      </c>
      <c r="H320" s="2" t="s">
        <v>1890</v>
      </c>
      <c r="I320" s="3" t="s">
        <v>1891</v>
      </c>
      <c r="J320" s="2" t="s">
        <v>1892</v>
      </c>
      <c r="K320" s="2" t="s">
        <v>1893</v>
      </c>
      <c r="L320" s="4" t="n">
        <v>87</v>
      </c>
      <c r="M320" s="4" t="s">
        <v>42</v>
      </c>
      <c r="N320" s="5" t="n">
        <v>87</v>
      </c>
      <c r="O320" s="6" t="n">
        <v>74</v>
      </c>
      <c r="P320" s="6" t="s">
        <v>43</v>
      </c>
      <c r="Q320" s="7" t="n">
        <v>74</v>
      </c>
      <c r="R320" s="8" t="n">
        <v>99</v>
      </c>
      <c r="S320" s="8" t="s">
        <v>54</v>
      </c>
      <c r="T320" s="9" t="n">
        <v>99</v>
      </c>
      <c r="U320" s="10" t="n">
        <v>97</v>
      </c>
      <c r="V320" s="10" t="s">
        <v>54</v>
      </c>
      <c r="W320" s="11" t="n">
        <v>97</v>
      </c>
      <c r="X320" s="12" t="n">
        <v>91</v>
      </c>
      <c r="Y320" s="12" t="s">
        <v>54</v>
      </c>
      <c r="Z320" s="13" t="n">
        <v>91</v>
      </c>
      <c r="AA320" s="14" t="n">
        <v>58</v>
      </c>
      <c r="AB320" s="14" t="s">
        <v>53</v>
      </c>
      <c r="AC320" s="15" t="n">
        <v>58</v>
      </c>
      <c r="AD320" s="2" t="n">
        <f aca="false">SUM(L320,O320,R320,U320,X320,AA320)</f>
        <v>506</v>
      </c>
      <c r="AE320" s="16" t="n">
        <f aca="false">AD320/6</f>
        <v>84.3333333333333</v>
      </c>
      <c r="AF320" s="2" t="str">
        <f aca="false">IF(SUM(COUNTIF(M320,"RA"),COUNTIF(P320,"RA"),COUNTIF(S320,"RA"),COUNTIF(V320,"RA"),COUNTIF(Y320,"RA"),COUNTIF(AB320,"RA"))&gt;0,"FAIL","PASS")</f>
        <v>PASS</v>
      </c>
    </row>
    <row r="321" customFormat="false" ht="15" hidden="false" customHeight="false" outlineLevel="0" collapsed="false">
      <c r="A321" s="2" t="n">
        <v>320</v>
      </c>
      <c r="B321" s="3" t="s">
        <v>1894</v>
      </c>
      <c r="C321" s="2" t="s">
        <v>770</v>
      </c>
      <c r="D321" s="2" t="s">
        <v>1895</v>
      </c>
      <c r="E321" s="2" t="s">
        <v>57</v>
      </c>
      <c r="F321" s="2" t="s">
        <v>36</v>
      </c>
      <c r="G321" s="2" t="s">
        <v>37</v>
      </c>
      <c r="H321" s="2" t="s">
        <v>1896</v>
      </c>
      <c r="I321" s="3" t="s">
        <v>1897</v>
      </c>
      <c r="J321" s="2" t="s">
        <v>1898</v>
      </c>
      <c r="K321" s="2" t="s">
        <v>1899</v>
      </c>
      <c r="L321" s="4" t="n">
        <v>75</v>
      </c>
      <c r="M321" s="4" t="s">
        <v>43</v>
      </c>
      <c r="N321" s="5" t="n">
        <v>75</v>
      </c>
      <c r="O321" s="6" t="n">
        <v>67</v>
      </c>
      <c r="P321" s="6" t="s">
        <v>44</v>
      </c>
      <c r="Q321" s="7" t="n">
        <v>67</v>
      </c>
      <c r="R321" s="8" t="n">
        <v>83</v>
      </c>
      <c r="S321" s="8" t="s">
        <v>42</v>
      </c>
      <c r="T321" s="9" t="n">
        <v>83</v>
      </c>
      <c r="U321" s="10" t="n">
        <v>100</v>
      </c>
      <c r="V321" s="10" t="s">
        <v>54</v>
      </c>
      <c r="W321" s="11" t="n">
        <v>100</v>
      </c>
      <c r="X321" s="12" t="n">
        <v>77</v>
      </c>
      <c r="Y321" s="12" t="s">
        <v>43</v>
      </c>
      <c r="Z321" s="13" t="n">
        <v>77</v>
      </c>
      <c r="AA321" s="14" t="n">
        <v>81</v>
      </c>
      <c r="AB321" s="14" t="s">
        <v>42</v>
      </c>
      <c r="AC321" s="15" t="n">
        <v>81</v>
      </c>
      <c r="AD321" s="2" t="n">
        <f aca="false">SUM(L321,O321,R321,U321,X321,AA321)</f>
        <v>483</v>
      </c>
      <c r="AE321" s="16" t="n">
        <f aca="false">AD321/6</f>
        <v>80.5</v>
      </c>
      <c r="AF321" s="2" t="str">
        <f aca="false">IF(SUM(COUNTIF(M321,"RA"),COUNTIF(P321,"RA"),COUNTIF(S321,"RA"),COUNTIF(V321,"RA"),COUNTIF(Y321,"RA"),COUNTIF(AB321,"RA"))&gt;0,"FAIL","PASS")</f>
        <v>PASS</v>
      </c>
    </row>
    <row r="322" customFormat="false" ht="15" hidden="false" customHeight="false" outlineLevel="0" collapsed="false">
      <c r="A322" s="2" t="n">
        <v>321</v>
      </c>
      <c r="B322" s="3" t="s">
        <v>1900</v>
      </c>
      <c r="C322" s="2" t="s">
        <v>757</v>
      </c>
      <c r="D322" s="2" t="s">
        <v>1901</v>
      </c>
      <c r="E322" s="2" t="s">
        <v>57</v>
      </c>
      <c r="F322" s="2" t="s">
        <v>36</v>
      </c>
      <c r="G322" s="2" t="s">
        <v>78</v>
      </c>
      <c r="H322" s="2" t="s">
        <v>1225</v>
      </c>
      <c r="I322" s="3" t="s">
        <v>1902</v>
      </c>
      <c r="J322" s="2" t="s">
        <v>1903</v>
      </c>
      <c r="K322" s="2" t="s">
        <v>1904</v>
      </c>
      <c r="L322" s="4" t="n">
        <v>92</v>
      </c>
      <c r="M322" s="4" t="s">
        <v>54</v>
      </c>
      <c r="N322" s="5" t="n">
        <v>92</v>
      </c>
      <c r="O322" s="6" t="n">
        <v>92</v>
      </c>
      <c r="P322" s="6" t="s">
        <v>54</v>
      </c>
      <c r="Q322" s="7" t="n">
        <v>92</v>
      </c>
      <c r="R322" s="8" t="n">
        <v>40</v>
      </c>
      <c r="S322" s="8" t="s">
        <v>45</v>
      </c>
      <c r="T322" s="9" t="n">
        <v>40</v>
      </c>
      <c r="U322" s="10" t="n">
        <v>66</v>
      </c>
      <c r="V322" s="10" t="s">
        <v>44</v>
      </c>
      <c r="W322" s="11" t="n">
        <v>66</v>
      </c>
      <c r="X322" s="12" t="n">
        <v>81</v>
      </c>
      <c r="Y322" s="12" t="s">
        <v>42</v>
      </c>
      <c r="Z322" s="13" t="n">
        <v>81</v>
      </c>
      <c r="AA322" s="14" t="n">
        <v>72</v>
      </c>
      <c r="AB322" s="14" t="s">
        <v>43</v>
      </c>
      <c r="AC322" s="15" t="n">
        <v>72</v>
      </c>
      <c r="AD322" s="2" t="n">
        <f aca="false">SUM(L322,O322,R322,U322,X322,AA322)</f>
        <v>443</v>
      </c>
      <c r="AE322" s="16" t="n">
        <f aca="false">AD322/6</f>
        <v>73.8333333333333</v>
      </c>
      <c r="AF322" s="2" t="str">
        <f aca="false">IF(SUM(COUNTIF(M322,"RA"),COUNTIF(P322,"RA"),COUNTIF(S322,"RA"),COUNTIF(V322,"RA"),COUNTIF(Y322,"RA"),COUNTIF(AB322,"RA"))&gt;0,"FAIL","PASS")</f>
        <v>FAIL</v>
      </c>
    </row>
    <row r="323" customFormat="false" ht="15" hidden="false" customHeight="false" outlineLevel="0" collapsed="false">
      <c r="A323" s="2" t="n">
        <v>322</v>
      </c>
      <c r="B323" s="3" t="s">
        <v>1905</v>
      </c>
      <c r="C323" s="2" t="s">
        <v>859</v>
      </c>
      <c r="D323" s="2" t="s">
        <v>1906</v>
      </c>
      <c r="E323" s="2" t="s">
        <v>57</v>
      </c>
      <c r="F323" s="2" t="s">
        <v>36</v>
      </c>
      <c r="G323" s="2" t="s">
        <v>44</v>
      </c>
      <c r="H323" s="2" t="s">
        <v>1084</v>
      </c>
      <c r="I323" s="3" t="s">
        <v>1907</v>
      </c>
      <c r="J323" s="2" t="s">
        <v>1908</v>
      </c>
      <c r="K323" s="2" t="s">
        <v>1909</v>
      </c>
      <c r="L323" s="4" t="n">
        <v>100</v>
      </c>
      <c r="M323" s="4" t="s">
        <v>54</v>
      </c>
      <c r="N323" s="5" t="n">
        <v>100</v>
      </c>
      <c r="O323" s="6" t="n">
        <v>78</v>
      </c>
      <c r="P323" s="6" t="s">
        <v>43</v>
      </c>
      <c r="Q323" s="7" t="n">
        <v>78</v>
      </c>
      <c r="R323" s="8" t="n">
        <v>65</v>
      </c>
      <c r="S323" s="8" t="s">
        <v>44</v>
      </c>
      <c r="T323" s="9" t="n">
        <v>65</v>
      </c>
      <c r="U323" s="10" t="n">
        <v>71</v>
      </c>
      <c r="V323" s="10" t="s">
        <v>43</v>
      </c>
      <c r="W323" s="11" t="n">
        <v>71</v>
      </c>
      <c r="X323" s="12" t="n">
        <v>69</v>
      </c>
      <c r="Y323" s="12" t="s">
        <v>44</v>
      </c>
      <c r="Z323" s="13" t="n">
        <v>69</v>
      </c>
      <c r="AA323" s="14" t="n">
        <v>100</v>
      </c>
      <c r="AB323" s="14" t="s">
        <v>54</v>
      </c>
      <c r="AC323" s="15" t="n">
        <v>100</v>
      </c>
      <c r="AD323" s="2" t="n">
        <f aca="false">SUM(L323,O323,R323,U323,X323,AA323)</f>
        <v>483</v>
      </c>
      <c r="AE323" s="16" t="n">
        <f aca="false">AD323/6</f>
        <v>80.5</v>
      </c>
      <c r="AF323" s="2" t="str">
        <f aca="false">IF(SUM(COUNTIF(M323,"RA"),COUNTIF(P323,"RA"),COUNTIF(S323,"RA"),COUNTIF(V323,"RA"),COUNTIF(Y323,"RA"),COUNTIF(AB323,"RA"))&gt;0,"FAIL","PASS")</f>
        <v>PASS</v>
      </c>
    </row>
    <row r="324" customFormat="false" ht="15" hidden="false" customHeight="false" outlineLevel="0" collapsed="false">
      <c r="A324" s="2" t="n">
        <v>323</v>
      </c>
      <c r="B324" s="3" t="s">
        <v>1910</v>
      </c>
      <c r="C324" s="2" t="s">
        <v>912</v>
      </c>
      <c r="D324" s="2" t="s">
        <v>1911</v>
      </c>
      <c r="E324" s="2" t="s">
        <v>57</v>
      </c>
      <c r="F324" s="2" t="s">
        <v>36</v>
      </c>
      <c r="G324" s="2" t="s">
        <v>48</v>
      </c>
      <c r="H324" s="2" t="s">
        <v>1912</v>
      </c>
      <c r="I324" s="3" t="s">
        <v>760</v>
      </c>
      <c r="J324" s="2" t="s">
        <v>1913</v>
      </c>
      <c r="K324" s="2" t="s">
        <v>1914</v>
      </c>
      <c r="L324" s="4" t="n">
        <v>86</v>
      </c>
      <c r="M324" s="4" t="s">
        <v>42</v>
      </c>
      <c r="N324" s="5" t="n">
        <v>86</v>
      </c>
      <c r="O324" s="6" t="n">
        <v>88</v>
      </c>
      <c r="P324" s="6" t="s">
        <v>42</v>
      </c>
      <c r="Q324" s="7" t="n">
        <v>88</v>
      </c>
      <c r="R324" s="8" t="n">
        <v>98</v>
      </c>
      <c r="S324" s="8" t="s">
        <v>54</v>
      </c>
      <c r="T324" s="9" t="n">
        <v>98</v>
      </c>
      <c r="U324" s="10" t="n">
        <v>85</v>
      </c>
      <c r="V324" s="10" t="s">
        <v>42</v>
      </c>
      <c r="W324" s="11" t="n">
        <v>85</v>
      </c>
      <c r="X324" s="12" t="n">
        <v>86</v>
      </c>
      <c r="Y324" s="12" t="s">
        <v>42</v>
      </c>
      <c r="Z324" s="13" t="n">
        <v>86</v>
      </c>
      <c r="AA324" s="14" t="n">
        <v>60</v>
      </c>
      <c r="AB324" s="14" t="s">
        <v>44</v>
      </c>
      <c r="AC324" s="15" t="n">
        <v>60</v>
      </c>
      <c r="AD324" s="2" t="n">
        <f aca="false">SUM(L324,O324,R324,U324,X324,AA324)</f>
        <v>503</v>
      </c>
      <c r="AE324" s="16" t="n">
        <f aca="false">AD324/6</f>
        <v>83.8333333333333</v>
      </c>
      <c r="AF324" s="2" t="str">
        <f aca="false">IF(SUM(COUNTIF(M324,"RA"),COUNTIF(P324,"RA"),COUNTIF(S324,"RA"),COUNTIF(V324,"RA"),COUNTIF(Y324,"RA"),COUNTIF(AB324,"RA"))&gt;0,"FAIL","PASS")</f>
        <v>PASS</v>
      </c>
    </row>
    <row r="325" customFormat="false" ht="15" hidden="false" customHeight="false" outlineLevel="0" collapsed="false">
      <c r="A325" s="2" t="n">
        <v>324</v>
      </c>
      <c r="B325" s="3" t="s">
        <v>1915</v>
      </c>
      <c r="C325" s="2" t="s">
        <v>750</v>
      </c>
      <c r="D325" s="2" t="s">
        <v>1916</v>
      </c>
      <c r="E325" s="2" t="s">
        <v>35</v>
      </c>
      <c r="F325" s="2" t="s">
        <v>36</v>
      </c>
      <c r="G325" s="2" t="s">
        <v>42</v>
      </c>
      <c r="H325" s="2" t="s">
        <v>1392</v>
      </c>
      <c r="I325" s="3" t="s">
        <v>1917</v>
      </c>
      <c r="J325" s="2" t="s">
        <v>1918</v>
      </c>
      <c r="K325" s="2" t="s">
        <v>1919</v>
      </c>
      <c r="L325" s="4" t="n">
        <v>46</v>
      </c>
      <c r="M325" s="4" t="s">
        <v>45</v>
      </c>
      <c r="N325" s="5" t="n">
        <v>46</v>
      </c>
      <c r="O325" s="6" t="n">
        <v>65</v>
      </c>
      <c r="P325" s="6" t="s">
        <v>44</v>
      </c>
      <c r="Q325" s="7" t="n">
        <v>65</v>
      </c>
      <c r="R325" s="8" t="n">
        <v>43</v>
      </c>
      <c r="S325" s="8" t="s">
        <v>45</v>
      </c>
      <c r="T325" s="9" t="n">
        <v>43</v>
      </c>
      <c r="U325" s="10" t="n">
        <v>42</v>
      </c>
      <c r="V325" s="10" t="s">
        <v>45</v>
      </c>
      <c r="W325" s="11" t="n">
        <v>42</v>
      </c>
      <c r="X325" s="12" t="n">
        <v>40</v>
      </c>
      <c r="Y325" s="12" t="s">
        <v>45</v>
      </c>
      <c r="Z325" s="13" t="n">
        <v>40</v>
      </c>
      <c r="AA325" s="14" t="n">
        <v>75</v>
      </c>
      <c r="AB325" s="14" t="s">
        <v>43</v>
      </c>
      <c r="AC325" s="15" t="n">
        <v>75</v>
      </c>
      <c r="AD325" s="2" t="n">
        <f aca="false">SUM(L325,O325,R325,U325,X325,AA325)</f>
        <v>311</v>
      </c>
      <c r="AE325" s="16" t="n">
        <f aca="false">AD325/6</f>
        <v>51.8333333333333</v>
      </c>
      <c r="AF325" s="2" t="str">
        <f aca="false">IF(SUM(COUNTIF(M325,"RA"),COUNTIF(P325,"RA"),COUNTIF(S325,"RA"),COUNTIF(V325,"RA"),COUNTIF(Y325,"RA"),COUNTIF(AB325,"RA"))&gt;0,"FAIL","PASS")</f>
        <v>FAIL</v>
      </c>
    </row>
    <row r="326" customFormat="false" ht="15" hidden="false" customHeight="false" outlineLevel="0" collapsed="false">
      <c r="A326" s="2" t="n">
        <v>325</v>
      </c>
      <c r="B326" s="3" t="s">
        <v>1920</v>
      </c>
      <c r="C326" s="2" t="s">
        <v>770</v>
      </c>
      <c r="D326" s="2" t="s">
        <v>1921</v>
      </c>
      <c r="E326" s="2" t="s">
        <v>57</v>
      </c>
      <c r="F326" s="2" t="s">
        <v>36</v>
      </c>
      <c r="G326" s="2" t="s">
        <v>37</v>
      </c>
      <c r="H326" s="2" t="s">
        <v>1749</v>
      </c>
      <c r="I326" s="3" t="s">
        <v>1922</v>
      </c>
      <c r="J326" s="2" t="s">
        <v>1923</v>
      </c>
      <c r="K326" s="2" t="s">
        <v>1924</v>
      </c>
      <c r="L326" s="4" t="n">
        <v>70</v>
      </c>
      <c r="M326" s="4" t="s">
        <v>43</v>
      </c>
      <c r="N326" s="5" t="n">
        <v>70</v>
      </c>
      <c r="O326" s="6" t="n">
        <v>78</v>
      </c>
      <c r="P326" s="6" t="s">
        <v>43</v>
      </c>
      <c r="Q326" s="7" t="n">
        <v>78</v>
      </c>
      <c r="R326" s="8" t="n">
        <v>89</v>
      </c>
      <c r="S326" s="8" t="s">
        <v>42</v>
      </c>
      <c r="T326" s="9" t="n">
        <v>89</v>
      </c>
      <c r="U326" s="10" t="n">
        <v>88</v>
      </c>
      <c r="V326" s="10" t="s">
        <v>42</v>
      </c>
      <c r="W326" s="11" t="n">
        <v>88</v>
      </c>
      <c r="X326" s="12" t="n">
        <v>74</v>
      </c>
      <c r="Y326" s="12" t="s">
        <v>43</v>
      </c>
      <c r="Z326" s="13" t="n">
        <v>74</v>
      </c>
      <c r="AA326" s="14" t="n">
        <v>60</v>
      </c>
      <c r="AB326" s="14" t="s">
        <v>44</v>
      </c>
      <c r="AC326" s="15" t="n">
        <v>60</v>
      </c>
      <c r="AD326" s="2" t="n">
        <f aca="false">SUM(L326,O326,R326,U326,X326,AA326)</f>
        <v>459</v>
      </c>
      <c r="AE326" s="16" t="n">
        <f aca="false">AD326/6</f>
        <v>76.5</v>
      </c>
      <c r="AF326" s="2" t="str">
        <f aca="false">IF(SUM(COUNTIF(M326,"RA"),COUNTIF(P326,"RA"),COUNTIF(S326,"RA"),COUNTIF(V326,"RA"),COUNTIF(Y326,"RA"),COUNTIF(AB326,"RA"))&gt;0,"FAIL","PASS")</f>
        <v>PASS</v>
      </c>
    </row>
    <row r="327" customFormat="false" ht="15" hidden="false" customHeight="false" outlineLevel="0" collapsed="false">
      <c r="A327" s="2" t="n">
        <v>326</v>
      </c>
      <c r="B327" s="3" t="s">
        <v>1925</v>
      </c>
      <c r="C327" s="2" t="s">
        <v>770</v>
      </c>
      <c r="D327" s="2" t="s">
        <v>1926</v>
      </c>
      <c r="E327" s="2" t="s">
        <v>57</v>
      </c>
      <c r="F327" s="2" t="s">
        <v>36</v>
      </c>
      <c r="G327" s="2" t="s">
        <v>91</v>
      </c>
      <c r="H327" s="2" t="s">
        <v>1927</v>
      </c>
      <c r="I327" s="3" t="s">
        <v>1928</v>
      </c>
      <c r="J327" s="2" t="s">
        <v>1929</v>
      </c>
      <c r="K327" s="2" t="s">
        <v>1930</v>
      </c>
      <c r="L327" s="4" t="n">
        <v>75</v>
      </c>
      <c r="M327" s="4" t="s">
        <v>43</v>
      </c>
      <c r="N327" s="5" t="n">
        <v>75</v>
      </c>
      <c r="O327" s="6" t="n">
        <v>86</v>
      </c>
      <c r="P327" s="6" t="s">
        <v>42</v>
      </c>
      <c r="Q327" s="7" t="n">
        <v>86</v>
      </c>
      <c r="R327" s="8" t="n">
        <v>83</v>
      </c>
      <c r="S327" s="8" t="s">
        <v>42</v>
      </c>
      <c r="T327" s="9" t="n">
        <v>83</v>
      </c>
      <c r="U327" s="10" t="n">
        <v>64</v>
      </c>
      <c r="V327" s="10" t="s">
        <v>44</v>
      </c>
      <c r="W327" s="11" t="n">
        <v>64</v>
      </c>
      <c r="X327" s="12" t="n">
        <v>70</v>
      </c>
      <c r="Y327" s="12" t="s">
        <v>43</v>
      </c>
      <c r="Z327" s="13" t="n">
        <v>70</v>
      </c>
      <c r="AA327" s="14" t="n">
        <v>59</v>
      </c>
      <c r="AB327" s="14" t="s">
        <v>53</v>
      </c>
      <c r="AC327" s="15" t="n">
        <v>59</v>
      </c>
      <c r="AD327" s="2" t="n">
        <f aca="false">SUM(L327,O327,R327,U327,X327,AA327)</f>
        <v>437</v>
      </c>
      <c r="AE327" s="16" t="n">
        <f aca="false">AD327/6</f>
        <v>72.8333333333333</v>
      </c>
      <c r="AF327" s="2" t="str">
        <f aca="false">IF(SUM(COUNTIF(M327,"RA"),COUNTIF(P327,"RA"),COUNTIF(S327,"RA"),COUNTIF(V327,"RA"),COUNTIF(Y327,"RA"),COUNTIF(AB327,"RA"))&gt;0,"FAIL","PASS")</f>
        <v>PASS</v>
      </c>
    </row>
    <row r="328" customFormat="false" ht="15" hidden="false" customHeight="false" outlineLevel="0" collapsed="false">
      <c r="A328" s="2" t="n">
        <v>327</v>
      </c>
      <c r="B328" s="3" t="s">
        <v>1931</v>
      </c>
      <c r="C328" s="2" t="s">
        <v>859</v>
      </c>
      <c r="D328" s="2" t="s">
        <v>1932</v>
      </c>
      <c r="E328" s="2" t="s">
        <v>35</v>
      </c>
      <c r="F328" s="2" t="s">
        <v>36</v>
      </c>
      <c r="G328" s="2" t="s">
        <v>37</v>
      </c>
      <c r="H328" s="2" t="s">
        <v>1933</v>
      </c>
      <c r="I328" s="3" t="s">
        <v>1934</v>
      </c>
      <c r="J328" s="2" t="s">
        <v>1935</v>
      </c>
      <c r="K328" s="2" t="s">
        <v>1936</v>
      </c>
      <c r="L328" s="4" t="n">
        <v>64</v>
      </c>
      <c r="M328" s="4" t="s">
        <v>44</v>
      </c>
      <c r="N328" s="5" t="n">
        <v>64</v>
      </c>
      <c r="O328" s="6" t="n">
        <v>69</v>
      </c>
      <c r="P328" s="6" t="s">
        <v>44</v>
      </c>
      <c r="Q328" s="7" t="n">
        <v>69</v>
      </c>
      <c r="R328" s="8" t="n">
        <v>66</v>
      </c>
      <c r="S328" s="8" t="s">
        <v>44</v>
      </c>
      <c r="T328" s="9" t="n">
        <v>66</v>
      </c>
      <c r="U328" s="10" t="n">
        <v>63</v>
      </c>
      <c r="V328" s="10" t="s">
        <v>44</v>
      </c>
      <c r="W328" s="11" t="n">
        <v>63</v>
      </c>
      <c r="X328" s="12" t="n">
        <v>73</v>
      </c>
      <c r="Y328" s="12" t="s">
        <v>43</v>
      </c>
      <c r="Z328" s="13" t="n">
        <v>73</v>
      </c>
      <c r="AA328" s="14" t="n">
        <v>67</v>
      </c>
      <c r="AB328" s="14" t="s">
        <v>44</v>
      </c>
      <c r="AC328" s="15" t="n">
        <v>67</v>
      </c>
      <c r="AD328" s="2" t="n">
        <f aca="false">SUM(L328,O328,R328,U328,X328,AA328)</f>
        <v>402</v>
      </c>
      <c r="AE328" s="16" t="n">
        <f aca="false">AD328/6</f>
        <v>67</v>
      </c>
      <c r="AF328" s="2" t="str">
        <f aca="false">IF(SUM(COUNTIF(M328,"RA"),COUNTIF(P328,"RA"),COUNTIF(S328,"RA"),COUNTIF(V328,"RA"),COUNTIF(Y328,"RA"),COUNTIF(AB328,"RA"))&gt;0,"FAIL","PASS")</f>
        <v>PASS</v>
      </c>
    </row>
    <row r="329" customFormat="false" ht="15" hidden="false" customHeight="false" outlineLevel="0" collapsed="false">
      <c r="A329" s="2" t="n">
        <v>328</v>
      </c>
      <c r="B329" s="3" t="s">
        <v>1937</v>
      </c>
      <c r="C329" s="2" t="s">
        <v>912</v>
      </c>
      <c r="D329" s="2" t="s">
        <v>1938</v>
      </c>
      <c r="E329" s="2" t="s">
        <v>35</v>
      </c>
      <c r="F329" s="2" t="s">
        <v>36</v>
      </c>
      <c r="G329" s="2" t="s">
        <v>64</v>
      </c>
      <c r="H329" s="2" t="s">
        <v>1801</v>
      </c>
      <c r="I329" s="3" t="s">
        <v>1824</v>
      </c>
      <c r="J329" s="2" t="s">
        <v>1939</v>
      </c>
      <c r="K329" s="2" t="s">
        <v>1940</v>
      </c>
      <c r="L329" s="4" t="n">
        <v>80</v>
      </c>
      <c r="M329" s="4" t="s">
        <v>42</v>
      </c>
      <c r="N329" s="5" t="n">
        <v>80</v>
      </c>
      <c r="O329" s="6" t="n">
        <v>51</v>
      </c>
      <c r="P329" s="6" t="s">
        <v>53</v>
      </c>
      <c r="Q329" s="7" t="n">
        <v>51</v>
      </c>
      <c r="R329" s="8" t="n">
        <v>86</v>
      </c>
      <c r="S329" s="8" t="s">
        <v>42</v>
      </c>
      <c r="T329" s="9" t="n">
        <v>86</v>
      </c>
      <c r="U329" s="10" t="n">
        <v>67</v>
      </c>
      <c r="V329" s="10" t="s">
        <v>44</v>
      </c>
      <c r="W329" s="11" t="n">
        <v>67</v>
      </c>
      <c r="X329" s="12" t="n">
        <v>65</v>
      </c>
      <c r="Y329" s="12" t="s">
        <v>44</v>
      </c>
      <c r="Z329" s="13" t="n">
        <v>65</v>
      </c>
      <c r="AA329" s="14" t="n">
        <v>40</v>
      </c>
      <c r="AB329" s="14" t="s">
        <v>45</v>
      </c>
      <c r="AC329" s="15" t="n">
        <v>40</v>
      </c>
      <c r="AD329" s="2" t="n">
        <f aca="false">SUM(L329,O329,R329,U329,X329,AA329)</f>
        <v>389</v>
      </c>
      <c r="AE329" s="16" t="n">
        <f aca="false">AD329/6</f>
        <v>64.8333333333333</v>
      </c>
      <c r="AF329" s="2" t="str">
        <f aca="false">IF(SUM(COUNTIF(M329,"RA"),COUNTIF(P329,"RA"),COUNTIF(S329,"RA"),COUNTIF(V329,"RA"),COUNTIF(Y329,"RA"),COUNTIF(AB329,"RA"))&gt;0,"FAIL","PASS")</f>
        <v>FAIL</v>
      </c>
    </row>
    <row r="330" customFormat="false" ht="15" hidden="false" customHeight="false" outlineLevel="0" collapsed="false">
      <c r="A330" s="2" t="n">
        <v>329</v>
      </c>
      <c r="B330" s="3" t="s">
        <v>1941</v>
      </c>
      <c r="C330" s="2" t="s">
        <v>859</v>
      </c>
      <c r="D330" s="2" t="s">
        <v>1942</v>
      </c>
      <c r="E330" s="2" t="s">
        <v>57</v>
      </c>
      <c r="F330" s="2" t="s">
        <v>36</v>
      </c>
      <c r="G330" s="2" t="s">
        <v>44</v>
      </c>
      <c r="H330" s="2" t="s">
        <v>1943</v>
      </c>
      <c r="I330" s="3" t="s">
        <v>1944</v>
      </c>
      <c r="J330" s="2" t="s">
        <v>1945</v>
      </c>
      <c r="K330" s="2" t="s">
        <v>1946</v>
      </c>
      <c r="L330" s="4" t="n">
        <v>76</v>
      </c>
      <c r="M330" s="4" t="s">
        <v>43</v>
      </c>
      <c r="N330" s="5" t="n">
        <v>76</v>
      </c>
      <c r="O330" s="6" t="n">
        <v>76</v>
      </c>
      <c r="P330" s="6" t="s">
        <v>43</v>
      </c>
      <c r="Q330" s="7" t="n">
        <v>76</v>
      </c>
      <c r="R330" s="8" t="n">
        <v>86</v>
      </c>
      <c r="S330" s="8" t="s">
        <v>42</v>
      </c>
      <c r="T330" s="9" t="n">
        <v>86</v>
      </c>
      <c r="U330" s="10" t="n">
        <v>74</v>
      </c>
      <c r="V330" s="10" t="s">
        <v>43</v>
      </c>
      <c r="W330" s="11" t="n">
        <v>74</v>
      </c>
      <c r="X330" s="12" t="n">
        <v>61</v>
      </c>
      <c r="Y330" s="12" t="s">
        <v>44</v>
      </c>
      <c r="Z330" s="13" t="n">
        <v>61</v>
      </c>
      <c r="AA330" s="14" t="n">
        <v>67</v>
      </c>
      <c r="AB330" s="14" t="s">
        <v>44</v>
      </c>
      <c r="AC330" s="15" t="n">
        <v>67</v>
      </c>
      <c r="AD330" s="2" t="n">
        <f aca="false">SUM(L330,O330,R330,U330,X330,AA330)</f>
        <v>440</v>
      </c>
      <c r="AE330" s="16" t="n">
        <f aca="false">AD330/6</f>
        <v>73.3333333333333</v>
      </c>
      <c r="AF330" s="2" t="str">
        <f aca="false">IF(SUM(COUNTIF(M330,"RA"),COUNTIF(P330,"RA"),COUNTIF(S330,"RA"),COUNTIF(V330,"RA"),COUNTIF(Y330,"RA"),COUNTIF(AB330,"RA"))&gt;0,"FAIL","PASS")</f>
        <v>PASS</v>
      </c>
    </row>
    <row r="331" customFormat="false" ht="15" hidden="false" customHeight="false" outlineLevel="0" collapsed="false">
      <c r="A331" s="2" t="n">
        <v>330</v>
      </c>
      <c r="B331" s="3" t="s">
        <v>1947</v>
      </c>
      <c r="C331" s="2" t="s">
        <v>912</v>
      </c>
      <c r="D331" s="2" t="s">
        <v>1948</v>
      </c>
      <c r="E331" s="2" t="s">
        <v>57</v>
      </c>
      <c r="F331" s="2" t="s">
        <v>36</v>
      </c>
      <c r="G331" s="2" t="s">
        <v>44</v>
      </c>
      <c r="H331" s="2" t="s">
        <v>1949</v>
      </c>
      <c r="I331" s="3" t="s">
        <v>249</v>
      </c>
      <c r="J331" s="2" t="s">
        <v>1950</v>
      </c>
      <c r="K331" s="2" t="s">
        <v>1951</v>
      </c>
      <c r="L331" s="4" t="n">
        <v>54</v>
      </c>
      <c r="M331" s="4" t="s">
        <v>53</v>
      </c>
      <c r="N331" s="5" t="n">
        <v>54</v>
      </c>
      <c r="O331" s="6" t="n">
        <v>44</v>
      </c>
      <c r="P331" s="6" t="s">
        <v>45</v>
      </c>
      <c r="Q331" s="7" t="n">
        <v>44</v>
      </c>
      <c r="R331" s="8" t="n">
        <v>63</v>
      </c>
      <c r="S331" s="8" t="s">
        <v>44</v>
      </c>
      <c r="T331" s="9" t="n">
        <v>63</v>
      </c>
      <c r="U331" s="10" t="n">
        <v>99</v>
      </c>
      <c r="V331" s="10" t="s">
        <v>54</v>
      </c>
      <c r="W331" s="11" t="n">
        <v>99</v>
      </c>
      <c r="X331" s="12" t="n">
        <v>57</v>
      </c>
      <c r="Y331" s="12" t="s">
        <v>53</v>
      </c>
      <c r="Z331" s="13" t="n">
        <v>57</v>
      </c>
      <c r="AA331" s="14" t="n">
        <v>91</v>
      </c>
      <c r="AB331" s="14" t="s">
        <v>54</v>
      </c>
      <c r="AC331" s="15" t="n">
        <v>91</v>
      </c>
      <c r="AD331" s="2" t="n">
        <f aca="false">SUM(L331,O331,R331,U331,X331,AA331)</f>
        <v>408</v>
      </c>
      <c r="AE331" s="16" t="n">
        <f aca="false">AD331/6</f>
        <v>68</v>
      </c>
      <c r="AF331" s="2" t="str">
        <f aca="false">IF(SUM(COUNTIF(M331,"RA"),COUNTIF(P331,"RA"),COUNTIF(S331,"RA"),COUNTIF(V331,"RA"),COUNTIF(Y331,"RA"),COUNTIF(AB331,"RA"))&gt;0,"FAIL","PASS")</f>
        <v>FAIL</v>
      </c>
    </row>
    <row r="332" customFormat="false" ht="15" hidden="false" customHeight="false" outlineLevel="0" collapsed="false">
      <c r="A332" s="2" t="n">
        <v>331</v>
      </c>
      <c r="B332" s="3" t="s">
        <v>1952</v>
      </c>
      <c r="C332" s="2" t="s">
        <v>790</v>
      </c>
      <c r="D332" s="2" t="s">
        <v>1953</v>
      </c>
      <c r="E332" s="2" t="s">
        <v>35</v>
      </c>
      <c r="F332" s="2" t="s">
        <v>36</v>
      </c>
      <c r="G332" s="2" t="s">
        <v>91</v>
      </c>
      <c r="H332" s="2" t="s">
        <v>1954</v>
      </c>
      <c r="I332" s="3" t="s">
        <v>1955</v>
      </c>
      <c r="J332" s="2" t="s">
        <v>1956</v>
      </c>
      <c r="K332" s="2" t="s">
        <v>1957</v>
      </c>
      <c r="L332" s="4" t="n">
        <v>74</v>
      </c>
      <c r="M332" s="4" t="s">
        <v>43</v>
      </c>
      <c r="N332" s="5" t="n">
        <v>74</v>
      </c>
      <c r="O332" s="6" t="n">
        <v>43</v>
      </c>
      <c r="P332" s="6" t="s">
        <v>45</v>
      </c>
      <c r="Q332" s="7" t="n">
        <v>43</v>
      </c>
      <c r="R332" s="8" t="n">
        <v>71</v>
      </c>
      <c r="S332" s="8" t="s">
        <v>43</v>
      </c>
      <c r="T332" s="9" t="n">
        <v>71</v>
      </c>
      <c r="U332" s="10" t="n">
        <v>80</v>
      </c>
      <c r="V332" s="10" t="s">
        <v>42</v>
      </c>
      <c r="W332" s="11" t="n">
        <v>80</v>
      </c>
      <c r="X332" s="12" t="n">
        <v>89</v>
      </c>
      <c r="Y332" s="12" t="s">
        <v>42</v>
      </c>
      <c r="Z332" s="13" t="n">
        <v>89</v>
      </c>
      <c r="AA332" s="14" t="n">
        <v>63</v>
      </c>
      <c r="AB332" s="14" t="s">
        <v>44</v>
      </c>
      <c r="AC332" s="15" t="n">
        <v>63</v>
      </c>
      <c r="AD332" s="2" t="n">
        <f aca="false">SUM(L332,O332,R332,U332,X332,AA332)</f>
        <v>420</v>
      </c>
      <c r="AE332" s="16" t="n">
        <f aca="false">AD332/6</f>
        <v>70</v>
      </c>
      <c r="AF332" s="2" t="str">
        <f aca="false">IF(SUM(COUNTIF(M332,"RA"),COUNTIF(P332,"RA"),COUNTIF(S332,"RA"),COUNTIF(V332,"RA"),COUNTIF(Y332,"RA"),COUNTIF(AB332,"RA"))&gt;0,"FAIL","PASS")</f>
        <v>FAIL</v>
      </c>
    </row>
    <row r="333" customFormat="false" ht="15" hidden="false" customHeight="false" outlineLevel="0" collapsed="false">
      <c r="A333" s="2" t="n">
        <v>332</v>
      </c>
      <c r="B333" s="3" t="s">
        <v>1958</v>
      </c>
      <c r="C333" s="2" t="s">
        <v>803</v>
      </c>
      <c r="D333" s="2" t="s">
        <v>1959</v>
      </c>
      <c r="E333" s="2" t="s">
        <v>57</v>
      </c>
      <c r="F333" s="2" t="s">
        <v>36</v>
      </c>
      <c r="G333" s="2" t="s">
        <v>71</v>
      </c>
      <c r="H333" s="2" t="s">
        <v>1960</v>
      </c>
      <c r="I333" s="3" t="s">
        <v>1961</v>
      </c>
      <c r="J333" s="2" t="s">
        <v>1962</v>
      </c>
      <c r="K333" s="2" t="s">
        <v>1963</v>
      </c>
      <c r="L333" s="4" t="n">
        <v>100</v>
      </c>
      <c r="M333" s="4" t="s">
        <v>54</v>
      </c>
      <c r="N333" s="5" t="n">
        <v>100</v>
      </c>
      <c r="O333" s="6" t="n">
        <v>79</v>
      </c>
      <c r="P333" s="6" t="s">
        <v>43</v>
      </c>
      <c r="Q333" s="7" t="n">
        <v>79</v>
      </c>
      <c r="R333" s="8" t="n">
        <v>68</v>
      </c>
      <c r="S333" s="8" t="s">
        <v>44</v>
      </c>
      <c r="T333" s="9" t="n">
        <v>68</v>
      </c>
      <c r="U333" s="10" t="n">
        <v>56</v>
      </c>
      <c r="V333" s="10" t="s">
        <v>53</v>
      </c>
      <c r="W333" s="11" t="n">
        <v>56</v>
      </c>
      <c r="X333" s="12" t="n">
        <v>89</v>
      </c>
      <c r="Y333" s="12" t="s">
        <v>42</v>
      </c>
      <c r="Z333" s="13" t="n">
        <v>89</v>
      </c>
      <c r="AA333" s="14" t="n">
        <v>95</v>
      </c>
      <c r="AB333" s="14" t="s">
        <v>54</v>
      </c>
      <c r="AC333" s="15" t="n">
        <v>95</v>
      </c>
      <c r="AD333" s="2" t="n">
        <f aca="false">SUM(L333,O333,R333,U333,X333,AA333)</f>
        <v>487</v>
      </c>
      <c r="AE333" s="16" t="n">
        <f aca="false">AD333/6</f>
        <v>81.1666666666667</v>
      </c>
      <c r="AF333" s="2" t="str">
        <f aca="false">IF(SUM(COUNTIF(M333,"RA"),COUNTIF(P333,"RA"),COUNTIF(S333,"RA"),COUNTIF(V333,"RA"),COUNTIF(Y333,"RA"),COUNTIF(AB333,"RA"))&gt;0,"FAIL","PASS")</f>
        <v>PASS</v>
      </c>
    </row>
    <row r="334" customFormat="false" ht="15" hidden="false" customHeight="false" outlineLevel="0" collapsed="false">
      <c r="A334" s="2" t="n">
        <v>333</v>
      </c>
      <c r="B334" s="3" t="s">
        <v>1964</v>
      </c>
      <c r="C334" s="2" t="s">
        <v>803</v>
      </c>
      <c r="D334" s="2" t="s">
        <v>1965</v>
      </c>
      <c r="E334" s="2" t="s">
        <v>57</v>
      </c>
      <c r="F334" s="2" t="s">
        <v>36</v>
      </c>
      <c r="G334" s="2" t="s">
        <v>42</v>
      </c>
      <c r="H334" s="2" t="s">
        <v>1449</v>
      </c>
      <c r="I334" s="3" t="s">
        <v>1966</v>
      </c>
      <c r="J334" s="2" t="s">
        <v>1967</v>
      </c>
      <c r="K334" s="2" t="s">
        <v>1968</v>
      </c>
      <c r="L334" s="4" t="n">
        <v>65</v>
      </c>
      <c r="M334" s="4" t="s">
        <v>44</v>
      </c>
      <c r="N334" s="5" t="n">
        <v>65</v>
      </c>
      <c r="O334" s="6" t="n">
        <v>62</v>
      </c>
      <c r="P334" s="6" t="s">
        <v>44</v>
      </c>
      <c r="Q334" s="7" t="n">
        <v>62</v>
      </c>
      <c r="R334" s="8" t="n">
        <v>48</v>
      </c>
      <c r="S334" s="8" t="s">
        <v>45</v>
      </c>
      <c r="T334" s="9" t="n">
        <v>48</v>
      </c>
      <c r="U334" s="10" t="n">
        <v>76</v>
      </c>
      <c r="V334" s="10" t="s">
        <v>43</v>
      </c>
      <c r="W334" s="11" t="n">
        <v>76</v>
      </c>
      <c r="X334" s="12" t="n">
        <v>66</v>
      </c>
      <c r="Y334" s="12" t="s">
        <v>44</v>
      </c>
      <c r="Z334" s="13" t="n">
        <v>66</v>
      </c>
      <c r="AA334" s="14" t="n">
        <v>60</v>
      </c>
      <c r="AB334" s="14" t="s">
        <v>44</v>
      </c>
      <c r="AC334" s="15" t="n">
        <v>60</v>
      </c>
      <c r="AD334" s="2" t="n">
        <f aca="false">SUM(L334,O334,R334,U334,X334,AA334)</f>
        <v>377</v>
      </c>
      <c r="AE334" s="16" t="n">
        <f aca="false">AD334/6</f>
        <v>62.8333333333333</v>
      </c>
      <c r="AF334" s="2" t="str">
        <f aca="false">IF(SUM(COUNTIF(M334,"RA"),COUNTIF(P334,"RA"),COUNTIF(S334,"RA"),COUNTIF(V334,"RA"),COUNTIF(Y334,"RA"),COUNTIF(AB334,"RA"))&gt;0,"FAIL","PASS")</f>
        <v>FAIL</v>
      </c>
    </row>
    <row r="335" customFormat="false" ht="15" hidden="false" customHeight="false" outlineLevel="0" collapsed="false">
      <c r="A335" s="2" t="n">
        <v>334</v>
      </c>
      <c r="B335" s="3" t="s">
        <v>1969</v>
      </c>
      <c r="C335" s="2" t="s">
        <v>757</v>
      </c>
      <c r="D335" s="2" t="s">
        <v>1970</v>
      </c>
      <c r="E335" s="2" t="s">
        <v>35</v>
      </c>
      <c r="F335" s="2" t="s">
        <v>36</v>
      </c>
      <c r="G335" s="2" t="s">
        <v>91</v>
      </c>
      <c r="H335" s="2" t="s">
        <v>1971</v>
      </c>
      <c r="I335" s="3" t="s">
        <v>1972</v>
      </c>
      <c r="J335" s="2" t="s">
        <v>1973</v>
      </c>
      <c r="K335" s="2" t="s">
        <v>1974</v>
      </c>
      <c r="L335" s="4" t="n">
        <v>80</v>
      </c>
      <c r="M335" s="4" t="s">
        <v>42</v>
      </c>
      <c r="N335" s="5" t="n">
        <v>80</v>
      </c>
      <c r="O335" s="6" t="n">
        <v>66</v>
      </c>
      <c r="P335" s="6" t="s">
        <v>44</v>
      </c>
      <c r="Q335" s="7" t="n">
        <v>66</v>
      </c>
      <c r="R335" s="8" t="n">
        <v>68</v>
      </c>
      <c r="S335" s="8" t="s">
        <v>44</v>
      </c>
      <c r="T335" s="9" t="n">
        <v>68</v>
      </c>
      <c r="U335" s="10" t="n">
        <v>49</v>
      </c>
      <c r="V335" s="10" t="s">
        <v>45</v>
      </c>
      <c r="W335" s="11" t="n">
        <v>49</v>
      </c>
      <c r="X335" s="12" t="n">
        <v>78</v>
      </c>
      <c r="Y335" s="12" t="s">
        <v>43</v>
      </c>
      <c r="Z335" s="13" t="n">
        <v>78</v>
      </c>
      <c r="AA335" s="14" t="n">
        <v>92</v>
      </c>
      <c r="AB335" s="14" t="s">
        <v>54</v>
      </c>
      <c r="AC335" s="15" t="n">
        <v>92</v>
      </c>
      <c r="AD335" s="2" t="n">
        <f aca="false">SUM(L335,O335,R335,U335,X335,AA335)</f>
        <v>433</v>
      </c>
      <c r="AE335" s="16" t="n">
        <f aca="false">AD335/6</f>
        <v>72.1666666666667</v>
      </c>
      <c r="AF335" s="2" t="str">
        <f aca="false">IF(SUM(COUNTIF(M335,"RA"),COUNTIF(P335,"RA"),COUNTIF(S335,"RA"),COUNTIF(V335,"RA"),COUNTIF(Y335,"RA"),COUNTIF(AB335,"RA"))&gt;0,"FAIL","PASS")</f>
        <v>FAIL</v>
      </c>
    </row>
    <row r="336" customFormat="false" ht="15" hidden="false" customHeight="false" outlineLevel="0" collapsed="false">
      <c r="A336" s="2" t="n">
        <v>335</v>
      </c>
      <c r="B336" s="3" t="s">
        <v>1975</v>
      </c>
      <c r="C336" s="2" t="s">
        <v>803</v>
      </c>
      <c r="D336" s="2" t="s">
        <v>1976</v>
      </c>
      <c r="E336" s="2" t="s">
        <v>57</v>
      </c>
      <c r="F336" s="2" t="s">
        <v>36</v>
      </c>
      <c r="G336" s="2" t="s">
        <v>78</v>
      </c>
      <c r="H336" s="2" t="s">
        <v>1977</v>
      </c>
      <c r="I336" s="3" t="s">
        <v>1978</v>
      </c>
      <c r="J336" s="2" t="s">
        <v>1979</v>
      </c>
      <c r="K336" s="2" t="s">
        <v>1980</v>
      </c>
      <c r="L336" s="4" t="n">
        <v>73</v>
      </c>
      <c r="M336" s="4" t="s">
        <v>43</v>
      </c>
      <c r="N336" s="5" t="n">
        <v>73</v>
      </c>
      <c r="O336" s="6" t="n">
        <v>60</v>
      </c>
      <c r="P336" s="6" t="s">
        <v>44</v>
      </c>
      <c r="Q336" s="7" t="n">
        <v>60</v>
      </c>
      <c r="R336" s="8" t="n">
        <v>60</v>
      </c>
      <c r="S336" s="8" t="s">
        <v>44</v>
      </c>
      <c r="T336" s="9" t="n">
        <v>60</v>
      </c>
      <c r="U336" s="10" t="n">
        <v>78</v>
      </c>
      <c r="V336" s="10" t="s">
        <v>43</v>
      </c>
      <c r="W336" s="11" t="n">
        <v>78</v>
      </c>
      <c r="X336" s="12" t="n">
        <v>69</v>
      </c>
      <c r="Y336" s="12" t="s">
        <v>44</v>
      </c>
      <c r="Z336" s="13" t="n">
        <v>69</v>
      </c>
      <c r="AA336" s="14" t="n">
        <v>81</v>
      </c>
      <c r="AB336" s="14" t="s">
        <v>42</v>
      </c>
      <c r="AC336" s="15" t="n">
        <v>81</v>
      </c>
      <c r="AD336" s="2" t="n">
        <f aca="false">SUM(L336,O336,R336,U336,X336,AA336)</f>
        <v>421</v>
      </c>
      <c r="AE336" s="16" t="n">
        <f aca="false">AD336/6</f>
        <v>70.1666666666667</v>
      </c>
      <c r="AF336" s="2" t="str">
        <f aca="false">IF(SUM(COUNTIF(M336,"RA"),COUNTIF(P336,"RA"),COUNTIF(S336,"RA"),COUNTIF(V336,"RA"),COUNTIF(Y336,"RA"),COUNTIF(AB336,"RA"))&gt;0,"FAIL","PASS")</f>
        <v>PASS</v>
      </c>
    </row>
    <row r="337" customFormat="false" ht="15" hidden="false" customHeight="false" outlineLevel="0" collapsed="false">
      <c r="A337" s="2" t="n">
        <v>336</v>
      </c>
      <c r="B337" s="3" t="s">
        <v>1981</v>
      </c>
      <c r="C337" s="2" t="s">
        <v>816</v>
      </c>
      <c r="D337" s="2" t="s">
        <v>1982</v>
      </c>
      <c r="E337" s="2" t="s">
        <v>57</v>
      </c>
      <c r="F337" s="2" t="s">
        <v>36</v>
      </c>
      <c r="G337" s="2" t="s">
        <v>78</v>
      </c>
      <c r="H337" s="2" t="s">
        <v>1983</v>
      </c>
      <c r="I337" s="3" t="s">
        <v>1984</v>
      </c>
      <c r="J337" s="2" t="s">
        <v>1985</v>
      </c>
      <c r="K337" s="2" t="s">
        <v>1986</v>
      </c>
      <c r="L337" s="4" t="n">
        <v>54</v>
      </c>
      <c r="M337" s="4" t="s">
        <v>53</v>
      </c>
      <c r="N337" s="5" t="n">
        <v>54</v>
      </c>
      <c r="O337" s="6" t="n">
        <v>66</v>
      </c>
      <c r="P337" s="6" t="s">
        <v>44</v>
      </c>
      <c r="Q337" s="7" t="n">
        <v>66</v>
      </c>
      <c r="R337" s="8" t="n">
        <v>65</v>
      </c>
      <c r="S337" s="8" t="s">
        <v>44</v>
      </c>
      <c r="T337" s="9" t="n">
        <v>65</v>
      </c>
      <c r="U337" s="10" t="n">
        <v>54</v>
      </c>
      <c r="V337" s="10" t="s">
        <v>53</v>
      </c>
      <c r="W337" s="11" t="n">
        <v>54</v>
      </c>
      <c r="X337" s="12" t="n">
        <v>75</v>
      </c>
      <c r="Y337" s="12" t="s">
        <v>43</v>
      </c>
      <c r="Z337" s="13" t="n">
        <v>75</v>
      </c>
      <c r="AA337" s="14" t="n">
        <v>61</v>
      </c>
      <c r="AB337" s="14" t="s">
        <v>44</v>
      </c>
      <c r="AC337" s="15" t="n">
        <v>61</v>
      </c>
      <c r="AD337" s="2" t="n">
        <f aca="false">SUM(L337,O337,R337,U337,X337,AA337)</f>
        <v>375</v>
      </c>
      <c r="AE337" s="16" t="n">
        <f aca="false">AD337/6</f>
        <v>62.5</v>
      </c>
      <c r="AF337" s="2" t="str">
        <f aca="false">IF(SUM(COUNTIF(M337,"RA"),COUNTIF(P337,"RA"),COUNTIF(S337,"RA"),COUNTIF(V337,"RA"),COUNTIF(Y337,"RA"),COUNTIF(AB337,"RA"))&gt;0,"FAIL","PASS")</f>
        <v>PASS</v>
      </c>
    </row>
    <row r="338" customFormat="false" ht="15" hidden="false" customHeight="false" outlineLevel="0" collapsed="false">
      <c r="A338" s="2" t="n">
        <v>337</v>
      </c>
      <c r="B338" s="3" t="s">
        <v>1987</v>
      </c>
      <c r="C338" s="2" t="s">
        <v>757</v>
      </c>
      <c r="D338" s="2" t="s">
        <v>1988</v>
      </c>
      <c r="E338" s="2" t="s">
        <v>35</v>
      </c>
      <c r="F338" s="2" t="s">
        <v>36</v>
      </c>
      <c r="G338" s="2" t="s">
        <v>71</v>
      </c>
      <c r="H338" s="2" t="s">
        <v>1989</v>
      </c>
      <c r="I338" s="3" t="s">
        <v>1990</v>
      </c>
      <c r="J338" s="2" t="s">
        <v>1991</v>
      </c>
      <c r="K338" s="2" t="s">
        <v>1992</v>
      </c>
      <c r="L338" s="4" t="n">
        <v>68</v>
      </c>
      <c r="M338" s="4" t="s">
        <v>44</v>
      </c>
      <c r="N338" s="5" t="n">
        <v>68</v>
      </c>
      <c r="O338" s="6" t="n">
        <v>77</v>
      </c>
      <c r="P338" s="6" t="s">
        <v>43</v>
      </c>
      <c r="Q338" s="7" t="n">
        <v>77</v>
      </c>
      <c r="R338" s="8" t="n">
        <v>44</v>
      </c>
      <c r="S338" s="8" t="s">
        <v>45</v>
      </c>
      <c r="T338" s="9" t="n">
        <v>44</v>
      </c>
      <c r="U338" s="10" t="n">
        <v>100</v>
      </c>
      <c r="V338" s="10" t="s">
        <v>54</v>
      </c>
      <c r="W338" s="11" t="n">
        <v>100</v>
      </c>
      <c r="X338" s="12" t="n">
        <v>97</v>
      </c>
      <c r="Y338" s="12" t="s">
        <v>54</v>
      </c>
      <c r="Z338" s="13" t="n">
        <v>97</v>
      </c>
      <c r="AA338" s="14" t="n">
        <v>49</v>
      </c>
      <c r="AB338" s="14" t="s">
        <v>45</v>
      </c>
      <c r="AC338" s="15" t="n">
        <v>49</v>
      </c>
      <c r="AD338" s="2" t="n">
        <f aca="false">SUM(L338,O338,R338,U338,X338,AA338)</f>
        <v>435</v>
      </c>
      <c r="AE338" s="16" t="n">
        <f aca="false">AD338/6</f>
        <v>72.5</v>
      </c>
      <c r="AF338" s="2" t="str">
        <f aca="false">IF(SUM(COUNTIF(M338,"RA"),COUNTIF(P338,"RA"),COUNTIF(S338,"RA"),COUNTIF(V338,"RA"),COUNTIF(Y338,"RA"),COUNTIF(AB338,"RA"))&gt;0,"FAIL","PASS")</f>
        <v>FAIL</v>
      </c>
    </row>
    <row r="339" customFormat="false" ht="15" hidden="false" customHeight="false" outlineLevel="0" collapsed="false">
      <c r="A339" s="2" t="n">
        <v>338</v>
      </c>
      <c r="B339" s="3" t="s">
        <v>1993</v>
      </c>
      <c r="C339" s="2" t="s">
        <v>790</v>
      </c>
      <c r="D339" s="2" t="s">
        <v>1994</v>
      </c>
      <c r="E339" s="2" t="s">
        <v>57</v>
      </c>
      <c r="F339" s="2" t="s">
        <v>36</v>
      </c>
      <c r="G339" s="2" t="s">
        <v>64</v>
      </c>
      <c r="H339" s="2" t="s">
        <v>1995</v>
      </c>
      <c r="I339" s="3" t="s">
        <v>1996</v>
      </c>
      <c r="J339" s="2" t="s">
        <v>1997</v>
      </c>
      <c r="K339" s="2" t="s">
        <v>1998</v>
      </c>
      <c r="L339" s="4" t="n">
        <v>74</v>
      </c>
      <c r="M339" s="4" t="s">
        <v>43</v>
      </c>
      <c r="N339" s="5" t="n">
        <v>74</v>
      </c>
      <c r="O339" s="6" t="n">
        <v>82</v>
      </c>
      <c r="P339" s="6" t="s">
        <v>42</v>
      </c>
      <c r="Q339" s="7" t="n">
        <v>82</v>
      </c>
      <c r="R339" s="8" t="n">
        <v>96</v>
      </c>
      <c r="S339" s="8" t="s">
        <v>54</v>
      </c>
      <c r="T339" s="9" t="n">
        <v>96</v>
      </c>
      <c r="U339" s="10" t="n">
        <v>43</v>
      </c>
      <c r="V339" s="10" t="s">
        <v>45</v>
      </c>
      <c r="W339" s="11" t="n">
        <v>43</v>
      </c>
      <c r="X339" s="12" t="n">
        <v>86</v>
      </c>
      <c r="Y339" s="12" t="s">
        <v>42</v>
      </c>
      <c r="Z339" s="13" t="n">
        <v>86</v>
      </c>
      <c r="AA339" s="14" t="n">
        <v>67</v>
      </c>
      <c r="AB339" s="14" t="s">
        <v>44</v>
      </c>
      <c r="AC339" s="15" t="n">
        <v>67</v>
      </c>
      <c r="AD339" s="2" t="n">
        <f aca="false">SUM(L339,O339,R339,U339,X339,AA339)</f>
        <v>448</v>
      </c>
      <c r="AE339" s="16" t="n">
        <f aca="false">AD339/6</f>
        <v>74.6666666666667</v>
      </c>
      <c r="AF339" s="2" t="str">
        <f aca="false">IF(SUM(COUNTIF(M339,"RA"),COUNTIF(P339,"RA"),COUNTIF(S339,"RA"),COUNTIF(V339,"RA"),COUNTIF(Y339,"RA"),COUNTIF(AB339,"RA"))&gt;0,"FAIL","PASS")</f>
        <v>FAIL</v>
      </c>
    </row>
    <row r="340" customFormat="false" ht="15" hidden="false" customHeight="false" outlineLevel="0" collapsed="false">
      <c r="A340" s="2" t="n">
        <v>339</v>
      </c>
      <c r="B340" s="3" t="s">
        <v>1999</v>
      </c>
      <c r="C340" s="2" t="s">
        <v>912</v>
      </c>
      <c r="D340" s="2" t="s">
        <v>2000</v>
      </c>
      <c r="E340" s="2" t="s">
        <v>57</v>
      </c>
      <c r="F340" s="2" t="s">
        <v>36</v>
      </c>
      <c r="G340" s="2" t="s">
        <v>42</v>
      </c>
      <c r="H340" s="2" t="s">
        <v>1381</v>
      </c>
      <c r="I340" s="3" t="s">
        <v>1774</v>
      </c>
      <c r="J340" s="2" t="s">
        <v>2001</v>
      </c>
      <c r="K340" s="2" t="s">
        <v>2002</v>
      </c>
      <c r="L340" s="4" t="n">
        <v>73</v>
      </c>
      <c r="M340" s="4" t="s">
        <v>43</v>
      </c>
      <c r="N340" s="5" t="n">
        <v>73</v>
      </c>
      <c r="O340" s="6" t="n">
        <v>77</v>
      </c>
      <c r="P340" s="6" t="s">
        <v>43</v>
      </c>
      <c r="Q340" s="7" t="n">
        <v>77</v>
      </c>
      <c r="R340" s="8" t="n">
        <v>85</v>
      </c>
      <c r="S340" s="8" t="s">
        <v>42</v>
      </c>
      <c r="T340" s="9" t="n">
        <v>85</v>
      </c>
      <c r="U340" s="10" t="n">
        <v>61</v>
      </c>
      <c r="V340" s="10" t="s">
        <v>44</v>
      </c>
      <c r="W340" s="11" t="n">
        <v>61</v>
      </c>
      <c r="X340" s="12" t="n">
        <v>56</v>
      </c>
      <c r="Y340" s="12" t="s">
        <v>53</v>
      </c>
      <c r="Z340" s="13" t="n">
        <v>56</v>
      </c>
      <c r="AA340" s="14" t="n">
        <v>46</v>
      </c>
      <c r="AB340" s="14" t="s">
        <v>45</v>
      </c>
      <c r="AC340" s="15" t="n">
        <v>46</v>
      </c>
      <c r="AD340" s="2" t="n">
        <f aca="false">SUM(L340,O340,R340,U340,X340,AA340)</f>
        <v>398</v>
      </c>
      <c r="AE340" s="16" t="n">
        <f aca="false">AD340/6</f>
        <v>66.3333333333333</v>
      </c>
      <c r="AF340" s="2" t="str">
        <f aca="false">IF(SUM(COUNTIF(M340,"RA"),COUNTIF(P340,"RA"),COUNTIF(S340,"RA"),COUNTIF(V340,"RA"),COUNTIF(Y340,"RA"),COUNTIF(AB340,"RA"))&gt;0,"FAIL","PASS")</f>
        <v>FAIL</v>
      </c>
    </row>
    <row r="341" customFormat="false" ht="15" hidden="false" customHeight="false" outlineLevel="0" collapsed="false">
      <c r="A341" s="2" t="n">
        <v>340</v>
      </c>
      <c r="B341" s="3" t="s">
        <v>2003</v>
      </c>
      <c r="C341" s="2" t="s">
        <v>790</v>
      </c>
      <c r="D341" s="2" t="s">
        <v>2004</v>
      </c>
      <c r="E341" s="2" t="s">
        <v>57</v>
      </c>
      <c r="F341" s="2" t="s">
        <v>36</v>
      </c>
      <c r="G341" s="2" t="s">
        <v>64</v>
      </c>
      <c r="H341" s="2" t="s">
        <v>2005</v>
      </c>
      <c r="I341" s="3" t="s">
        <v>2006</v>
      </c>
      <c r="J341" s="2" t="s">
        <v>2007</v>
      </c>
      <c r="K341" s="2" t="s">
        <v>2008</v>
      </c>
      <c r="L341" s="4" t="n">
        <v>93</v>
      </c>
      <c r="M341" s="4" t="s">
        <v>54</v>
      </c>
      <c r="N341" s="5" t="n">
        <v>93</v>
      </c>
      <c r="O341" s="6" t="n">
        <v>99</v>
      </c>
      <c r="P341" s="6" t="s">
        <v>54</v>
      </c>
      <c r="Q341" s="7" t="n">
        <v>99</v>
      </c>
      <c r="R341" s="8" t="n">
        <v>82</v>
      </c>
      <c r="S341" s="8" t="s">
        <v>42</v>
      </c>
      <c r="T341" s="9" t="n">
        <v>82</v>
      </c>
      <c r="U341" s="10" t="n">
        <v>86</v>
      </c>
      <c r="V341" s="10" t="s">
        <v>42</v>
      </c>
      <c r="W341" s="11" t="n">
        <v>86</v>
      </c>
      <c r="X341" s="12" t="n">
        <v>55</v>
      </c>
      <c r="Y341" s="12" t="s">
        <v>53</v>
      </c>
      <c r="Z341" s="13" t="n">
        <v>55</v>
      </c>
      <c r="AA341" s="14" t="n">
        <v>89</v>
      </c>
      <c r="AB341" s="14" t="s">
        <v>42</v>
      </c>
      <c r="AC341" s="15" t="n">
        <v>89</v>
      </c>
      <c r="AD341" s="2" t="n">
        <f aca="false">SUM(L341,O341,R341,U341,X341,AA341)</f>
        <v>504</v>
      </c>
      <c r="AE341" s="16" t="n">
        <f aca="false">AD341/6</f>
        <v>84</v>
      </c>
      <c r="AF341" s="2" t="str">
        <f aca="false">IF(SUM(COUNTIF(M341,"RA"),COUNTIF(P341,"RA"),COUNTIF(S341,"RA"),COUNTIF(V341,"RA"),COUNTIF(Y341,"RA"),COUNTIF(AB341,"RA"))&gt;0,"FAIL","PASS")</f>
        <v>PASS</v>
      </c>
    </row>
    <row r="342" customFormat="false" ht="15" hidden="false" customHeight="false" outlineLevel="0" collapsed="false">
      <c r="A342" s="2" t="n">
        <v>341</v>
      </c>
      <c r="B342" s="3" t="s">
        <v>2009</v>
      </c>
      <c r="C342" s="2" t="s">
        <v>770</v>
      </c>
      <c r="D342" s="2" t="s">
        <v>2010</v>
      </c>
      <c r="E342" s="2" t="s">
        <v>57</v>
      </c>
      <c r="F342" s="2" t="s">
        <v>36</v>
      </c>
      <c r="G342" s="2" t="s">
        <v>91</v>
      </c>
      <c r="H342" s="2" t="s">
        <v>2011</v>
      </c>
      <c r="I342" s="3" t="s">
        <v>2012</v>
      </c>
      <c r="J342" s="2" t="s">
        <v>2013</v>
      </c>
      <c r="K342" s="2" t="s">
        <v>2014</v>
      </c>
      <c r="L342" s="4" t="n">
        <v>65</v>
      </c>
      <c r="M342" s="4" t="s">
        <v>44</v>
      </c>
      <c r="N342" s="5" t="n">
        <v>65</v>
      </c>
      <c r="O342" s="6" t="n">
        <v>73</v>
      </c>
      <c r="P342" s="6" t="s">
        <v>43</v>
      </c>
      <c r="Q342" s="7" t="n">
        <v>73</v>
      </c>
      <c r="R342" s="8" t="n">
        <v>62</v>
      </c>
      <c r="S342" s="8" t="s">
        <v>44</v>
      </c>
      <c r="T342" s="9" t="n">
        <v>62</v>
      </c>
      <c r="U342" s="10" t="n">
        <v>49</v>
      </c>
      <c r="V342" s="10" t="s">
        <v>45</v>
      </c>
      <c r="W342" s="11" t="n">
        <v>49</v>
      </c>
      <c r="X342" s="12" t="n">
        <v>84</v>
      </c>
      <c r="Y342" s="12" t="s">
        <v>42</v>
      </c>
      <c r="Z342" s="13" t="n">
        <v>84</v>
      </c>
      <c r="AA342" s="14" t="n">
        <v>73</v>
      </c>
      <c r="AB342" s="14" t="s">
        <v>43</v>
      </c>
      <c r="AC342" s="15" t="n">
        <v>73</v>
      </c>
      <c r="AD342" s="2" t="n">
        <f aca="false">SUM(L342,O342,R342,U342,X342,AA342)</f>
        <v>406</v>
      </c>
      <c r="AE342" s="16" t="n">
        <f aca="false">AD342/6</f>
        <v>67.6666666666667</v>
      </c>
      <c r="AF342" s="2" t="str">
        <f aca="false">IF(SUM(COUNTIF(M342,"RA"),COUNTIF(P342,"RA"),COUNTIF(S342,"RA"),COUNTIF(V342,"RA"),COUNTIF(Y342,"RA"),COUNTIF(AB342,"RA"))&gt;0,"FAIL","PASS")</f>
        <v>FAIL</v>
      </c>
    </row>
    <row r="343" customFormat="false" ht="15" hidden="false" customHeight="false" outlineLevel="0" collapsed="false">
      <c r="A343" s="2" t="n">
        <v>342</v>
      </c>
      <c r="B343" s="3" t="s">
        <v>2015</v>
      </c>
      <c r="C343" s="2" t="s">
        <v>770</v>
      </c>
      <c r="D343" s="2" t="s">
        <v>2016</v>
      </c>
      <c r="E343" s="2" t="s">
        <v>57</v>
      </c>
      <c r="F343" s="2" t="s">
        <v>36</v>
      </c>
      <c r="G343" s="2" t="s">
        <v>44</v>
      </c>
      <c r="H343" s="2" t="s">
        <v>2017</v>
      </c>
      <c r="I343" s="3" t="s">
        <v>2018</v>
      </c>
      <c r="J343" s="2" t="s">
        <v>2019</v>
      </c>
      <c r="K343" s="2" t="s">
        <v>2020</v>
      </c>
      <c r="L343" s="4" t="n">
        <v>71</v>
      </c>
      <c r="M343" s="4" t="s">
        <v>43</v>
      </c>
      <c r="N343" s="5" t="n">
        <v>71</v>
      </c>
      <c r="O343" s="6" t="n">
        <v>97</v>
      </c>
      <c r="P343" s="6" t="s">
        <v>54</v>
      </c>
      <c r="Q343" s="7" t="n">
        <v>97</v>
      </c>
      <c r="R343" s="8" t="n">
        <v>100</v>
      </c>
      <c r="S343" s="8" t="s">
        <v>54</v>
      </c>
      <c r="T343" s="9" t="n">
        <v>100</v>
      </c>
      <c r="U343" s="10" t="n">
        <v>94</v>
      </c>
      <c r="V343" s="10" t="s">
        <v>54</v>
      </c>
      <c r="W343" s="11" t="n">
        <v>94</v>
      </c>
      <c r="X343" s="12" t="n">
        <v>83</v>
      </c>
      <c r="Y343" s="12" t="s">
        <v>42</v>
      </c>
      <c r="Z343" s="13" t="n">
        <v>83</v>
      </c>
      <c r="AA343" s="14" t="n">
        <v>62</v>
      </c>
      <c r="AB343" s="14" t="s">
        <v>44</v>
      </c>
      <c r="AC343" s="15" t="n">
        <v>62</v>
      </c>
      <c r="AD343" s="2" t="n">
        <f aca="false">SUM(L343,O343,R343,U343,X343,AA343)</f>
        <v>507</v>
      </c>
      <c r="AE343" s="16" t="n">
        <f aca="false">AD343/6</f>
        <v>84.5</v>
      </c>
      <c r="AF343" s="2" t="str">
        <f aca="false">IF(SUM(COUNTIF(M343,"RA"),COUNTIF(P343,"RA"),COUNTIF(S343,"RA"),COUNTIF(V343,"RA"),COUNTIF(Y343,"RA"),COUNTIF(AB343,"RA"))&gt;0,"FAIL","PASS")</f>
        <v>PASS</v>
      </c>
    </row>
    <row r="344" customFormat="false" ht="15" hidden="false" customHeight="false" outlineLevel="0" collapsed="false">
      <c r="A344" s="2" t="n">
        <v>343</v>
      </c>
      <c r="B344" s="3" t="s">
        <v>2021</v>
      </c>
      <c r="C344" s="2" t="s">
        <v>859</v>
      </c>
      <c r="D344" s="2" t="s">
        <v>2022</v>
      </c>
      <c r="E344" s="2" t="s">
        <v>35</v>
      </c>
      <c r="F344" s="2" t="s">
        <v>36</v>
      </c>
      <c r="G344" s="2" t="s">
        <v>78</v>
      </c>
      <c r="H344" s="2" t="s">
        <v>200</v>
      </c>
      <c r="I344" s="3" t="s">
        <v>2023</v>
      </c>
      <c r="J344" s="2" t="s">
        <v>2024</v>
      </c>
      <c r="K344" s="2" t="s">
        <v>2025</v>
      </c>
      <c r="L344" s="4" t="n">
        <v>93</v>
      </c>
      <c r="M344" s="4" t="s">
        <v>54</v>
      </c>
      <c r="N344" s="5" t="n">
        <v>93</v>
      </c>
      <c r="O344" s="6" t="n">
        <v>66</v>
      </c>
      <c r="P344" s="6" t="s">
        <v>44</v>
      </c>
      <c r="Q344" s="7" t="n">
        <v>66</v>
      </c>
      <c r="R344" s="8" t="n">
        <v>74</v>
      </c>
      <c r="S344" s="8" t="s">
        <v>43</v>
      </c>
      <c r="T344" s="9" t="n">
        <v>74</v>
      </c>
      <c r="U344" s="10" t="n">
        <v>100</v>
      </c>
      <c r="V344" s="10" t="s">
        <v>54</v>
      </c>
      <c r="W344" s="11" t="n">
        <v>100</v>
      </c>
      <c r="X344" s="12" t="n">
        <v>69</v>
      </c>
      <c r="Y344" s="12" t="s">
        <v>44</v>
      </c>
      <c r="Z344" s="13" t="n">
        <v>69</v>
      </c>
      <c r="AA344" s="14" t="n">
        <v>59</v>
      </c>
      <c r="AB344" s="14" t="s">
        <v>53</v>
      </c>
      <c r="AC344" s="15" t="n">
        <v>59</v>
      </c>
      <c r="AD344" s="2" t="n">
        <f aca="false">SUM(L344,O344,R344,U344,X344,AA344)</f>
        <v>461</v>
      </c>
      <c r="AE344" s="16" t="n">
        <f aca="false">AD344/6</f>
        <v>76.8333333333333</v>
      </c>
      <c r="AF344" s="2" t="str">
        <f aca="false">IF(SUM(COUNTIF(M344,"RA"),COUNTIF(P344,"RA"),COUNTIF(S344,"RA"),COUNTIF(V344,"RA"),COUNTIF(Y344,"RA"),COUNTIF(AB344,"RA"))&gt;0,"FAIL","PASS")</f>
        <v>PASS</v>
      </c>
    </row>
    <row r="345" customFormat="false" ht="15" hidden="false" customHeight="false" outlineLevel="0" collapsed="false">
      <c r="A345" s="2" t="n">
        <v>344</v>
      </c>
      <c r="B345" s="3" t="s">
        <v>2026</v>
      </c>
      <c r="C345" s="2" t="s">
        <v>841</v>
      </c>
      <c r="D345" s="2" t="s">
        <v>2027</v>
      </c>
      <c r="E345" s="2" t="s">
        <v>57</v>
      </c>
      <c r="F345" s="2" t="s">
        <v>36</v>
      </c>
      <c r="G345" s="2" t="s">
        <v>91</v>
      </c>
      <c r="H345" s="2" t="s">
        <v>2028</v>
      </c>
      <c r="I345" s="3" t="s">
        <v>2029</v>
      </c>
      <c r="J345" s="2" t="s">
        <v>2030</v>
      </c>
      <c r="K345" s="2" t="s">
        <v>2031</v>
      </c>
      <c r="L345" s="4" t="n">
        <v>72</v>
      </c>
      <c r="M345" s="4" t="s">
        <v>43</v>
      </c>
      <c r="N345" s="5" t="n">
        <v>72</v>
      </c>
      <c r="O345" s="6" t="n">
        <v>94</v>
      </c>
      <c r="P345" s="6" t="s">
        <v>54</v>
      </c>
      <c r="Q345" s="7" t="n">
        <v>94</v>
      </c>
      <c r="R345" s="8" t="n">
        <v>88</v>
      </c>
      <c r="S345" s="8" t="s">
        <v>42</v>
      </c>
      <c r="T345" s="9" t="n">
        <v>88</v>
      </c>
      <c r="U345" s="10" t="n">
        <v>96</v>
      </c>
      <c r="V345" s="10" t="s">
        <v>54</v>
      </c>
      <c r="W345" s="11" t="n">
        <v>96</v>
      </c>
      <c r="X345" s="12" t="n">
        <v>85</v>
      </c>
      <c r="Y345" s="12" t="s">
        <v>42</v>
      </c>
      <c r="Z345" s="13" t="n">
        <v>85</v>
      </c>
      <c r="AA345" s="14" t="n">
        <v>90</v>
      </c>
      <c r="AB345" s="14" t="s">
        <v>54</v>
      </c>
      <c r="AC345" s="15" t="n">
        <v>90</v>
      </c>
      <c r="AD345" s="2" t="n">
        <f aca="false">SUM(L345,O345,R345,U345,X345,AA345)</f>
        <v>525</v>
      </c>
      <c r="AE345" s="16" t="n">
        <f aca="false">AD345/6</f>
        <v>87.5</v>
      </c>
      <c r="AF345" s="2" t="str">
        <f aca="false">IF(SUM(COUNTIF(M345,"RA"),COUNTIF(P345,"RA"),COUNTIF(S345,"RA"),COUNTIF(V345,"RA"),COUNTIF(Y345,"RA"),COUNTIF(AB345,"RA"))&gt;0,"FAIL","PASS")</f>
        <v>PASS</v>
      </c>
    </row>
    <row r="346" customFormat="false" ht="15" hidden="false" customHeight="false" outlineLevel="0" collapsed="false">
      <c r="A346" s="2" t="n">
        <v>345</v>
      </c>
      <c r="B346" s="3" t="s">
        <v>2032</v>
      </c>
      <c r="C346" s="2" t="s">
        <v>783</v>
      </c>
      <c r="D346" s="2" t="s">
        <v>2033</v>
      </c>
      <c r="E346" s="2" t="s">
        <v>57</v>
      </c>
      <c r="F346" s="2" t="s">
        <v>36</v>
      </c>
      <c r="G346" s="2" t="s">
        <v>42</v>
      </c>
      <c r="H346" s="2" t="s">
        <v>2034</v>
      </c>
      <c r="I346" s="3" t="s">
        <v>2035</v>
      </c>
      <c r="J346" s="2" t="s">
        <v>2036</v>
      </c>
      <c r="K346" s="2" t="s">
        <v>2037</v>
      </c>
      <c r="L346" s="4" t="n">
        <v>67</v>
      </c>
      <c r="M346" s="4" t="s">
        <v>44</v>
      </c>
      <c r="N346" s="5" t="n">
        <v>67</v>
      </c>
      <c r="O346" s="6" t="n">
        <v>46</v>
      </c>
      <c r="P346" s="6" t="s">
        <v>45</v>
      </c>
      <c r="Q346" s="7" t="n">
        <v>46</v>
      </c>
      <c r="R346" s="8" t="n">
        <v>74</v>
      </c>
      <c r="S346" s="8" t="s">
        <v>43</v>
      </c>
      <c r="T346" s="9" t="n">
        <v>74</v>
      </c>
      <c r="U346" s="10" t="n">
        <v>60</v>
      </c>
      <c r="V346" s="10" t="s">
        <v>44</v>
      </c>
      <c r="W346" s="11" t="n">
        <v>60</v>
      </c>
      <c r="X346" s="12" t="n">
        <v>81</v>
      </c>
      <c r="Y346" s="12" t="s">
        <v>42</v>
      </c>
      <c r="Z346" s="13" t="n">
        <v>81</v>
      </c>
      <c r="AA346" s="14" t="n">
        <v>80</v>
      </c>
      <c r="AB346" s="14" t="s">
        <v>42</v>
      </c>
      <c r="AC346" s="15" t="n">
        <v>80</v>
      </c>
      <c r="AD346" s="2" t="n">
        <f aca="false">SUM(L346,O346,R346,U346,X346,AA346)</f>
        <v>408</v>
      </c>
      <c r="AE346" s="16" t="n">
        <f aca="false">AD346/6</f>
        <v>68</v>
      </c>
      <c r="AF346" s="2" t="str">
        <f aca="false">IF(SUM(COUNTIF(M346,"RA"),COUNTIF(P346,"RA"),COUNTIF(S346,"RA"),COUNTIF(V346,"RA"),COUNTIF(Y346,"RA"),COUNTIF(AB346,"RA"))&gt;0,"FAIL","PASS")</f>
        <v>FAIL</v>
      </c>
    </row>
    <row r="347" customFormat="false" ht="15" hidden="false" customHeight="false" outlineLevel="0" collapsed="false">
      <c r="A347" s="2" t="n">
        <v>346</v>
      </c>
      <c r="B347" s="3" t="s">
        <v>2038</v>
      </c>
      <c r="C347" s="2" t="s">
        <v>783</v>
      </c>
      <c r="D347" s="2" t="s">
        <v>2039</v>
      </c>
      <c r="E347" s="2" t="s">
        <v>35</v>
      </c>
      <c r="F347" s="2" t="s">
        <v>36</v>
      </c>
      <c r="G347" s="2" t="s">
        <v>71</v>
      </c>
      <c r="H347" s="2" t="s">
        <v>2040</v>
      </c>
      <c r="I347" s="3" t="s">
        <v>2041</v>
      </c>
      <c r="J347" s="2" t="s">
        <v>2042</v>
      </c>
      <c r="K347" s="2" t="s">
        <v>2043</v>
      </c>
      <c r="L347" s="4" t="n">
        <v>43</v>
      </c>
      <c r="M347" s="4" t="s">
        <v>45</v>
      </c>
      <c r="N347" s="5" t="n">
        <v>43</v>
      </c>
      <c r="O347" s="6" t="n">
        <v>69</v>
      </c>
      <c r="P347" s="6" t="s">
        <v>44</v>
      </c>
      <c r="Q347" s="7" t="n">
        <v>69</v>
      </c>
      <c r="R347" s="8" t="n">
        <v>73</v>
      </c>
      <c r="S347" s="8" t="s">
        <v>43</v>
      </c>
      <c r="T347" s="9" t="n">
        <v>73</v>
      </c>
      <c r="U347" s="10" t="n">
        <v>64</v>
      </c>
      <c r="V347" s="10" t="s">
        <v>44</v>
      </c>
      <c r="W347" s="11" t="n">
        <v>64</v>
      </c>
      <c r="X347" s="12" t="n">
        <v>75</v>
      </c>
      <c r="Y347" s="12" t="s">
        <v>43</v>
      </c>
      <c r="Z347" s="13" t="n">
        <v>75</v>
      </c>
      <c r="AA347" s="14" t="n">
        <v>76</v>
      </c>
      <c r="AB347" s="14" t="s">
        <v>43</v>
      </c>
      <c r="AC347" s="15" t="n">
        <v>76</v>
      </c>
      <c r="AD347" s="2" t="n">
        <f aca="false">SUM(L347,O347,R347,U347,X347,AA347)</f>
        <v>400</v>
      </c>
      <c r="AE347" s="16" t="n">
        <f aca="false">AD347/6</f>
        <v>66.6666666666667</v>
      </c>
      <c r="AF347" s="2" t="str">
        <f aca="false">IF(SUM(COUNTIF(M347,"RA"),COUNTIF(P347,"RA"),COUNTIF(S347,"RA"),COUNTIF(V347,"RA"),COUNTIF(Y347,"RA"),COUNTIF(AB347,"RA"))&gt;0,"FAIL","PASS")</f>
        <v>FAIL</v>
      </c>
    </row>
    <row r="348" customFormat="false" ht="15" hidden="false" customHeight="false" outlineLevel="0" collapsed="false">
      <c r="A348" s="2" t="n">
        <v>347</v>
      </c>
      <c r="B348" s="3" t="s">
        <v>2044</v>
      </c>
      <c r="C348" s="2" t="s">
        <v>912</v>
      </c>
      <c r="D348" s="2" t="s">
        <v>2045</v>
      </c>
      <c r="E348" s="2" t="s">
        <v>35</v>
      </c>
      <c r="F348" s="2" t="s">
        <v>36</v>
      </c>
      <c r="G348" s="2" t="s">
        <v>91</v>
      </c>
      <c r="H348" s="2" t="s">
        <v>2046</v>
      </c>
      <c r="I348" s="3" t="s">
        <v>59</v>
      </c>
      <c r="J348" s="2" t="s">
        <v>2047</v>
      </c>
      <c r="K348" s="2" t="s">
        <v>2048</v>
      </c>
      <c r="L348" s="4" t="n">
        <v>73</v>
      </c>
      <c r="M348" s="4" t="s">
        <v>43</v>
      </c>
      <c r="N348" s="5" t="n">
        <v>73</v>
      </c>
      <c r="O348" s="6" t="n">
        <v>94</v>
      </c>
      <c r="P348" s="6" t="s">
        <v>54</v>
      </c>
      <c r="Q348" s="7" t="n">
        <v>94</v>
      </c>
      <c r="R348" s="8" t="n">
        <v>81</v>
      </c>
      <c r="S348" s="8" t="s">
        <v>42</v>
      </c>
      <c r="T348" s="9" t="n">
        <v>81</v>
      </c>
      <c r="U348" s="10" t="n">
        <v>91</v>
      </c>
      <c r="V348" s="10" t="s">
        <v>54</v>
      </c>
      <c r="W348" s="11" t="n">
        <v>91</v>
      </c>
      <c r="X348" s="12" t="n">
        <v>84</v>
      </c>
      <c r="Y348" s="12" t="s">
        <v>42</v>
      </c>
      <c r="Z348" s="13" t="n">
        <v>84</v>
      </c>
      <c r="AA348" s="14" t="n">
        <v>61</v>
      </c>
      <c r="AB348" s="14" t="s">
        <v>44</v>
      </c>
      <c r="AC348" s="15" t="n">
        <v>61</v>
      </c>
      <c r="AD348" s="2" t="n">
        <f aca="false">SUM(L348,O348,R348,U348,X348,AA348)</f>
        <v>484</v>
      </c>
      <c r="AE348" s="16" t="n">
        <f aca="false">AD348/6</f>
        <v>80.6666666666667</v>
      </c>
      <c r="AF348" s="2" t="str">
        <f aca="false">IF(SUM(COUNTIF(M348,"RA"),COUNTIF(P348,"RA"),COUNTIF(S348,"RA"),COUNTIF(V348,"RA"),COUNTIF(Y348,"RA"),COUNTIF(AB348,"RA"))&gt;0,"FAIL","PASS")</f>
        <v>PASS</v>
      </c>
    </row>
    <row r="349" customFormat="false" ht="15" hidden="false" customHeight="false" outlineLevel="0" collapsed="false">
      <c r="A349" s="2" t="n">
        <v>348</v>
      </c>
      <c r="B349" s="3" t="s">
        <v>2049</v>
      </c>
      <c r="C349" s="2" t="s">
        <v>770</v>
      </c>
      <c r="D349" s="2" t="s">
        <v>2050</v>
      </c>
      <c r="E349" s="2" t="s">
        <v>57</v>
      </c>
      <c r="F349" s="2" t="s">
        <v>36</v>
      </c>
      <c r="G349" s="2" t="s">
        <v>42</v>
      </c>
      <c r="H349" s="2" t="s">
        <v>2051</v>
      </c>
      <c r="I349" s="3" t="s">
        <v>1136</v>
      </c>
      <c r="J349" s="2" t="s">
        <v>2052</v>
      </c>
      <c r="K349" s="2" t="s">
        <v>2053</v>
      </c>
      <c r="L349" s="4" t="n">
        <v>83</v>
      </c>
      <c r="M349" s="4" t="s">
        <v>42</v>
      </c>
      <c r="N349" s="5" t="n">
        <v>83</v>
      </c>
      <c r="O349" s="6" t="n">
        <v>92</v>
      </c>
      <c r="P349" s="6" t="s">
        <v>54</v>
      </c>
      <c r="Q349" s="7" t="n">
        <v>92</v>
      </c>
      <c r="R349" s="8" t="n">
        <v>64</v>
      </c>
      <c r="S349" s="8" t="s">
        <v>44</v>
      </c>
      <c r="T349" s="9" t="n">
        <v>64</v>
      </c>
      <c r="U349" s="10" t="n">
        <v>88</v>
      </c>
      <c r="V349" s="10" t="s">
        <v>42</v>
      </c>
      <c r="W349" s="11" t="n">
        <v>88</v>
      </c>
      <c r="X349" s="12" t="n">
        <v>76</v>
      </c>
      <c r="Y349" s="12" t="s">
        <v>43</v>
      </c>
      <c r="Z349" s="13" t="n">
        <v>76</v>
      </c>
      <c r="AA349" s="14" t="n">
        <v>41</v>
      </c>
      <c r="AB349" s="14" t="s">
        <v>45</v>
      </c>
      <c r="AC349" s="15" t="n">
        <v>41</v>
      </c>
      <c r="AD349" s="2" t="n">
        <f aca="false">SUM(L349,O349,R349,U349,X349,AA349)</f>
        <v>444</v>
      </c>
      <c r="AE349" s="16" t="n">
        <f aca="false">AD349/6</f>
        <v>74</v>
      </c>
      <c r="AF349" s="2" t="str">
        <f aca="false">IF(SUM(COUNTIF(M349,"RA"),COUNTIF(P349,"RA"),COUNTIF(S349,"RA"),COUNTIF(V349,"RA"),COUNTIF(Y349,"RA"),COUNTIF(AB349,"RA"))&gt;0,"FAIL","PASS")</f>
        <v>FAIL</v>
      </c>
    </row>
    <row r="350" customFormat="false" ht="15" hidden="false" customHeight="false" outlineLevel="0" collapsed="false">
      <c r="A350" s="2" t="n">
        <v>349</v>
      </c>
      <c r="B350" s="3" t="s">
        <v>2054</v>
      </c>
      <c r="C350" s="2" t="s">
        <v>757</v>
      </c>
      <c r="D350" s="2" t="s">
        <v>2055</v>
      </c>
      <c r="E350" s="2" t="s">
        <v>57</v>
      </c>
      <c r="F350" s="2" t="s">
        <v>36</v>
      </c>
      <c r="G350" s="2" t="s">
        <v>64</v>
      </c>
      <c r="H350" s="2" t="s">
        <v>2056</v>
      </c>
      <c r="I350" s="3" t="s">
        <v>1796</v>
      </c>
      <c r="J350" s="2" t="s">
        <v>2057</v>
      </c>
      <c r="K350" s="2" t="s">
        <v>2058</v>
      </c>
      <c r="L350" s="4" t="n">
        <v>59</v>
      </c>
      <c r="M350" s="4" t="s">
        <v>53</v>
      </c>
      <c r="N350" s="5" t="n">
        <v>59</v>
      </c>
      <c r="O350" s="6" t="n">
        <v>100</v>
      </c>
      <c r="P350" s="6" t="s">
        <v>54</v>
      </c>
      <c r="Q350" s="7" t="n">
        <v>100</v>
      </c>
      <c r="R350" s="8" t="n">
        <v>67</v>
      </c>
      <c r="S350" s="8" t="s">
        <v>44</v>
      </c>
      <c r="T350" s="9" t="n">
        <v>67</v>
      </c>
      <c r="U350" s="10" t="n">
        <v>73</v>
      </c>
      <c r="V350" s="10" t="s">
        <v>43</v>
      </c>
      <c r="W350" s="11" t="n">
        <v>73</v>
      </c>
      <c r="X350" s="12" t="n">
        <v>76</v>
      </c>
      <c r="Y350" s="12" t="s">
        <v>43</v>
      </c>
      <c r="Z350" s="13" t="n">
        <v>76</v>
      </c>
      <c r="AA350" s="14" t="n">
        <v>85</v>
      </c>
      <c r="AB350" s="14" t="s">
        <v>42</v>
      </c>
      <c r="AC350" s="15" t="n">
        <v>85</v>
      </c>
      <c r="AD350" s="2" t="n">
        <f aca="false">SUM(L350,O350,R350,U350,X350,AA350)</f>
        <v>460</v>
      </c>
      <c r="AE350" s="16" t="n">
        <f aca="false">AD350/6</f>
        <v>76.6666666666667</v>
      </c>
      <c r="AF350" s="2" t="str">
        <f aca="false">IF(SUM(COUNTIF(M350,"RA"),COUNTIF(P350,"RA"),COUNTIF(S350,"RA"),COUNTIF(V350,"RA"),COUNTIF(Y350,"RA"),COUNTIF(AB350,"RA"))&gt;0,"FAIL","PASS")</f>
        <v>PASS</v>
      </c>
    </row>
    <row r="351" customFormat="false" ht="15" hidden="false" customHeight="false" outlineLevel="0" collapsed="false">
      <c r="A351" s="2" t="n">
        <v>350</v>
      </c>
      <c r="B351" s="3" t="s">
        <v>2059</v>
      </c>
      <c r="C351" s="2" t="s">
        <v>816</v>
      </c>
      <c r="D351" s="2" t="s">
        <v>2060</v>
      </c>
      <c r="E351" s="2" t="s">
        <v>35</v>
      </c>
      <c r="F351" s="2" t="s">
        <v>36</v>
      </c>
      <c r="G351" s="2" t="s">
        <v>64</v>
      </c>
      <c r="H351" s="2" t="s">
        <v>407</v>
      </c>
      <c r="I351" s="3" t="s">
        <v>2061</v>
      </c>
      <c r="J351" s="2" t="s">
        <v>2062</v>
      </c>
      <c r="K351" s="2" t="s">
        <v>2063</v>
      </c>
      <c r="L351" s="4" t="n">
        <v>98</v>
      </c>
      <c r="M351" s="4" t="s">
        <v>54</v>
      </c>
      <c r="N351" s="5" t="n">
        <v>98</v>
      </c>
      <c r="O351" s="6" t="n">
        <v>47</v>
      </c>
      <c r="P351" s="6" t="s">
        <v>45</v>
      </c>
      <c r="Q351" s="7" t="n">
        <v>47</v>
      </c>
      <c r="R351" s="8" t="n">
        <v>95</v>
      </c>
      <c r="S351" s="8" t="s">
        <v>54</v>
      </c>
      <c r="T351" s="9" t="n">
        <v>95</v>
      </c>
      <c r="U351" s="10" t="n">
        <v>78</v>
      </c>
      <c r="V351" s="10" t="s">
        <v>43</v>
      </c>
      <c r="W351" s="11" t="n">
        <v>78</v>
      </c>
      <c r="X351" s="12" t="n">
        <v>81</v>
      </c>
      <c r="Y351" s="12" t="s">
        <v>42</v>
      </c>
      <c r="Z351" s="13" t="n">
        <v>81</v>
      </c>
      <c r="AA351" s="14" t="n">
        <v>53</v>
      </c>
      <c r="AB351" s="14" t="s">
        <v>53</v>
      </c>
      <c r="AC351" s="15" t="n">
        <v>53</v>
      </c>
      <c r="AD351" s="2" t="n">
        <f aca="false">SUM(L351,O351,R351,U351,X351,AA351)</f>
        <v>452</v>
      </c>
      <c r="AE351" s="16" t="n">
        <f aca="false">AD351/6</f>
        <v>75.3333333333333</v>
      </c>
      <c r="AF351" s="2" t="str">
        <f aca="false">IF(SUM(COUNTIF(M351,"RA"),COUNTIF(P351,"RA"),COUNTIF(S351,"RA"),COUNTIF(V351,"RA"),COUNTIF(Y351,"RA"),COUNTIF(AB351,"RA"))&gt;0,"FAIL","PASS")</f>
        <v>FAIL</v>
      </c>
    </row>
    <row r="352" customFormat="false" ht="15" hidden="false" customHeight="false" outlineLevel="0" collapsed="false">
      <c r="A352" s="2" t="n">
        <v>351</v>
      </c>
      <c r="B352" s="3" t="s">
        <v>2064</v>
      </c>
      <c r="C352" s="2" t="s">
        <v>750</v>
      </c>
      <c r="D352" s="2" t="s">
        <v>2065</v>
      </c>
      <c r="E352" s="2" t="s">
        <v>57</v>
      </c>
      <c r="F352" s="2" t="s">
        <v>36</v>
      </c>
      <c r="G352" s="2" t="s">
        <v>37</v>
      </c>
      <c r="H352" s="2" t="s">
        <v>2066</v>
      </c>
      <c r="I352" s="3" t="s">
        <v>2067</v>
      </c>
      <c r="J352" s="2" t="s">
        <v>2068</v>
      </c>
      <c r="K352" s="2" t="s">
        <v>2069</v>
      </c>
      <c r="L352" s="4" t="n">
        <v>68</v>
      </c>
      <c r="M352" s="4" t="s">
        <v>44</v>
      </c>
      <c r="N352" s="5" t="n">
        <v>68</v>
      </c>
      <c r="O352" s="6" t="n">
        <v>99</v>
      </c>
      <c r="P352" s="6" t="s">
        <v>54</v>
      </c>
      <c r="Q352" s="7" t="n">
        <v>99</v>
      </c>
      <c r="R352" s="8" t="n">
        <v>68</v>
      </c>
      <c r="S352" s="8" t="s">
        <v>44</v>
      </c>
      <c r="T352" s="9" t="n">
        <v>68</v>
      </c>
      <c r="U352" s="10" t="n">
        <v>85</v>
      </c>
      <c r="V352" s="10" t="s">
        <v>42</v>
      </c>
      <c r="W352" s="11" t="n">
        <v>85</v>
      </c>
      <c r="X352" s="12" t="n">
        <v>90</v>
      </c>
      <c r="Y352" s="12" t="s">
        <v>54</v>
      </c>
      <c r="Z352" s="13" t="n">
        <v>90</v>
      </c>
      <c r="AA352" s="14" t="n">
        <v>94</v>
      </c>
      <c r="AB352" s="14" t="s">
        <v>54</v>
      </c>
      <c r="AC352" s="15" t="n">
        <v>94</v>
      </c>
      <c r="AD352" s="2" t="n">
        <f aca="false">SUM(L352,O352,R352,U352,X352,AA352)</f>
        <v>504</v>
      </c>
      <c r="AE352" s="16" t="n">
        <f aca="false">AD352/6</f>
        <v>84</v>
      </c>
      <c r="AF352" s="2" t="str">
        <f aca="false">IF(SUM(COUNTIF(M352,"RA"),COUNTIF(P352,"RA"),COUNTIF(S352,"RA"),COUNTIF(V352,"RA"),COUNTIF(Y352,"RA"),COUNTIF(AB352,"RA"))&gt;0,"FAIL","PASS")</f>
        <v>PASS</v>
      </c>
    </row>
    <row r="353" customFormat="false" ht="15" hidden="false" customHeight="false" outlineLevel="0" collapsed="false">
      <c r="A353" s="2" t="n">
        <v>352</v>
      </c>
      <c r="B353" s="3" t="s">
        <v>2070</v>
      </c>
      <c r="C353" s="2" t="s">
        <v>757</v>
      </c>
      <c r="D353" s="2" t="s">
        <v>2071</v>
      </c>
      <c r="E353" s="2" t="s">
        <v>35</v>
      </c>
      <c r="F353" s="2" t="s">
        <v>36</v>
      </c>
      <c r="G353" s="2" t="s">
        <v>42</v>
      </c>
      <c r="H353" s="2" t="s">
        <v>2072</v>
      </c>
      <c r="I353" s="3" t="s">
        <v>2073</v>
      </c>
      <c r="J353" s="2" t="s">
        <v>2074</v>
      </c>
      <c r="K353" s="2" t="s">
        <v>2075</v>
      </c>
      <c r="L353" s="4" t="n">
        <v>88</v>
      </c>
      <c r="M353" s="4" t="s">
        <v>42</v>
      </c>
      <c r="N353" s="5" t="n">
        <v>88</v>
      </c>
      <c r="O353" s="6" t="n">
        <v>68</v>
      </c>
      <c r="P353" s="6" t="s">
        <v>44</v>
      </c>
      <c r="Q353" s="7" t="n">
        <v>68</v>
      </c>
      <c r="R353" s="8" t="n">
        <v>81</v>
      </c>
      <c r="S353" s="8" t="s">
        <v>42</v>
      </c>
      <c r="T353" s="9" t="n">
        <v>81</v>
      </c>
      <c r="U353" s="10" t="n">
        <v>69</v>
      </c>
      <c r="V353" s="10" t="s">
        <v>44</v>
      </c>
      <c r="W353" s="11" t="n">
        <v>69</v>
      </c>
      <c r="X353" s="12" t="n">
        <v>61</v>
      </c>
      <c r="Y353" s="12" t="s">
        <v>44</v>
      </c>
      <c r="Z353" s="13" t="n">
        <v>61</v>
      </c>
      <c r="AA353" s="14" t="n">
        <v>85</v>
      </c>
      <c r="AB353" s="14" t="s">
        <v>42</v>
      </c>
      <c r="AC353" s="15" t="n">
        <v>85</v>
      </c>
      <c r="AD353" s="2" t="n">
        <f aca="false">SUM(L353,O353,R353,U353,X353,AA353)</f>
        <v>452</v>
      </c>
      <c r="AE353" s="16" t="n">
        <f aca="false">AD353/6</f>
        <v>75.3333333333333</v>
      </c>
      <c r="AF353" s="2" t="str">
        <f aca="false">IF(SUM(COUNTIF(M353,"RA"),COUNTIF(P353,"RA"),COUNTIF(S353,"RA"),COUNTIF(V353,"RA"),COUNTIF(Y353,"RA"),COUNTIF(AB353,"RA"))&gt;0,"FAIL","PASS")</f>
        <v>PASS</v>
      </c>
    </row>
    <row r="354" customFormat="false" ht="15" hidden="false" customHeight="false" outlineLevel="0" collapsed="false">
      <c r="A354" s="2" t="n">
        <v>353</v>
      </c>
      <c r="B354" s="3" t="s">
        <v>2076</v>
      </c>
      <c r="C354" s="2" t="s">
        <v>803</v>
      </c>
      <c r="D354" s="2" t="s">
        <v>2077</v>
      </c>
      <c r="E354" s="2" t="s">
        <v>57</v>
      </c>
      <c r="F354" s="2" t="s">
        <v>36</v>
      </c>
      <c r="G354" s="2" t="s">
        <v>64</v>
      </c>
      <c r="H354" s="2" t="s">
        <v>2078</v>
      </c>
      <c r="I354" s="3" t="s">
        <v>2079</v>
      </c>
      <c r="J354" s="2" t="s">
        <v>2080</v>
      </c>
      <c r="K354" s="2" t="s">
        <v>2081</v>
      </c>
      <c r="L354" s="4" t="n">
        <v>93</v>
      </c>
      <c r="M354" s="4" t="s">
        <v>54</v>
      </c>
      <c r="N354" s="5" t="n">
        <v>93</v>
      </c>
      <c r="O354" s="6" t="n">
        <v>57</v>
      </c>
      <c r="P354" s="6" t="s">
        <v>53</v>
      </c>
      <c r="Q354" s="7" t="n">
        <v>57</v>
      </c>
      <c r="R354" s="8" t="n">
        <v>82</v>
      </c>
      <c r="S354" s="8" t="s">
        <v>42</v>
      </c>
      <c r="T354" s="9" t="n">
        <v>82</v>
      </c>
      <c r="U354" s="10" t="n">
        <v>84</v>
      </c>
      <c r="V354" s="10" t="s">
        <v>42</v>
      </c>
      <c r="W354" s="11" t="n">
        <v>84</v>
      </c>
      <c r="X354" s="12" t="n">
        <v>69</v>
      </c>
      <c r="Y354" s="12" t="s">
        <v>44</v>
      </c>
      <c r="Z354" s="13" t="n">
        <v>69</v>
      </c>
      <c r="AA354" s="14" t="n">
        <v>57</v>
      </c>
      <c r="AB354" s="14" t="s">
        <v>53</v>
      </c>
      <c r="AC354" s="15" t="n">
        <v>57</v>
      </c>
      <c r="AD354" s="2" t="n">
        <f aca="false">SUM(L354,O354,R354,U354,X354,AA354)</f>
        <v>442</v>
      </c>
      <c r="AE354" s="16" t="n">
        <f aca="false">AD354/6</f>
        <v>73.6666666666667</v>
      </c>
      <c r="AF354" s="2" t="str">
        <f aca="false">IF(SUM(COUNTIF(M354,"RA"),COUNTIF(P354,"RA"),COUNTIF(S354,"RA"),COUNTIF(V354,"RA"),COUNTIF(Y354,"RA"),COUNTIF(AB354,"RA"))&gt;0,"FAIL","PASS")</f>
        <v>PASS</v>
      </c>
    </row>
    <row r="355" customFormat="false" ht="15" hidden="false" customHeight="false" outlineLevel="0" collapsed="false">
      <c r="A355" s="2" t="n">
        <v>354</v>
      </c>
      <c r="B355" s="3" t="s">
        <v>2082</v>
      </c>
      <c r="C355" s="2" t="s">
        <v>783</v>
      </c>
      <c r="D355" s="2" t="s">
        <v>2083</v>
      </c>
      <c r="E355" s="2" t="s">
        <v>35</v>
      </c>
      <c r="F355" s="2" t="s">
        <v>36</v>
      </c>
      <c r="G355" s="2" t="s">
        <v>44</v>
      </c>
      <c r="H355" s="2" t="s">
        <v>2084</v>
      </c>
      <c r="I355" s="3" t="s">
        <v>1045</v>
      </c>
      <c r="J355" s="2" t="s">
        <v>2085</v>
      </c>
      <c r="K355" s="2" t="s">
        <v>2086</v>
      </c>
      <c r="L355" s="4" t="n">
        <v>48</v>
      </c>
      <c r="M355" s="4" t="s">
        <v>45</v>
      </c>
      <c r="N355" s="5" t="n">
        <v>48</v>
      </c>
      <c r="O355" s="6" t="n">
        <v>77</v>
      </c>
      <c r="P355" s="6" t="s">
        <v>43</v>
      </c>
      <c r="Q355" s="7" t="n">
        <v>77</v>
      </c>
      <c r="R355" s="8" t="n">
        <v>44</v>
      </c>
      <c r="S355" s="8" t="s">
        <v>45</v>
      </c>
      <c r="T355" s="9" t="n">
        <v>44</v>
      </c>
      <c r="U355" s="10" t="n">
        <v>60</v>
      </c>
      <c r="V355" s="10" t="s">
        <v>44</v>
      </c>
      <c r="W355" s="11" t="n">
        <v>60</v>
      </c>
      <c r="X355" s="12" t="n">
        <v>66</v>
      </c>
      <c r="Y355" s="12" t="s">
        <v>44</v>
      </c>
      <c r="Z355" s="13" t="n">
        <v>66</v>
      </c>
      <c r="AA355" s="14" t="n">
        <v>87</v>
      </c>
      <c r="AB355" s="14" t="s">
        <v>42</v>
      </c>
      <c r="AC355" s="15" t="n">
        <v>87</v>
      </c>
      <c r="AD355" s="2" t="n">
        <f aca="false">SUM(L355,O355,R355,U355,X355,AA355)</f>
        <v>382</v>
      </c>
      <c r="AE355" s="16" t="n">
        <f aca="false">AD355/6</f>
        <v>63.6666666666667</v>
      </c>
      <c r="AF355" s="2" t="str">
        <f aca="false">IF(SUM(COUNTIF(M355,"RA"),COUNTIF(P355,"RA"),COUNTIF(S355,"RA"),COUNTIF(V355,"RA"),COUNTIF(Y355,"RA"),COUNTIF(AB355,"RA"))&gt;0,"FAIL","PASS")</f>
        <v>FAIL</v>
      </c>
    </row>
    <row r="356" customFormat="false" ht="15" hidden="false" customHeight="false" outlineLevel="0" collapsed="false">
      <c r="A356" s="2" t="n">
        <v>355</v>
      </c>
      <c r="B356" s="3" t="s">
        <v>2087</v>
      </c>
      <c r="C356" s="2" t="s">
        <v>770</v>
      </c>
      <c r="D356" s="2" t="s">
        <v>2088</v>
      </c>
      <c r="E356" s="2" t="s">
        <v>35</v>
      </c>
      <c r="F356" s="2" t="s">
        <v>36</v>
      </c>
      <c r="G356" s="2" t="s">
        <v>37</v>
      </c>
      <c r="H356" s="2" t="s">
        <v>2051</v>
      </c>
      <c r="I356" s="3" t="s">
        <v>2089</v>
      </c>
      <c r="J356" s="2" t="s">
        <v>2090</v>
      </c>
      <c r="K356" s="2" t="s">
        <v>2091</v>
      </c>
      <c r="L356" s="4" t="n">
        <v>63</v>
      </c>
      <c r="M356" s="4" t="s">
        <v>44</v>
      </c>
      <c r="N356" s="5" t="n">
        <v>63</v>
      </c>
      <c r="O356" s="6" t="n">
        <v>81</v>
      </c>
      <c r="P356" s="6" t="s">
        <v>42</v>
      </c>
      <c r="Q356" s="7" t="n">
        <v>81</v>
      </c>
      <c r="R356" s="8" t="n">
        <v>62</v>
      </c>
      <c r="S356" s="8" t="s">
        <v>44</v>
      </c>
      <c r="T356" s="9" t="n">
        <v>62</v>
      </c>
      <c r="U356" s="10" t="n">
        <v>61</v>
      </c>
      <c r="V356" s="10" t="s">
        <v>44</v>
      </c>
      <c r="W356" s="11" t="n">
        <v>61</v>
      </c>
      <c r="X356" s="12" t="n">
        <v>88</v>
      </c>
      <c r="Y356" s="12" t="s">
        <v>42</v>
      </c>
      <c r="Z356" s="13" t="n">
        <v>88</v>
      </c>
      <c r="AA356" s="14" t="n">
        <v>96</v>
      </c>
      <c r="AB356" s="14" t="s">
        <v>54</v>
      </c>
      <c r="AC356" s="15" t="n">
        <v>96</v>
      </c>
      <c r="AD356" s="2" t="n">
        <f aca="false">SUM(L356,O356,R356,U356,X356,AA356)</f>
        <v>451</v>
      </c>
      <c r="AE356" s="16" t="n">
        <f aca="false">AD356/6</f>
        <v>75.1666666666667</v>
      </c>
      <c r="AF356" s="2" t="str">
        <f aca="false">IF(SUM(COUNTIF(M356,"RA"),COUNTIF(P356,"RA"),COUNTIF(S356,"RA"),COUNTIF(V356,"RA"),COUNTIF(Y356,"RA"),COUNTIF(AB356,"RA"))&gt;0,"FAIL","PASS")</f>
        <v>PASS</v>
      </c>
    </row>
    <row r="357" customFormat="false" ht="15" hidden="false" customHeight="false" outlineLevel="0" collapsed="false">
      <c r="A357" s="2" t="n">
        <v>356</v>
      </c>
      <c r="B357" s="3" t="s">
        <v>2092</v>
      </c>
      <c r="C357" s="2" t="s">
        <v>841</v>
      </c>
      <c r="D357" s="2" t="s">
        <v>2093</v>
      </c>
      <c r="E357" s="2" t="s">
        <v>35</v>
      </c>
      <c r="F357" s="2" t="s">
        <v>36</v>
      </c>
      <c r="G357" s="2" t="s">
        <v>37</v>
      </c>
      <c r="H357" s="2" t="s">
        <v>2094</v>
      </c>
      <c r="I357" s="3" t="s">
        <v>2095</v>
      </c>
      <c r="J357" s="2" t="s">
        <v>2096</v>
      </c>
      <c r="K357" s="2" t="s">
        <v>2097</v>
      </c>
      <c r="L357" s="4" t="n">
        <v>85</v>
      </c>
      <c r="M357" s="4" t="s">
        <v>42</v>
      </c>
      <c r="N357" s="5" t="n">
        <v>85</v>
      </c>
      <c r="O357" s="6" t="n">
        <v>75</v>
      </c>
      <c r="P357" s="6" t="s">
        <v>43</v>
      </c>
      <c r="Q357" s="7" t="n">
        <v>75</v>
      </c>
      <c r="R357" s="8" t="n">
        <v>81</v>
      </c>
      <c r="S357" s="8" t="s">
        <v>42</v>
      </c>
      <c r="T357" s="9" t="n">
        <v>81</v>
      </c>
      <c r="U357" s="10" t="n">
        <v>72</v>
      </c>
      <c r="V357" s="10" t="s">
        <v>43</v>
      </c>
      <c r="W357" s="11" t="n">
        <v>72</v>
      </c>
      <c r="X357" s="12" t="n">
        <v>63</v>
      </c>
      <c r="Y357" s="12" t="s">
        <v>44</v>
      </c>
      <c r="Z357" s="13" t="n">
        <v>63</v>
      </c>
      <c r="AA357" s="14" t="n">
        <v>100</v>
      </c>
      <c r="AB357" s="14" t="s">
        <v>54</v>
      </c>
      <c r="AC357" s="15" t="n">
        <v>100</v>
      </c>
      <c r="AD357" s="2" t="n">
        <f aca="false">SUM(L357,O357,R357,U357,X357,AA357)</f>
        <v>476</v>
      </c>
      <c r="AE357" s="16" t="n">
        <f aca="false">AD357/6</f>
        <v>79.3333333333333</v>
      </c>
      <c r="AF357" s="2" t="str">
        <f aca="false">IF(SUM(COUNTIF(M357,"RA"),COUNTIF(P357,"RA"),COUNTIF(S357,"RA"),COUNTIF(V357,"RA"),COUNTIF(Y357,"RA"),COUNTIF(AB357,"RA"))&gt;0,"FAIL","PASS")</f>
        <v>PASS</v>
      </c>
    </row>
    <row r="358" customFormat="false" ht="15" hidden="false" customHeight="false" outlineLevel="0" collapsed="false">
      <c r="A358" s="2" t="n">
        <v>357</v>
      </c>
      <c r="B358" s="3" t="s">
        <v>2098</v>
      </c>
      <c r="C358" s="2" t="s">
        <v>816</v>
      </c>
      <c r="D358" s="2" t="s">
        <v>2099</v>
      </c>
      <c r="E358" s="2" t="s">
        <v>57</v>
      </c>
      <c r="F358" s="2" t="s">
        <v>36</v>
      </c>
      <c r="G358" s="2" t="s">
        <v>78</v>
      </c>
      <c r="H358" s="2" t="s">
        <v>490</v>
      </c>
      <c r="I358" s="3" t="s">
        <v>2100</v>
      </c>
      <c r="J358" s="2" t="s">
        <v>2101</v>
      </c>
      <c r="K358" s="2" t="s">
        <v>2102</v>
      </c>
      <c r="L358" s="4" t="n">
        <v>87</v>
      </c>
      <c r="M358" s="4" t="s">
        <v>42</v>
      </c>
      <c r="N358" s="5" t="n">
        <v>87</v>
      </c>
      <c r="O358" s="6" t="n">
        <v>64</v>
      </c>
      <c r="P358" s="6" t="s">
        <v>44</v>
      </c>
      <c r="Q358" s="7" t="n">
        <v>64</v>
      </c>
      <c r="R358" s="8" t="n">
        <v>91</v>
      </c>
      <c r="S358" s="8" t="s">
        <v>54</v>
      </c>
      <c r="T358" s="9" t="n">
        <v>91</v>
      </c>
      <c r="U358" s="10" t="n">
        <v>54</v>
      </c>
      <c r="V358" s="10" t="s">
        <v>53</v>
      </c>
      <c r="W358" s="11" t="n">
        <v>54</v>
      </c>
      <c r="X358" s="12" t="n">
        <v>93</v>
      </c>
      <c r="Y358" s="12" t="s">
        <v>54</v>
      </c>
      <c r="Z358" s="13" t="n">
        <v>93</v>
      </c>
      <c r="AA358" s="14" t="n">
        <v>59</v>
      </c>
      <c r="AB358" s="14" t="s">
        <v>53</v>
      </c>
      <c r="AC358" s="15" t="n">
        <v>59</v>
      </c>
      <c r="AD358" s="2" t="n">
        <f aca="false">SUM(L358,O358,R358,U358,X358,AA358)</f>
        <v>448</v>
      </c>
      <c r="AE358" s="16" t="n">
        <f aca="false">AD358/6</f>
        <v>74.6666666666667</v>
      </c>
      <c r="AF358" s="2" t="str">
        <f aca="false">IF(SUM(COUNTIF(M358,"RA"),COUNTIF(P358,"RA"),COUNTIF(S358,"RA"),COUNTIF(V358,"RA"),COUNTIF(Y358,"RA"),COUNTIF(AB358,"RA"))&gt;0,"FAIL","PASS")</f>
        <v>PASS</v>
      </c>
    </row>
    <row r="359" customFormat="false" ht="15" hidden="false" customHeight="false" outlineLevel="0" collapsed="false">
      <c r="A359" s="2" t="n">
        <v>358</v>
      </c>
      <c r="B359" s="3" t="s">
        <v>2103</v>
      </c>
      <c r="C359" s="2" t="s">
        <v>757</v>
      </c>
      <c r="D359" s="2" t="s">
        <v>2104</v>
      </c>
      <c r="E359" s="2" t="s">
        <v>35</v>
      </c>
      <c r="F359" s="2" t="s">
        <v>36</v>
      </c>
      <c r="G359" s="2" t="s">
        <v>71</v>
      </c>
      <c r="H359" s="2" t="s">
        <v>2105</v>
      </c>
      <c r="I359" s="3" t="s">
        <v>2106</v>
      </c>
      <c r="J359" s="2" t="s">
        <v>2107</v>
      </c>
      <c r="K359" s="2" t="s">
        <v>2108</v>
      </c>
      <c r="L359" s="4" t="n">
        <v>57</v>
      </c>
      <c r="M359" s="4" t="s">
        <v>53</v>
      </c>
      <c r="N359" s="5" t="n">
        <v>57</v>
      </c>
      <c r="O359" s="6" t="n">
        <v>64</v>
      </c>
      <c r="P359" s="6" t="s">
        <v>44</v>
      </c>
      <c r="Q359" s="7" t="n">
        <v>64</v>
      </c>
      <c r="R359" s="8" t="n">
        <v>93</v>
      </c>
      <c r="S359" s="8" t="s">
        <v>54</v>
      </c>
      <c r="T359" s="9" t="n">
        <v>93</v>
      </c>
      <c r="U359" s="10" t="n">
        <v>65</v>
      </c>
      <c r="V359" s="10" t="s">
        <v>44</v>
      </c>
      <c r="W359" s="11" t="n">
        <v>65</v>
      </c>
      <c r="X359" s="12" t="n">
        <v>74</v>
      </c>
      <c r="Y359" s="12" t="s">
        <v>43</v>
      </c>
      <c r="Z359" s="13" t="n">
        <v>74</v>
      </c>
      <c r="AA359" s="14" t="n">
        <v>81</v>
      </c>
      <c r="AB359" s="14" t="s">
        <v>42</v>
      </c>
      <c r="AC359" s="15" t="n">
        <v>81</v>
      </c>
      <c r="AD359" s="2" t="n">
        <f aca="false">SUM(L359,O359,R359,U359,X359,AA359)</f>
        <v>434</v>
      </c>
      <c r="AE359" s="16" t="n">
        <f aca="false">AD359/6</f>
        <v>72.3333333333333</v>
      </c>
      <c r="AF359" s="2" t="str">
        <f aca="false">IF(SUM(COUNTIF(M359,"RA"),COUNTIF(P359,"RA"),COUNTIF(S359,"RA"),COUNTIF(V359,"RA"),COUNTIF(Y359,"RA"),COUNTIF(AB359,"RA"))&gt;0,"FAIL","PASS")</f>
        <v>PASS</v>
      </c>
    </row>
    <row r="360" customFormat="false" ht="15" hidden="false" customHeight="false" outlineLevel="0" collapsed="false">
      <c r="A360" s="2" t="n">
        <v>359</v>
      </c>
      <c r="B360" s="3" t="s">
        <v>2109</v>
      </c>
      <c r="C360" s="2" t="s">
        <v>770</v>
      </c>
      <c r="D360" s="2" t="s">
        <v>2110</v>
      </c>
      <c r="E360" s="2" t="s">
        <v>35</v>
      </c>
      <c r="F360" s="2" t="s">
        <v>36</v>
      </c>
      <c r="G360" s="2" t="s">
        <v>37</v>
      </c>
      <c r="H360" s="2" t="s">
        <v>2111</v>
      </c>
      <c r="I360" s="3" t="s">
        <v>2112</v>
      </c>
      <c r="J360" s="2" t="s">
        <v>2113</v>
      </c>
      <c r="K360" s="2" t="s">
        <v>2114</v>
      </c>
      <c r="L360" s="4" t="n">
        <v>82</v>
      </c>
      <c r="M360" s="4" t="s">
        <v>42</v>
      </c>
      <c r="N360" s="5" t="n">
        <v>82</v>
      </c>
      <c r="O360" s="6" t="n">
        <v>66</v>
      </c>
      <c r="P360" s="6" t="s">
        <v>44</v>
      </c>
      <c r="Q360" s="7" t="n">
        <v>66</v>
      </c>
      <c r="R360" s="8" t="n">
        <v>98</v>
      </c>
      <c r="S360" s="8" t="s">
        <v>54</v>
      </c>
      <c r="T360" s="9" t="n">
        <v>98</v>
      </c>
      <c r="U360" s="10" t="n">
        <v>70</v>
      </c>
      <c r="V360" s="10" t="s">
        <v>43</v>
      </c>
      <c r="W360" s="11" t="n">
        <v>70</v>
      </c>
      <c r="X360" s="12" t="n">
        <v>100</v>
      </c>
      <c r="Y360" s="12" t="s">
        <v>54</v>
      </c>
      <c r="Z360" s="13" t="n">
        <v>100</v>
      </c>
      <c r="AA360" s="14" t="n">
        <v>79</v>
      </c>
      <c r="AB360" s="14" t="s">
        <v>43</v>
      </c>
      <c r="AC360" s="15" t="n">
        <v>79</v>
      </c>
      <c r="AD360" s="2" t="n">
        <f aca="false">SUM(L360,O360,R360,U360,X360,AA360)</f>
        <v>495</v>
      </c>
      <c r="AE360" s="16" t="n">
        <f aca="false">AD360/6</f>
        <v>82.5</v>
      </c>
      <c r="AF360" s="2" t="str">
        <f aca="false">IF(SUM(COUNTIF(M360,"RA"),COUNTIF(P360,"RA"),COUNTIF(S360,"RA"),COUNTIF(V360,"RA"),COUNTIF(Y360,"RA"),COUNTIF(AB360,"RA"))&gt;0,"FAIL","PASS")</f>
        <v>PASS</v>
      </c>
    </row>
    <row r="361" customFormat="false" ht="15" hidden="false" customHeight="false" outlineLevel="0" collapsed="false">
      <c r="A361" s="2" t="n">
        <v>360</v>
      </c>
      <c r="B361" s="3" t="s">
        <v>2115</v>
      </c>
      <c r="C361" s="2" t="s">
        <v>783</v>
      </c>
      <c r="D361" s="2" t="s">
        <v>2116</v>
      </c>
      <c r="E361" s="2" t="s">
        <v>35</v>
      </c>
      <c r="F361" s="2" t="s">
        <v>36</v>
      </c>
      <c r="G361" s="2" t="s">
        <v>42</v>
      </c>
      <c r="H361" s="2" t="s">
        <v>2117</v>
      </c>
      <c r="I361" s="3" t="s">
        <v>2118</v>
      </c>
      <c r="J361" s="2" t="s">
        <v>2119</v>
      </c>
      <c r="K361" s="2" t="s">
        <v>2120</v>
      </c>
      <c r="L361" s="4" t="n">
        <v>65</v>
      </c>
      <c r="M361" s="4" t="s">
        <v>44</v>
      </c>
      <c r="N361" s="5" t="n">
        <v>65</v>
      </c>
      <c r="O361" s="6" t="n">
        <v>85</v>
      </c>
      <c r="P361" s="6" t="s">
        <v>42</v>
      </c>
      <c r="Q361" s="7" t="n">
        <v>85</v>
      </c>
      <c r="R361" s="8" t="n">
        <v>93</v>
      </c>
      <c r="S361" s="8" t="s">
        <v>54</v>
      </c>
      <c r="T361" s="9" t="n">
        <v>93</v>
      </c>
      <c r="U361" s="10" t="n">
        <v>76</v>
      </c>
      <c r="V361" s="10" t="s">
        <v>43</v>
      </c>
      <c r="W361" s="11" t="n">
        <v>76</v>
      </c>
      <c r="X361" s="12" t="n">
        <v>93</v>
      </c>
      <c r="Y361" s="12" t="s">
        <v>54</v>
      </c>
      <c r="Z361" s="13" t="n">
        <v>93</v>
      </c>
      <c r="AA361" s="14" t="n">
        <v>87</v>
      </c>
      <c r="AB361" s="14" t="s">
        <v>42</v>
      </c>
      <c r="AC361" s="15" t="n">
        <v>87</v>
      </c>
      <c r="AD361" s="2" t="n">
        <f aca="false">SUM(L361,O361,R361,U361,X361,AA361)</f>
        <v>499</v>
      </c>
      <c r="AE361" s="16" t="n">
        <f aca="false">AD361/6</f>
        <v>83.1666666666667</v>
      </c>
      <c r="AF361" s="2" t="str">
        <f aca="false">IF(SUM(COUNTIF(M361,"RA"),COUNTIF(P361,"RA"),COUNTIF(S361,"RA"),COUNTIF(V361,"RA"),COUNTIF(Y361,"RA"),COUNTIF(AB361,"RA"))&gt;0,"FAIL","PASS")</f>
        <v>PASS</v>
      </c>
    </row>
    <row r="362" customFormat="false" ht="15" hidden="false" customHeight="false" outlineLevel="0" collapsed="false">
      <c r="A362" s="2" t="n">
        <v>361</v>
      </c>
      <c r="B362" s="3" t="s">
        <v>2121</v>
      </c>
      <c r="C362" s="2" t="s">
        <v>750</v>
      </c>
      <c r="D362" s="2" t="s">
        <v>2122</v>
      </c>
      <c r="E362" s="2" t="s">
        <v>35</v>
      </c>
      <c r="F362" s="2" t="s">
        <v>36</v>
      </c>
      <c r="G362" s="2" t="s">
        <v>44</v>
      </c>
      <c r="H362" s="2" t="s">
        <v>2123</v>
      </c>
      <c r="I362" s="3" t="s">
        <v>2124</v>
      </c>
      <c r="J362" s="2" t="s">
        <v>2125</v>
      </c>
      <c r="K362" s="2" t="s">
        <v>2126</v>
      </c>
      <c r="L362" s="4" t="n">
        <v>95</v>
      </c>
      <c r="M362" s="4" t="s">
        <v>54</v>
      </c>
      <c r="N362" s="5" t="n">
        <v>95</v>
      </c>
      <c r="O362" s="6" t="n">
        <v>61</v>
      </c>
      <c r="P362" s="6" t="s">
        <v>44</v>
      </c>
      <c r="Q362" s="7" t="n">
        <v>61</v>
      </c>
      <c r="R362" s="8" t="n">
        <v>70</v>
      </c>
      <c r="S362" s="8" t="s">
        <v>43</v>
      </c>
      <c r="T362" s="9" t="n">
        <v>70</v>
      </c>
      <c r="U362" s="10" t="n">
        <v>60</v>
      </c>
      <c r="V362" s="10" t="s">
        <v>44</v>
      </c>
      <c r="W362" s="11" t="n">
        <v>60</v>
      </c>
      <c r="X362" s="12" t="n">
        <v>77</v>
      </c>
      <c r="Y362" s="12" t="s">
        <v>43</v>
      </c>
      <c r="Z362" s="13" t="n">
        <v>77</v>
      </c>
      <c r="AA362" s="14" t="n">
        <v>78</v>
      </c>
      <c r="AB362" s="14" t="s">
        <v>43</v>
      </c>
      <c r="AC362" s="15" t="n">
        <v>78</v>
      </c>
      <c r="AD362" s="2" t="n">
        <f aca="false">SUM(L362,O362,R362,U362,X362,AA362)</f>
        <v>441</v>
      </c>
      <c r="AE362" s="16" t="n">
        <f aca="false">AD362/6</f>
        <v>73.5</v>
      </c>
      <c r="AF362" s="2" t="str">
        <f aca="false">IF(SUM(COUNTIF(M362,"RA"),COUNTIF(P362,"RA"),COUNTIF(S362,"RA"),COUNTIF(V362,"RA"),COUNTIF(Y362,"RA"),COUNTIF(AB362,"RA"))&gt;0,"FAIL","PASS")</f>
        <v>PASS</v>
      </c>
    </row>
    <row r="363" customFormat="false" ht="15" hidden="false" customHeight="false" outlineLevel="0" collapsed="false">
      <c r="A363" s="2" t="n">
        <v>362</v>
      </c>
      <c r="B363" s="3" t="s">
        <v>2127</v>
      </c>
      <c r="C363" s="2" t="s">
        <v>912</v>
      </c>
      <c r="D363" s="2" t="s">
        <v>2128</v>
      </c>
      <c r="E363" s="2" t="s">
        <v>35</v>
      </c>
      <c r="F363" s="2" t="s">
        <v>36</v>
      </c>
      <c r="G363" s="2" t="s">
        <v>91</v>
      </c>
      <c r="H363" s="2" t="s">
        <v>2129</v>
      </c>
      <c r="I363" s="3" t="s">
        <v>2130</v>
      </c>
      <c r="J363" s="2" t="s">
        <v>2131</v>
      </c>
      <c r="K363" s="2" t="s">
        <v>2132</v>
      </c>
      <c r="L363" s="4" t="n">
        <v>61</v>
      </c>
      <c r="M363" s="4" t="s">
        <v>44</v>
      </c>
      <c r="N363" s="5" t="n">
        <v>61</v>
      </c>
      <c r="O363" s="6" t="n">
        <v>85</v>
      </c>
      <c r="P363" s="6" t="s">
        <v>42</v>
      </c>
      <c r="Q363" s="7" t="n">
        <v>85</v>
      </c>
      <c r="R363" s="8" t="n">
        <v>75</v>
      </c>
      <c r="S363" s="8" t="s">
        <v>43</v>
      </c>
      <c r="T363" s="9" t="n">
        <v>75</v>
      </c>
      <c r="U363" s="10" t="n">
        <v>66</v>
      </c>
      <c r="V363" s="10" t="s">
        <v>44</v>
      </c>
      <c r="W363" s="11" t="n">
        <v>66</v>
      </c>
      <c r="X363" s="12" t="n">
        <v>86</v>
      </c>
      <c r="Y363" s="12" t="s">
        <v>42</v>
      </c>
      <c r="Z363" s="13" t="n">
        <v>86</v>
      </c>
      <c r="AA363" s="14" t="n">
        <v>83</v>
      </c>
      <c r="AB363" s="14" t="s">
        <v>42</v>
      </c>
      <c r="AC363" s="15" t="n">
        <v>83</v>
      </c>
      <c r="AD363" s="2" t="n">
        <f aca="false">SUM(L363,O363,R363,U363,X363,AA363)</f>
        <v>456</v>
      </c>
      <c r="AE363" s="16" t="n">
        <f aca="false">AD363/6</f>
        <v>76</v>
      </c>
      <c r="AF363" s="2" t="str">
        <f aca="false">IF(SUM(COUNTIF(M363,"RA"),COUNTIF(P363,"RA"),COUNTIF(S363,"RA"),COUNTIF(V363,"RA"),COUNTIF(Y363,"RA"),COUNTIF(AB363,"RA"))&gt;0,"FAIL","PASS")</f>
        <v>PASS</v>
      </c>
    </row>
    <row r="364" customFormat="false" ht="15" hidden="false" customHeight="false" outlineLevel="0" collapsed="false">
      <c r="A364" s="2" t="n">
        <v>363</v>
      </c>
      <c r="B364" s="3" t="s">
        <v>2133</v>
      </c>
      <c r="C364" s="2" t="s">
        <v>750</v>
      </c>
      <c r="D364" s="2" t="s">
        <v>2134</v>
      </c>
      <c r="E364" s="2" t="s">
        <v>35</v>
      </c>
      <c r="F364" s="2" t="s">
        <v>36</v>
      </c>
      <c r="G364" s="2" t="s">
        <v>44</v>
      </c>
      <c r="H364" s="2" t="s">
        <v>1960</v>
      </c>
      <c r="I364" s="3" t="s">
        <v>2135</v>
      </c>
      <c r="J364" s="2" t="s">
        <v>2136</v>
      </c>
      <c r="K364" s="2" t="s">
        <v>2137</v>
      </c>
      <c r="L364" s="4" t="n">
        <v>81</v>
      </c>
      <c r="M364" s="4" t="s">
        <v>42</v>
      </c>
      <c r="N364" s="5" t="n">
        <v>81</v>
      </c>
      <c r="O364" s="6" t="n">
        <v>75</v>
      </c>
      <c r="P364" s="6" t="s">
        <v>43</v>
      </c>
      <c r="Q364" s="7" t="n">
        <v>75</v>
      </c>
      <c r="R364" s="8" t="n">
        <v>87</v>
      </c>
      <c r="S364" s="8" t="s">
        <v>42</v>
      </c>
      <c r="T364" s="9" t="n">
        <v>87</v>
      </c>
      <c r="U364" s="10" t="n">
        <v>64</v>
      </c>
      <c r="V364" s="10" t="s">
        <v>44</v>
      </c>
      <c r="W364" s="11" t="n">
        <v>64</v>
      </c>
      <c r="X364" s="12" t="n">
        <v>67</v>
      </c>
      <c r="Y364" s="12" t="s">
        <v>44</v>
      </c>
      <c r="Z364" s="13" t="n">
        <v>67</v>
      </c>
      <c r="AA364" s="14" t="n">
        <v>95</v>
      </c>
      <c r="AB364" s="14" t="s">
        <v>54</v>
      </c>
      <c r="AC364" s="15" t="n">
        <v>95</v>
      </c>
      <c r="AD364" s="2" t="n">
        <f aca="false">SUM(L364,O364,R364,U364,X364,AA364)</f>
        <v>469</v>
      </c>
      <c r="AE364" s="16" t="n">
        <f aca="false">AD364/6</f>
        <v>78.1666666666667</v>
      </c>
      <c r="AF364" s="2" t="str">
        <f aca="false">IF(SUM(COUNTIF(M364,"RA"),COUNTIF(P364,"RA"),COUNTIF(S364,"RA"),COUNTIF(V364,"RA"),COUNTIF(Y364,"RA"),COUNTIF(AB364,"RA"))&gt;0,"FAIL","PASS")</f>
        <v>PASS</v>
      </c>
    </row>
    <row r="365" customFormat="false" ht="15" hidden="false" customHeight="false" outlineLevel="0" collapsed="false">
      <c r="A365" s="2" t="n">
        <v>364</v>
      </c>
      <c r="B365" s="3" t="s">
        <v>2138</v>
      </c>
      <c r="C365" s="2" t="s">
        <v>757</v>
      </c>
      <c r="D365" s="2" t="s">
        <v>2139</v>
      </c>
      <c r="E365" s="2" t="s">
        <v>35</v>
      </c>
      <c r="F365" s="2" t="s">
        <v>36</v>
      </c>
      <c r="G365" s="2" t="s">
        <v>37</v>
      </c>
      <c r="H365" s="2" t="s">
        <v>2140</v>
      </c>
      <c r="I365" s="3" t="s">
        <v>1996</v>
      </c>
      <c r="J365" s="2" t="s">
        <v>2141</v>
      </c>
      <c r="K365" s="2" t="s">
        <v>2142</v>
      </c>
      <c r="L365" s="4" t="n">
        <v>60</v>
      </c>
      <c r="M365" s="4" t="s">
        <v>44</v>
      </c>
      <c r="N365" s="5" t="n">
        <v>60</v>
      </c>
      <c r="O365" s="6" t="n">
        <v>72</v>
      </c>
      <c r="P365" s="6" t="s">
        <v>43</v>
      </c>
      <c r="Q365" s="7" t="n">
        <v>72</v>
      </c>
      <c r="R365" s="8" t="n">
        <v>82</v>
      </c>
      <c r="S365" s="8" t="s">
        <v>42</v>
      </c>
      <c r="T365" s="9" t="n">
        <v>82</v>
      </c>
      <c r="U365" s="10" t="n">
        <v>74</v>
      </c>
      <c r="V365" s="10" t="s">
        <v>43</v>
      </c>
      <c r="W365" s="11" t="n">
        <v>74</v>
      </c>
      <c r="X365" s="12" t="n">
        <v>83</v>
      </c>
      <c r="Y365" s="12" t="s">
        <v>42</v>
      </c>
      <c r="Z365" s="13" t="n">
        <v>83</v>
      </c>
      <c r="AA365" s="14" t="n">
        <v>65</v>
      </c>
      <c r="AB365" s="14" t="s">
        <v>44</v>
      </c>
      <c r="AC365" s="15" t="n">
        <v>65</v>
      </c>
      <c r="AD365" s="2" t="n">
        <f aca="false">SUM(L365,O365,R365,U365,X365,AA365)</f>
        <v>436</v>
      </c>
      <c r="AE365" s="16" t="n">
        <f aca="false">AD365/6</f>
        <v>72.6666666666667</v>
      </c>
      <c r="AF365" s="2" t="str">
        <f aca="false">IF(SUM(COUNTIF(M365,"RA"),COUNTIF(P365,"RA"),COUNTIF(S365,"RA"),COUNTIF(V365,"RA"),COUNTIF(Y365,"RA"),COUNTIF(AB365,"RA"))&gt;0,"FAIL","PASS")</f>
        <v>PASS</v>
      </c>
    </row>
    <row r="366" customFormat="false" ht="15" hidden="false" customHeight="false" outlineLevel="0" collapsed="false">
      <c r="A366" s="2" t="n">
        <v>365</v>
      </c>
      <c r="B366" s="3" t="s">
        <v>2143</v>
      </c>
      <c r="C366" s="2" t="s">
        <v>912</v>
      </c>
      <c r="D366" s="2" t="s">
        <v>2144</v>
      </c>
      <c r="E366" s="2" t="s">
        <v>35</v>
      </c>
      <c r="F366" s="2" t="s">
        <v>36</v>
      </c>
      <c r="G366" s="2" t="s">
        <v>37</v>
      </c>
      <c r="H366" s="2" t="s">
        <v>2145</v>
      </c>
      <c r="I366" s="3" t="s">
        <v>2146</v>
      </c>
      <c r="J366" s="2" t="s">
        <v>2147</v>
      </c>
      <c r="K366" s="2" t="s">
        <v>2148</v>
      </c>
      <c r="L366" s="4" t="n">
        <v>83</v>
      </c>
      <c r="M366" s="4" t="s">
        <v>42</v>
      </c>
      <c r="N366" s="5" t="n">
        <v>83</v>
      </c>
      <c r="O366" s="6" t="n">
        <v>88</v>
      </c>
      <c r="P366" s="6" t="s">
        <v>42</v>
      </c>
      <c r="Q366" s="7" t="n">
        <v>88</v>
      </c>
      <c r="R366" s="8" t="n">
        <v>76</v>
      </c>
      <c r="S366" s="8" t="s">
        <v>43</v>
      </c>
      <c r="T366" s="9" t="n">
        <v>76</v>
      </c>
      <c r="U366" s="10" t="n">
        <v>59</v>
      </c>
      <c r="V366" s="10" t="s">
        <v>53</v>
      </c>
      <c r="W366" s="11" t="n">
        <v>59</v>
      </c>
      <c r="X366" s="12" t="n">
        <v>90</v>
      </c>
      <c r="Y366" s="12" t="s">
        <v>54</v>
      </c>
      <c r="Z366" s="13" t="n">
        <v>90</v>
      </c>
      <c r="AA366" s="14" t="n">
        <v>44</v>
      </c>
      <c r="AB366" s="14" t="s">
        <v>45</v>
      </c>
      <c r="AC366" s="15" t="n">
        <v>44</v>
      </c>
      <c r="AD366" s="2" t="n">
        <f aca="false">SUM(L366,O366,R366,U366,X366,AA366)</f>
        <v>440</v>
      </c>
      <c r="AE366" s="16" t="n">
        <f aca="false">AD366/6</f>
        <v>73.3333333333333</v>
      </c>
      <c r="AF366" s="2" t="str">
        <f aca="false">IF(SUM(COUNTIF(M366,"RA"),COUNTIF(P366,"RA"),COUNTIF(S366,"RA"),COUNTIF(V366,"RA"),COUNTIF(Y366,"RA"),COUNTIF(AB366,"RA"))&gt;0,"FAIL","PASS")</f>
        <v>FAIL</v>
      </c>
    </row>
    <row r="367" customFormat="false" ht="15" hidden="false" customHeight="false" outlineLevel="0" collapsed="false">
      <c r="A367" s="2" t="n">
        <v>366</v>
      </c>
      <c r="B367" s="3" t="s">
        <v>2149</v>
      </c>
      <c r="C367" s="2" t="s">
        <v>770</v>
      </c>
      <c r="D367" s="2" t="s">
        <v>2150</v>
      </c>
      <c r="E367" s="2" t="s">
        <v>35</v>
      </c>
      <c r="F367" s="2" t="s">
        <v>36</v>
      </c>
      <c r="G367" s="2" t="s">
        <v>78</v>
      </c>
      <c r="H367" s="2" t="s">
        <v>2151</v>
      </c>
      <c r="I367" s="3" t="s">
        <v>1278</v>
      </c>
      <c r="J367" s="2" t="s">
        <v>2152</v>
      </c>
      <c r="K367" s="2" t="s">
        <v>2153</v>
      </c>
      <c r="L367" s="4" t="n">
        <v>67</v>
      </c>
      <c r="M367" s="4" t="s">
        <v>44</v>
      </c>
      <c r="N367" s="5" t="n">
        <v>67</v>
      </c>
      <c r="O367" s="6" t="n">
        <v>72</v>
      </c>
      <c r="P367" s="6" t="s">
        <v>43</v>
      </c>
      <c r="Q367" s="7" t="n">
        <v>72</v>
      </c>
      <c r="R367" s="8" t="n">
        <v>71</v>
      </c>
      <c r="S367" s="8" t="s">
        <v>43</v>
      </c>
      <c r="T367" s="9" t="n">
        <v>71</v>
      </c>
      <c r="U367" s="10" t="n">
        <v>60</v>
      </c>
      <c r="V367" s="10" t="s">
        <v>44</v>
      </c>
      <c r="W367" s="11" t="n">
        <v>60</v>
      </c>
      <c r="X367" s="12" t="n">
        <v>75</v>
      </c>
      <c r="Y367" s="12" t="s">
        <v>43</v>
      </c>
      <c r="Z367" s="13" t="n">
        <v>75</v>
      </c>
      <c r="AA367" s="14" t="n">
        <v>84</v>
      </c>
      <c r="AB367" s="14" t="s">
        <v>42</v>
      </c>
      <c r="AC367" s="15" t="n">
        <v>84</v>
      </c>
      <c r="AD367" s="2" t="n">
        <f aca="false">SUM(L367,O367,R367,U367,X367,AA367)</f>
        <v>429</v>
      </c>
      <c r="AE367" s="16" t="n">
        <f aca="false">AD367/6</f>
        <v>71.5</v>
      </c>
      <c r="AF367" s="2" t="str">
        <f aca="false">IF(SUM(COUNTIF(M367,"RA"),COUNTIF(P367,"RA"),COUNTIF(S367,"RA"),COUNTIF(V367,"RA"),COUNTIF(Y367,"RA"),COUNTIF(AB367,"RA"))&gt;0,"FAIL","PASS")</f>
        <v>PASS</v>
      </c>
    </row>
    <row r="368" customFormat="false" ht="15" hidden="false" customHeight="false" outlineLevel="0" collapsed="false">
      <c r="A368" s="2" t="n">
        <v>367</v>
      </c>
      <c r="B368" s="3" t="s">
        <v>2154</v>
      </c>
      <c r="C368" s="2" t="s">
        <v>859</v>
      </c>
      <c r="D368" s="2" t="s">
        <v>2155</v>
      </c>
      <c r="E368" s="2" t="s">
        <v>35</v>
      </c>
      <c r="F368" s="2" t="s">
        <v>36</v>
      </c>
      <c r="G368" s="2" t="s">
        <v>48</v>
      </c>
      <c r="H368" s="2" t="s">
        <v>1847</v>
      </c>
      <c r="I368" s="3" t="s">
        <v>1226</v>
      </c>
      <c r="J368" s="2" t="s">
        <v>2156</v>
      </c>
      <c r="K368" s="2" t="s">
        <v>2157</v>
      </c>
      <c r="L368" s="4" t="n">
        <v>82</v>
      </c>
      <c r="M368" s="4" t="s">
        <v>42</v>
      </c>
      <c r="N368" s="5" t="n">
        <v>82</v>
      </c>
      <c r="O368" s="6" t="n">
        <v>77</v>
      </c>
      <c r="P368" s="6" t="s">
        <v>43</v>
      </c>
      <c r="Q368" s="7" t="n">
        <v>77</v>
      </c>
      <c r="R368" s="8" t="n">
        <v>73</v>
      </c>
      <c r="S368" s="8" t="s">
        <v>43</v>
      </c>
      <c r="T368" s="9" t="n">
        <v>73</v>
      </c>
      <c r="U368" s="10" t="n">
        <v>81</v>
      </c>
      <c r="V368" s="10" t="s">
        <v>42</v>
      </c>
      <c r="W368" s="11" t="n">
        <v>81</v>
      </c>
      <c r="X368" s="12" t="n">
        <v>44</v>
      </c>
      <c r="Y368" s="12" t="s">
        <v>45</v>
      </c>
      <c r="Z368" s="13" t="n">
        <v>44</v>
      </c>
      <c r="AA368" s="14" t="n">
        <v>77</v>
      </c>
      <c r="AB368" s="14" t="s">
        <v>43</v>
      </c>
      <c r="AC368" s="15" t="n">
        <v>77</v>
      </c>
      <c r="AD368" s="2" t="n">
        <f aca="false">SUM(L368,O368,R368,U368,X368,AA368)</f>
        <v>434</v>
      </c>
      <c r="AE368" s="16" t="n">
        <f aca="false">AD368/6</f>
        <v>72.3333333333333</v>
      </c>
      <c r="AF368" s="2" t="str">
        <f aca="false">IF(SUM(COUNTIF(M368,"RA"),COUNTIF(P368,"RA"),COUNTIF(S368,"RA"),COUNTIF(V368,"RA"),COUNTIF(Y368,"RA"),COUNTIF(AB368,"RA"))&gt;0,"FAIL","PASS")</f>
        <v>FAIL</v>
      </c>
    </row>
    <row r="369" customFormat="false" ht="15" hidden="false" customHeight="false" outlineLevel="0" collapsed="false">
      <c r="A369" s="2" t="n">
        <v>368</v>
      </c>
      <c r="B369" s="3" t="s">
        <v>2158</v>
      </c>
      <c r="C369" s="2" t="s">
        <v>841</v>
      </c>
      <c r="D369" s="2" t="s">
        <v>2159</v>
      </c>
      <c r="E369" s="2" t="s">
        <v>57</v>
      </c>
      <c r="F369" s="2" t="s">
        <v>36</v>
      </c>
      <c r="G369" s="2" t="s">
        <v>71</v>
      </c>
      <c r="H369" s="2" t="s">
        <v>2160</v>
      </c>
      <c r="I369" s="3" t="s">
        <v>2161</v>
      </c>
      <c r="J369" s="2" t="s">
        <v>2162</v>
      </c>
      <c r="K369" s="2" t="s">
        <v>2163</v>
      </c>
      <c r="L369" s="4" t="n">
        <v>62</v>
      </c>
      <c r="M369" s="4" t="s">
        <v>44</v>
      </c>
      <c r="N369" s="5" t="n">
        <v>62</v>
      </c>
      <c r="O369" s="6" t="n">
        <v>66</v>
      </c>
      <c r="P369" s="6" t="s">
        <v>44</v>
      </c>
      <c r="Q369" s="7" t="n">
        <v>66</v>
      </c>
      <c r="R369" s="8" t="n">
        <v>60</v>
      </c>
      <c r="S369" s="8" t="s">
        <v>44</v>
      </c>
      <c r="T369" s="9" t="n">
        <v>60</v>
      </c>
      <c r="U369" s="10" t="n">
        <v>89</v>
      </c>
      <c r="V369" s="10" t="s">
        <v>42</v>
      </c>
      <c r="W369" s="11" t="n">
        <v>89</v>
      </c>
      <c r="X369" s="12" t="n">
        <v>62</v>
      </c>
      <c r="Y369" s="12" t="s">
        <v>44</v>
      </c>
      <c r="Z369" s="13" t="n">
        <v>62</v>
      </c>
      <c r="AA369" s="14" t="n">
        <v>88</v>
      </c>
      <c r="AB369" s="14" t="s">
        <v>42</v>
      </c>
      <c r="AC369" s="15" t="n">
        <v>88</v>
      </c>
      <c r="AD369" s="2" t="n">
        <f aca="false">SUM(L369,O369,R369,U369,X369,AA369)</f>
        <v>427</v>
      </c>
      <c r="AE369" s="16" t="n">
        <f aca="false">AD369/6</f>
        <v>71.1666666666667</v>
      </c>
      <c r="AF369" s="2" t="str">
        <f aca="false">IF(SUM(COUNTIF(M369,"RA"),COUNTIF(P369,"RA"),COUNTIF(S369,"RA"),COUNTIF(V369,"RA"),COUNTIF(Y369,"RA"),COUNTIF(AB369,"RA"))&gt;0,"FAIL","PASS")</f>
        <v>PASS</v>
      </c>
    </row>
    <row r="370" customFormat="false" ht="15" hidden="false" customHeight="false" outlineLevel="0" collapsed="false">
      <c r="A370" s="2" t="n">
        <v>369</v>
      </c>
      <c r="B370" s="3" t="s">
        <v>2164</v>
      </c>
      <c r="C370" s="2" t="s">
        <v>790</v>
      </c>
      <c r="D370" s="2" t="s">
        <v>2165</v>
      </c>
      <c r="E370" s="2" t="s">
        <v>57</v>
      </c>
      <c r="F370" s="2" t="s">
        <v>36</v>
      </c>
      <c r="G370" s="2" t="s">
        <v>44</v>
      </c>
      <c r="H370" s="2" t="s">
        <v>2166</v>
      </c>
      <c r="I370" s="3" t="s">
        <v>2167</v>
      </c>
      <c r="J370" s="2" t="s">
        <v>2168</v>
      </c>
      <c r="K370" s="2" t="s">
        <v>2169</v>
      </c>
      <c r="L370" s="4" t="n">
        <v>62</v>
      </c>
      <c r="M370" s="4" t="s">
        <v>44</v>
      </c>
      <c r="N370" s="5" t="n">
        <v>62</v>
      </c>
      <c r="O370" s="6" t="n">
        <v>94</v>
      </c>
      <c r="P370" s="6" t="s">
        <v>54</v>
      </c>
      <c r="Q370" s="7" t="n">
        <v>94</v>
      </c>
      <c r="R370" s="8" t="n">
        <v>90</v>
      </c>
      <c r="S370" s="8" t="s">
        <v>54</v>
      </c>
      <c r="T370" s="9" t="n">
        <v>90</v>
      </c>
      <c r="U370" s="10" t="n">
        <v>86</v>
      </c>
      <c r="V370" s="10" t="s">
        <v>42</v>
      </c>
      <c r="W370" s="11" t="n">
        <v>86</v>
      </c>
      <c r="X370" s="12" t="n">
        <v>53</v>
      </c>
      <c r="Y370" s="12" t="s">
        <v>53</v>
      </c>
      <c r="Z370" s="13" t="n">
        <v>53</v>
      </c>
      <c r="AA370" s="14" t="n">
        <v>80</v>
      </c>
      <c r="AB370" s="14" t="s">
        <v>42</v>
      </c>
      <c r="AC370" s="15" t="n">
        <v>80</v>
      </c>
      <c r="AD370" s="2" t="n">
        <f aca="false">SUM(L370,O370,R370,U370,X370,AA370)</f>
        <v>465</v>
      </c>
      <c r="AE370" s="16" t="n">
        <f aca="false">AD370/6</f>
        <v>77.5</v>
      </c>
      <c r="AF370" s="2" t="str">
        <f aca="false">IF(SUM(COUNTIF(M370,"RA"),COUNTIF(P370,"RA"),COUNTIF(S370,"RA"),COUNTIF(V370,"RA"),COUNTIF(Y370,"RA"),COUNTIF(AB370,"RA"))&gt;0,"FAIL","PASS")</f>
        <v>PASS</v>
      </c>
    </row>
    <row r="371" customFormat="false" ht="15" hidden="false" customHeight="false" outlineLevel="0" collapsed="false">
      <c r="A371" s="2" t="n">
        <v>370</v>
      </c>
      <c r="B371" s="3" t="s">
        <v>2170</v>
      </c>
      <c r="C371" s="2" t="s">
        <v>859</v>
      </c>
      <c r="D371" s="2" t="s">
        <v>2171</v>
      </c>
      <c r="E371" s="2" t="s">
        <v>57</v>
      </c>
      <c r="F371" s="2" t="s">
        <v>36</v>
      </c>
      <c r="G371" s="2" t="s">
        <v>71</v>
      </c>
      <c r="H371" s="2" t="s">
        <v>2172</v>
      </c>
      <c r="I371" s="3" t="s">
        <v>2173</v>
      </c>
      <c r="J371" s="2" t="s">
        <v>2174</v>
      </c>
      <c r="K371" s="2" t="s">
        <v>2175</v>
      </c>
      <c r="L371" s="4" t="n">
        <v>92</v>
      </c>
      <c r="M371" s="4" t="s">
        <v>54</v>
      </c>
      <c r="N371" s="5" t="n">
        <v>92</v>
      </c>
      <c r="O371" s="6" t="n">
        <v>89</v>
      </c>
      <c r="P371" s="6" t="s">
        <v>42</v>
      </c>
      <c r="Q371" s="7" t="n">
        <v>89</v>
      </c>
      <c r="R371" s="8" t="n">
        <v>63</v>
      </c>
      <c r="S371" s="8" t="s">
        <v>44</v>
      </c>
      <c r="T371" s="9" t="n">
        <v>63</v>
      </c>
      <c r="U371" s="10" t="n">
        <v>75</v>
      </c>
      <c r="V371" s="10" t="s">
        <v>43</v>
      </c>
      <c r="W371" s="11" t="n">
        <v>75</v>
      </c>
      <c r="X371" s="12" t="n">
        <v>47</v>
      </c>
      <c r="Y371" s="12" t="s">
        <v>45</v>
      </c>
      <c r="Z371" s="13" t="n">
        <v>47</v>
      </c>
      <c r="AA371" s="14" t="n">
        <v>80</v>
      </c>
      <c r="AB371" s="14" t="s">
        <v>42</v>
      </c>
      <c r="AC371" s="15" t="n">
        <v>80</v>
      </c>
      <c r="AD371" s="2" t="n">
        <f aca="false">SUM(L371,O371,R371,U371,X371,AA371)</f>
        <v>446</v>
      </c>
      <c r="AE371" s="16" t="n">
        <f aca="false">AD371/6</f>
        <v>74.3333333333333</v>
      </c>
      <c r="AF371" s="2" t="str">
        <f aca="false">IF(SUM(COUNTIF(M371,"RA"),COUNTIF(P371,"RA"),COUNTIF(S371,"RA"),COUNTIF(V371,"RA"),COUNTIF(Y371,"RA"),COUNTIF(AB371,"RA"))&gt;0,"FAIL","PASS")</f>
        <v>FAIL</v>
      </c>
    </row>
    <row r="372" customFormat="false" ht="15" hidden="false" customHeight="false" outlineLevel="0" collapsed="false">
      <c r="A372" s="2" t="n">
        <v>371</v>
      </c>
      <c r="B372" s="3" t="s">
        <v>2176</v>
      </c>
      <c r="C372" s="2" t="s">
        <v>770</v>
      </c>
      <c r="D372" s="2" t="s">
        <v>2177</v>
      </c>
      <c r="E372" s="2" t="s">
        <v>35</v>
      </c>
      <c r="F372" s="2" t="s">
        <v>36</v>
      </c>
      <c r="G372" s="2" t="s">
        <v>37</v>
      </c>
      <c r="H372" s="2" t="s">
        <v>2178</v>
      </c>
      <c r="I372" s="3" t="s">
        <v>2179</v>
      </c>
      <c r="J372" s="2" t="s">
        <v>2180</v>
      </c>
      <c r="K372" s="2" t="s">
        <v>2181</v>
      </c>
      <c r="L372" s="4" t="n">
        <v>86</v>
      </c>
      <c r="M372" s="4" t="s">
        <v>42</v>
      </c>
      <c r="N372" s="5" t="n">
        <v>86</v>
      </c>
      <c r="O372" s="6" t="n">
        <v>75</v>
      </c>
      <c r="P372" s="6" t="s">
        <v>43</v>
      </c>
      <c r="Q372" s="7" t="n">
        <v>75</v>
      </c>
      <c r="R372" s="8" t="n">
        <v>62</v>
      </c>
      <c r="S372" s="8" t="s">
        <v>44</v>
      </c>
      <c r="T372" s="9" t="n">
        <v>62</v>
      </c>
      <c r="U372" s="10" t="n">
        <v>91</v>
      </c>
      <c r="V372" s="10" t="s">
        <v>54</v>
      </c>
      <c r="W372" s="11" t="n">
        <v>91</v>
      </c>
      <c r="X372" s="12" t="n">
        <v>87</v>
      </c>
      <c r="Y372" s="12" t="s">
        <v>42</v>
      </c>
      <c r="Z372" s="13" t="n">
        <v>87</v>
      </c>
      <c r="AA372" s="14" t="n">
        <v>82</v>
      </c>
      <c r="AB372" s="14" t="s">
        <v>42</v>
      </c>
      <c r="AC372" s="15" t="n">
        <v>82</v>
      </c>
      <c r="AD372" s="2" t="n">
        <f aca="false">SUM(L372,O372,R372,U372,X372,AA372)</f>
        <v>483</v>
      </c>
      <c r="AE372" s="16" t="n">
        <f aca="false">AD372/6</f>
        <v>80.5</v>
      </c>
      <c r="AF372" s="2" t="str">
        <f aca="false">IF(SUM(COUNTIF(M372,"RA"),COUNTIF(P372,"RA"),COUNTIF(S372,"RA"),COUNTIF(V372,"RA"),COUNTIF(Y372,"RA"),COUNTIF(AB372,"RA"))&gt;0,"FAIL","PASS")</f>
        <v>PASS</v>
      </c>
    </row>
    <row r="373" customFormat="false" ht="15" hidden="false" customHeight="false" outlineLevel="0" collapsed="false">
      <c r="A373" s="2" t="n">
        <v>372</v>
      </c>
      <c r="B373" s="3" t="s">
        <v>2182</v>
      </c>
      <c r="C373" s="2" t="s">
        <v>803</v>
      </c>
      <c r="D373" s="2" t="s">
        <v>2183</v>
      </c>
      <c r="E373" s="2" t="s">
        <v>57</v>
      </c>
      <c r="F373" s="2" t="s">
        <v>36</v>
      </c>
      <c r="G373" s="2" t="s">
        <v>91</v>
      </c>
      <c r="H373" s="2" t="s">
        <v>2184</v>
      </c>
      <c r="I373" s="3" t="s">
        <v>2185</v>
      </c>
      <c r="J373" s="2" t="s">
        <v>2186</v>
      </c>
      <c r="K373" s="2" t="s">
        <v>2187</v>
      </c>
      <c r="L373" s="4" t="n">
        <v>78</v>
      </c>
      <c r="M373" s="4" t="s">
        <v>43</v>
      </c>
      <c r="N373" s="5" t="n">
        <v>78</v>
      </c>
      <c r="O373" s="6" t="n">
        <v>95</v>
      </c>
      <c r="P373" s="6" t="s">
        <v>54</v>
      </c>
      <c r="Q373" s="7" t="n">
        <v>95</v>
      </c>
      <c r="R373" s="8" t="n">
        <v>81</v>
      </c>
      <c r="S373" s="8" t="s">
        <v>42</v>
      </c>
      <c r="T373" s="9" t="n">
        <v>81</v>
      </c>
      <c r="U373" s="10" t="n">
        <v>86</v>
      </c>
      <c r="V373" s="10" t="s">
        <v>42</v>
      </c>
      <c r="W373" s="11" t="n">
        <v>86</v>
      </c>
      <c r="X373" s="12" t="n">
        <v>77</v>
      </c>
      <c r="Y373" s="12" t="s">
        <v>43</v>
      </c>
      <c r="Z373" s="13" t="n">
        <v>77</v>
      </c>
      <c r="AA373" s="14" t="n">
        <v>77</v>
      </c>
      <c r="AB373" s="14" t="s">
        <v>43</v>
      </c>
      <c r="AC373" s="15" t="n">
        <v>77</v>
      </c>
      <c r="AD373" s="2" t="n">
        <f aca="false">SUM(L373,O373,R373,U373,X373,AA373)</f>
        <v>494</v>
      </c>
      <c r="AE373" s="16" t="n">
        <f aca="false">AD373/6</f>
        <v>82.3333333333333</v>
      </c>
      <c r="AF373" s="2" t="str">
        <f aca="false">IF(SUM(COUNTIF(M373,"RA"),COUNTIF(P373,"RA"),COUNTIF(S373,"RA"),COUNTIF(V373,"RA"),COUNTIF(Y373,"RA"),COUNTIF(AB373,"RA"))&gt;0,"FAIL","PASS")</f>
        <v>PASS</v>
      </c>
    </row>
    <row r="374" customFormat="false" ht="15" hidden="false" customHeight="false" outlineLevel="0" collapsed="false">
      <c r="A374" s="2" t="n">
        <v>373</v>
      </c>
      <c r="B374" s="3" t="s">
        <v>2188</v>
      </c>
      <c r="C374" s="2" t="s">
        <v>790</v>
      </c>
      <c r="D374" s="2" t="s">
        <v>2189</v>
      </c>
      <c r="E374" s="2" t="s">
        <v>57</v>
      </c>
      <c r="F374" s="2" t="s">
        <v>36</v>
      </c>
      <c r="G374" s="2" t="s">
        <v>37</v>
      </c>
      <c r="H374" s="2" t="s">
        <v>2190</v>
      </c>
      <c r="I374" s="3" t="s">
        <v>2191</v>
      </c>
      <c r="J374" s="2" t="s">
        <v>2192</v>
      </c>
      <c r="K374" s="2" t="s">
        <v>2193</v>
      </c>
      <c r="L374" s="4" t="n">
        <v>85</v>
      </c>
      <c r="M374" s="4" t="s">
        <v>42</v>
      </c>
      <c r="N374" s="5" t="n">
        <v>85</v>
      </c>
      <c r="O374" s="6" t="n">
        <v>55</v>
      </c>
      <c r="P374" s="6" t="s">
        <v>53</v>
      </c>
      <c r="Q374" s="7" t="n">
        <v>55</v>
      </c>
      <c r="R374" s="8" t="n">
        <v>89</v>
      </c>
      <c r="S374" s="8" t="s">
        <v>42</v>
      </c>
      <c r="T374" s="9" t="n">
        <v>89</v>
      </c>
      <c r="U374" s="10" t="n">
        <v>87</v>
      </c>
      <c r="V374" s="10" t="s">
        <v>42</v>
      </c>
      <c r="W374" s="11" t="n">
        <v>87</v>
      </c>
      <c r="X374" s="12" t="n">
        <v>77</v>
      </c>
      <c r="Y374" s="12" t="s">
        <v>43</v>
      </c>
      <c r="Z374" s="13" t="n">
        <v>77</v>
      </c>
      <c r="AA374" s="14" t="n">
        <v>71</v>
      </c>
      <c r="AB374" s="14" t="s">
        <v>43</v>
      </c>
      <c r="AC374" s="15" t="n">
        <v>71</v>
      </c>
      <c r="AD374" s="2" t="n">
        <f aca="false">SUM(L374,O374,R374,U374,X374,AA374)</f>
        <v>464</v>
      </c>
      <c r="AE374" s="16" t="n">
        <f aca="false">AD374/6</f>
        <v>77.3333333333333</v>
      </c>
      <c r="AF374" s="2" t="str">
        <f aca="false">IF(SUM(COUNTIF(M374,"RA"),COUNTIF(P374,"RA"),COUNTIF(S374,"RA"),COUNTIF(V374,"RA"),COUNTIF(Y374,"RA"),COUNTIF(AB374,"RA"))&gt;0,"FAIL","PASS")</f>
        <v>PASS</v>
      </c>
    </row>
    <row r="375" customFormat="false" ht="15" hidden="false" customHeight="false" outlineLevel="0" collapsed="false">
      <c r="A375" s="2" t="n">
        <v>374</v>
      </c>
      <c r="B375" s="3" t="s">
        <v>2194</v>
      </c>
      <c r="C375" s="2" t="s">
        <v>841</v>
      </c>
      <c r="D375" s="2" t="s">
        <v>2195</v>
      </c>
      <c r="E375" s="2" t="s">
        <v>57</v>
      </c>
      <c r="F375" s="2" t="s">
        <v>36</v>
      </c>
      <c r="G375" s="2" t="s">
        <v>71</v>
      </c>
      <c r="H375" s="2" t="s">
        <v>2196</v>
      </c>
      <c r="I375" s="3" t="s">
        <v>2197</v>
      </c>
      <c r="J375" s="2" t="s">
        <v>2198</v>
      </c>
      <c r="K375" s="2" t="s">
        <v>2199</v>
      </c>
      <c r="L375" s="4" t="n">
        <v>78</v>
      </c>
      <c r="M375" s="4" t="s">
        <v>43</v>
      </c>
      <c r="N375" s="5" t="n">
        <v>78</v>
      </c>
      <c r="O375" s="6" t="n">
        <v>84</v>
      </c>
      <c r="P375" s="6" t="s">
        <v>42</v>
      </c>
      <c r="Q375" s="7" t="n">
        <v>84</v>
      </c>
      <c r="R375" s="8" t="n">
        <v>48</v>
      </c>
      <c r="S375" s="8" t="s">
        <v>45</v>
      </c>
      <c r="T375" s="9" t="n">
        <v>48</v>
      </c>
      <c r="U375" s="10" t="n">
        <v>66</v>
      </c>
      <c r="V375" s="10" t="s">
        <v>44</v>
      </c>
      <c r="W375" s="11" t="n">
        <v>66</v>
      </c>
      <c r="X375" s="12" t="n">
        <v>79</v>
      </c>
      <c r="Y375" s="12" t="s">
        <v>43</v>
      </c>
      <c r="Z375" s="13" t="n">
        <v>79</v>
      </c>
      <c r="AA375" s="14" t="n">
        <v>81</v>
      </c>
      <c r="AB375" s="14" t="s">
        <v>42</v>
      </c>
      <c r="AC375" s="15" t="n">
        <v>81</v>
      </c>
      <c r="AD375" s="2" t="n">
        <f aca="false">SUM(L375,O375,R375,U375,X375,AA375)</f>
        <v>436</v>
      </c>
      <c r="AE375" s="16" t="n">
        <f aca="false">AD375/6</f>
        <v>72.6666666666667</v>
      </c>
      <c r="AF375" s="2" t="str">
        <f aca="false">IF(SUM(COUNTIF(M375,"RA"),COUNTIF(P375,"RA"),COUNTIF(S375,"RA"),COUNTIF(V375,"RA"),COUNTIF(Y375,"RA"),COUNTIF(AB375,"RA"))&gt;0,"FAIL","PASS")</f>
        <v>FAIL</v>
      </c>
    </row>
    <row r="376" customFormat="false" ht="15" hidden="false" customHeight="false" outlineLevel="0" collapsed="false">
      <c r="A376" s="2" t="n">
        <v>375</v>
      </c>
      <c r="B376" s="3" t="s">
        <v>2200</v>
      </c>
      <c r="C376" s="2" t="s">
        <v>770</v>
      </c>
      <c r="D376" s="2" t="s">
        <v>2201</v>
      </c>
      <c r="E376" s="2" t="s">
        <v>57</v>
      </c>
      <c r="F376" s="2" t="s">
        <v>36</v>
      </c>
      <c r="G376" s="2" t="s">
        <v>91</v>
      </c>
      <c r="H376" s="2" t="s">
        <v>2202</v>
      </c>
      <c r="I376" s="3" t="s">
        <v>2203</v>
      </c>
      <c r="J376" s="2" t="s">
        <v>2204</v>
      </c>
      <c r="K376" s="2" t="s">
        <v>2205</v>
      </c>
      <c r="L376" s="4" t="n">
        <v>45</v>
      </c>
      <c r="M376" s="4" t="s">
        <v>45</v>
      </c>
      <c r="N376" s="5" t="n">
        <v>45</v>
      </c>
      <c r="O376" s="6" t="n">
        <v>44</v>
      </c>
      <c r="P376" s="6" t="s">
        <v>45</v>
      </c>
      <c r="Q376" s="7" t="n">
        <v>44</v>
      </c>
      <c r="R376" s="8" t="n">
        <v>100</v>
      </c>
      <c r="S376" s="8" t="s">
        <v>54</v>
      </c>
      <c r="T376" s="9" t="n">
        <v>100</v>
      </c>
      <c r="U376" s="10" t="n">
        <v>71</v>
      </c>
      <c r="V376" s="10" t="s">
        <v>43</v>
      </c>
      <c r="W376" s="11" t="n">
        <v>71</v>
      </c>
      <c r="X376" s="12" t="n">
        <v>42</v>
      </c>
      <c r="Y376" s="12" t="s">
        <v>45</v>
      </c>
      <c r="Z376" s="13" t="n">
        <v>42</v>
      </c>
      <c r="AA376" s="14" t="n">
        <v>49</v>
      </c>
      <c r="AB376" s="14" t="s">
        <v>45</v>
      </c>
      <c r="AC376" s="15" t="n">
        <v>49</v>
      </c>
      <c r="AD376" s="2" t="n">
        <f aca="false">SUM(L376,O376,R376,U376,X376,AA376)</f>
        <v>351</v>
      </c>
      <c r="AE376" s="16" t="n">
        <f aca="false">AD376/6</f>
        <v>58.5</v>
      </c>
      <c r="AF376" s="2" t="str">
        <f aca="false">IF(SUM(COUNTIF(M376,"RA"),COUNTIF(P376,"RA"),COUNTIF(S376,"RA"),COUNTIF(V376,"RA"),COUNTIF(Y376,"RA"),COUNTIF(AB376,"RA"))&gt;0,"FAIL","PASS")</f>
        <v>FAIL</v>
      </c>
    </row>
    <row r="377" customFormat="false" ht="15" hidden="false" customHeight="false" outlineLevel="0" collapsed="false">
      <c r="A377" s="2" t="n">
        <v>376</v>
      </c>
      <c r="B377" s="3" t="s">
        <v>2206</v>
      </c>
      <c r="C377" s="2" t="s">
        <v>859</v>
      </c>
      <c r="D377" s="2" t="s">
        <v>2207</v>
      </c>
      <c r="E377" s="2" t="s">
        <v>57</v>
      </c>
      <c r="F377" s="2" t="s">
        <v>36</v>
      </c>
      <c r="G377" s="2" t="s">
        <v>44</v>
      </c>
      <c r="H377" s="2" t="s">
        <v>2208</v>
      </c>
      <c r="I377" s="3" t="s">
        <v>2209</v>
      </c>
      <c r="J377" s="2" t="s">
        <v>2210</v>
      </c>
      <c r="K377" s="2" t="s">
        <v>2211</v>
      </c>
      <c r="L377" s="4" t="n">
        <v>88</v>
      </c>
      <c r="M377" s="4" t="s">
        <v>42</v>
      </c>
      <c r="N377" s="5" t="n">
        <v>88</v>
      </c>
      <c r="O377" s="6" t="n">
        <v>95</v>
      </c>
      <c r="P377" s="6" t="s">
        <v>54</v>
      </c>
      <c r="Q377" s="7" t="n">
        <v>95</v>
      </c>
      <c r="R377" s="8" t="n">
        <v>71</v>
      </c>
      <c r="S377" s="8" t="s">
        <v>43</v>
      </c>
      <c r="T377" s="9" t="n">
        <v>71</v>
      </c>
      <c r="U377" s="10" t="n">
        <v>65</v>
      </c>
      <c r="V377" s="10" t="s">
        <v>44</v>
      </c>
      <c r="W377" s="11" t="n">
        <v>65</v>
      </c>
      <c r="X377" s="12" t="n">
        <v>69</v>
      </c>
      <c r="Y377" s="12" t="s">
        <v>44</v>
      </c>
      <c r="Z377" s="13" t="n">
        <v>69</v>
      </c>
      <c r="AA377" s="14" t="n">
        <v>78</v>
      </c>
      <c r="AB377" s="14" t="s">
        <v>43</v>
      </c>
      <c r="AC377" s="15" t="n">
        <v>78</v>
      </c>
      <c r="AD377" s="2" t="n">
        <f aca="false">SUM(L377,O377,R377,U377,X377,AA377)</f>
        <v>466</v>
      </c>
      <c r="AE377" s="16" t="n">
        <f aca="false">AD377/6</f>
        <v>77.6666666666667</v>
      </c>
      <c r="AF377" s="2" t="str">
        <f aca="false">IF(SUM(COUNTIF(M377,"RA"),COUNTIF(P377,"RA"),COUNTIF(S377,"RA"),COUNTIF(V377,"RA"),COUNTIF(Y377,"RA"),COUNTIF(AB377,"RA"))&gt;0,"FAIL","PASS")</f>
        <v>PASS</v>
      </c>
    </row>
    <row r="378" customFormat="false" ht="15" hidden="false" customHeight="false" outlineLevel="0" collapsed="false">
      <c r="A378" s="2" t="n">
        <v>377</v>
      </c>
      <c r="B378" s="3" t="s">
        <v>2212</v>
      </c>
      <c r="C378" s="2" t="s">
        <v>750</v>
      </c>
      <c r="D378" s="2" t="s">
        <v>2213</v>
      </c>
      <c r="E378" s="2" t="s">
        <v>57</v>
      </c>
      <c r="F378" s="2" t="s">
        <v>36</v>
      </c>
      <c r="G378" s="2" t="s">
        <v>48</v>
      </c>
      <c r="H378" s="2" t="s">
        <v>283</v>
      </c>
      <c r="I378" s="3" t="s">
        <v>2214</v>
      </c>
      <c r="J378" s="2" t="s">
        <v>2215</v>
      </c>
      <c r="K378" s="2" t="s">
        <v>2216</v>
      </c>
      <c r="L378" s="4" t="n">
        <v>76</v>
      </c>
      <c r="M378" s="4" t="s">
        <v>43</v>
      </c>
      <c r="N378" s="5" t="n">
        <v>76</v>
      </c>
      <c r="O378" s="6" t="n">
        <v>61</v>
      </c>
      <c r="P378" s="6" t="s">
        <v>44</v>
      </c>
      <c r="Q378" s="7" t="n">
        <v>61</v>
      </c>
      <c r="R378" s="8" t="n">
        <v>91</v>
      </c>
      <c r="S378" s="8" t="s">
        <v>54</v>
      </c>
      <c r="T378" s="9" t="n">
        <v>91</v>
      </c>
      <c r="U378" s="10" t="n">
        <v>78</v>
      </c>
      <c r="V378" s="10" t="s">
        <v>43</v>
      </c>
      <c r="W378" s="11" t="n">
        <v>78</v>
      </c>
      <c r="X378" s="12" t="n">
        <v>82</v>
      </c>
      <c r="Y378" s="12" t="s">
        <v>42</v>
      </c>
      <c r="Z378" s="13" t="n">
        <v>82</v>
      </c>
      <c r="AA378" s="14" t="n">
        <v>69</v>
      </c>
      <c r="AB378" s="14" t="s">
        <v>44</v>
      </c>
      <c r="AC378" s="15" t="n">
        <v>69</v>
      </c>
      <c r="AD378" s="2" t="n">
        <f aca="false">SUM(L378,O378,R378,U378,X378,AA378)</f>
        <v>457</v>
      </c>
      <c r="AE378" s="16" t="n">
        <f aca="false">AD378/6</f>
        <v>76.1666666666667</v>
      </c>
      <c r="AF378" s="2" t="str">
        <f aca="false">IF(SUM(COUNTIF(M378,"RA"),COUNTIF(P378,"RA"),COUNTIF(S378,"RA"),COUNTIF(V378,"RA"),COUNTIF(Y378,"RA"),COUNTIF(AB378,"RA"))&gt;0,"FAIL","PASS")</f>
        <v>PASS</v>
      </c>
    </row>
    <row r="379" customFormat="false" ht="15" hidden="false" customHeight="false" outlineLevel="0" collapsed="false">
      <c r="A379" s="2" t="n">
        <v>378</v>
      </c>
      <c r="B379" s="3" t="s">
        <v>2217</v>
      </c>
      <c r="C379" s="2" t="s">
        <v>750</v>
      </c>
      <c r="D379" s="2" t="s">
        <v>2218</v>
      </c>
      <c r="E379" s="2" t="s">
        <v>57</v>
      </c>
      <c r="F379" s="2" t="s">
        <v>36</v>
      </c>
      <c r="G379" s="2" t="s">
        <v>37</v>
      </c>
      <c r="H379" s="2" t="s">
        <v>1589</v>
      </c>
      <c r="I379" s="3" t="s">
        <v>2219</v>
      </c>
      <c r="J379" s="2" t="s">
        <v>2220</v>
      </c>
      <c r="K379" s="2" t="s">
        <v>2221</v>
      </c>
      <c r="L379" s="4" t="n">
        <v>43</v>
      </c>
      <c r="M379" s="4" t="s">
        <v>45</v>
      </c>
      <c r="N379" s="5" t="n">
        <v>43</v>
      </c>
      <c r="O379" s="6" t="n">
        <v>89</v>
      </c>
      <c r="P379" s="6" t="s">
        <v>42</v>
      </c>
      <c r="Q379" s="7" t="n">
        <v>89</v>
      </c>
      <c r="R379" s="8" t="n">
        <v>90</v>
      </c>
      <c r="S379" s="8" t="s">
        <v>54</v>
      </c>
      <c r="T379" s="9" t="n">
        <v>90</v>
      </c>
      <c r="U379" s="10" t="n">
        <v>86</v>
      </c>
      <c r="V379" s="10" t="s">
        <v>42</v>
      </c>
      <c r="W379" s="11" t="n">
        <v>86</v>
      </c>
      <c r="X379" s="12" t="n">
        <v>74</v>
      </c>
      <c r="Y379" s="12" t="s">
        <v>43</v>
      </c>
      <c r="Z379" s="13" t="n">
        <v>74</v>
      </c>
      <c r="AA379" s="14" t="n">
        <v>71</v>
      </c>
      <c r="AB379" s="14" t="s">
        <v>43</v>
      </c>
      <c r="AC379" s="15" t="n">
        <v>71</v>
      </c>
      <c r="AD379" s="2" t="n">
        <f aca="false">SUM(L379,O379,R379,U379,X379,AA379)</f>
        <v>453</v>
      </c>
      <c r="AE379" s="16" t="n">
        <f aca="false">AD379/6</f>
        <v>75.5</v>
      </c>
      <c r="AF379" s="2" t="str">
        <f aca="false">IF(SUM(COUNTIF(M379,"RA"),COUNTIF(P379,"RA"),COUNTIF(S379,"RA"),COUNTIF(V379,"RA"),COUNTIF(Y379,"RA"),COUNTIF(AB379,"RA"))&gt;0,"FAIL","PASS")</f>
        <v>FAIL</v>
      </c>
    </row>
    <row r="380" customFormat="false" ht="15" hidden="false" customHeight="false" outlineLevel="0" collapsed="false">
      <c r="A380" s="2" t="n">
        <v>379</v>
      </c>
      <c r="B380" s="3" t="s">
        <v>2222</v>
      </c>
      <c r="C380" s="2" t="s">
        <v>757</v>
      </c>
      <c r="D380" s="2" t="s">
        <v>2223</v>
      </c>
      <c r="E380" s="2" t="s">
        <v>57</v>
      </c>
      <c r="F380" s="2" t="s">
        <v>36</v>
      </c>
      <c r="G380" s="2" t="s">
        <v>64</v>
      </c>
      <c r="H380" s="2" t="s">
        <v>2224</v>
      </c>
      <c r="I380" s="3" t="s">
        <v>2225</v>
      </c>
      <c r="J380" s="2" t="s">
        <v>2226</v>
      </c>
      <c r="K380" s="2" t="s">
        <v>2227</v>
      </c>
      <c r="L380" s="4" t="n">
        <v>93</v>
      </c>
      <c r="M380" s="4" t="s">
        <v>54</v>
      </c>
      <c r="N380" s="5" t="n">
        <v>93</v>
      </c>
      <c r="O380" s="6" t="n">
        <v>75</v>
      </c>
      <c r="P380" s="6" t="s">
        <v>43</v>
      </c>
      <c r="Q380" s="7" t="n">
        <v>75</v>
      </c>
      <c r="R380" s="8" t="n">
        <v>87</v>
      </c>
      <c r="S380" s="8" t="s">
        <v>42</v>
      </c>
      <c r="T380" s="9" t="n">
        <v>87</v>
      </c>
      <c r="U380" s="10" t="n">
        <v>63</v>
      </c>
      <c r="V380" s="10" t="s">
        <v>44</v>
      </c>
      <c r="W380" s="11" t="n">
        <v>63</v>
      </c>
      <c r="X380" s="12" t="n">
        <v>97</v>
      </c>
      <c r="Y380" s="12" t="s">
        <v>54</v>
      </c>
      <c r="Z380" s="13" t="n">
        <v>97</v>
      </c>
      <c r="AA380" s="14" t="n">
        <v>81</v>
      </c>
      <c r="AB380" s="14" t="s">
        <v>42</v>
      </c>
      <c r="AC380" s="15" t="n">
        <v>81</v>
      </c>
      <c r="AD380" s="2" t="n">
        <f aca="false">SUM(L380,O380,R380,U380,X380,AA380)</f>
        <v>496</v>
      </c>
      <c r="AE380" s="16" t="n">
        <f aca="false">AD380/6</f>
        <v>82.6666666666667</v>
      </c>
      <c r="AF380" s="2" t="str">
        <f aca="false">IF(SUM(COUNTIF(M380,"RA"),COUNTIF(P380,"RA"),COUNTIF(S380,"RA"),COUNTIF(V380,"RA"),COUNTIF(Y380,"RA"),COUNTIF(AB380,"RA"))&gt;0,"FAIL","PASS")</f>
        <v>PASS</v>
      </c>
    </row>
    <row r="381" customFormat="false" ht="15" hidden="false" customHeight="false" outlineLevel="0" collapsed="false">
      <c r="A381" s="2" t="n">
        <v>380</v>
      </c>
      <c r="B381" s="3" t="s">
        <v>2228</v>
      </c>
      <c r="C381" s="2" t="s">
        <v>841</v>
      </c>
      <c r="D381" s="2" t="s">
        <v>2229</v>
      </c>
      <c r="E381" s="2" t="s">
        <v>35</v>
      </c>
      <c r="F381" s="2" t="s">
        <v>36</v>
      </c>
      <c r="G381" s="2" t="s">
        <v>37</v>
      </c>
      <c r="H381" s="2" t="s">
        <v>2230</v>
      </c>
      <c r="I381" s="3" t="s">
        <v>2231</v>
      </c>
      <c r="J381" s="2" t="s">
        <v>2232</v>
      </c>
      <c r="K381" s="2" t="s">
        <v>2233</v>
      </c>
      <c r="L381" s="4" t="n">
        <v>89</v>
      </c>
      <c r="M381" s="4" t="s">
        <v>42</v>
      </c>
      <c r="N381" s="5" t="n">
        <v>89</v>
      </c>
      <c r="O381" s="6" t="n">
        <v>78</v>
      </c>
      <c r="P381" s="6" t="s">
        <v>43</v>
      </c>
      <c r="Q381" s="7" t="n">
        <v>78</v>
      </c>
      <c r="R381" s="8" t="n">
        <v>75</v>
      </c>
      <c r="S381" s="8" t="s">
        <v>43</v>
      </c>
      <c r="T381" s="9" t="n">
        <v>75</v>
      </c>
      <c r="U381" s="10" t="n">
        <v>55</v>
      </c>
      <c r="V381" s="10" t="s">
        <v>53</v>
      </c>
      <c r="W381" s="11" t="n">
        <v>55</v>
      </c>
      <c r="X381" s="12" t="n">
        <v>60</v>
      </c>
      <c r="Y381" s="12" t="s">
        <v>44</v>
      </c>
      <c r="Z381" s="13" t="n">
        <v>60</v>
      </c>
      <c r="AA381" s="14" t="n">
        <v>60</v>
      </c>
      <c r="AB381" s="14" t="s">
        <v>44</v>
      </c>
      <c r="AC381" s="15" t="n">
        <v>60</v>
      </c>
      <c r="AD381" s="2" t="n">
        <f aca="false">SUM(L381,O381,R381,U381,X381,AA381)</f>
        <v>417</v>
      </c>
      <c r="AE381" s="16" t="n">
        <f aca="false">AD381/6</f>
        <v>69.5</v>
      </c>
      <c r="AF381" s="2" t="str">
        <f aca="false">IF(SUM(COUNTIF(M381,"RA"),COUNTIF(P381,"RA"),COUNTIF(S381,"RA"),COUNTIF(V381,"RA"),COUNTIF(Y381,"RA"),COUNTIF(AB381,"RA"))&gt;0,"FAIL","PASS")</f>
        <v>PASS</v>
      </c>
    </row>
    <row r="382" customFormat="false" ht="15" hidden="false" customHeight="false" outlineLevel="0" collapsed="false">
      <c r="A382" s="2" t="n">
        <v>381</v>
      </c>
      <c r="B382" s="3" t="s">
        <v>2234</v>
      </c>
      <c r="C382" s="2" t="s">
        <v>790</v>
      </c>
      <c r="D382" s="2" t="s">
        <v>2235</v>
      </c>
      <c r="E382" s="2" t="s">
        <v>35</v>
      </c>
      <c r="F382" s="2" t="s">
        <v>36</v>
      </c>
      <c r="G382" s="2" t="s">
        <v>44</v>
      </c>
      <c r="H382" s="2" t="s">
        <v>2236</v>
      </c>
      <c r="I382" s="3" t="s">
        <v>806</v>
      </c>
      <c r="J382" s="2" t="s">
        <v>2237</v>
      </c>
      <c r="K382" s="2" t="s">
        <v>2238</v>
      </c>
      <c r="L382" s="4" t="n">
        <v>42</v>
      </c>
      <c r="M382" s="4" t="s">
        <v>45</v>
      </c>
      <c r="N382" s="5" t="n">
        <v>42</v>
      </c>
      <c r="O382" s="6" t="n">
        <v>68</v>
      </c>
      <c r="P382" s="6" t="s">
        <v>44</v>
      </c>
      <c r="Q382" s="7" t="n">
        <v>68</v>
      </c>
      <c r="R382" s="8" t="n">
        <v>93</v>
      </c>
      <c r="S382" s="8" t="s">
        <v>54</v>
      </c>
      <c r="T382" s="9" t="n">
        <v>93</v>
      </c>
      <c r="U382" s="10" t="n">
        <v>66</v>
      </c>
      <c r="V382" s="10" t="s">
        <v>44</v>
      </c>
      <c r="W382" s="11" t="n">
        <v>66</v>
      </c>
      <c r="X382" s="12" t="n">
        <v>76</v>
      </c>
      <c r="Y382" s="12" t="s">
        <v>43</v>
      </c>
      <c r="Z382" s="13" t="n">
        <v>76</v>
      </c>
      <c r="AA382" s="14" t="n">
        <v>84</v>
      </c>
      <c r="AB382" s="14" t="s">
        <v>42</v>
      </c>
      <c r="AC382" s="15" t="n">
        <v>84</v>
      </c>
      <c r="AD382" s="2" t="n">
        <f aca="false">SUM(L382,O382,R382,U382,X382,AA382)</f>
        <v>429</v>
      </c>
      <c r="AE382" s="16" t="n">
        <f aca="false">AD382/6</f>
        <v>71.5</v>
      </c>
      <c r="AF382" s="2" t="str">
        <f aca="false">IF(SUM(COUNTIF(M382,"RA"),COUNTIF(P382,"RA"),COUNTIF(S382,"RA"),COUNTIF(V382,"RA"),COUNTIF(Y382,"RA"),COUNTIF(AB382,"RA"))&gt;0,"FAIL","PASS")</f>
        <v>FAIL</v>
      </c>
    </row>
    <row r="383" customFormat="false" ht="15" hidden="false" customHeight="false" outlineLevel="0" collapsed="false">
      <c r="A383" s="2" t="n">
        <v>382</v>
      </c>
      <c r="B383" s="3" t="s">
        <v>2239</v>
      </c>
      <c r="C383" s="2" t="s">
        <v>816</v>
      </c>
      <c r="D383" s="2" t="s">
        <v>2240</v>
      </c>
      <c r="E383" s="2" t="s">
        <v>35</v>
      </c>
      <c r="F383" s="2" t="s">
        <v>36</v>
      </c>
      <c r="G383" s="2" t="s">
        <v>48</v>
      </c>
      <c r="H383" s="2" t="s">
        <v>2241</v>
      </c>
      <c r="I383" s="3" t="s">
        <v>1867</v>
      </c>
      <c r="J383" s="2" t="s">
        <v>2242</v>
      </c>
      <c r="K383" s="2" t="s">
        <v>2243</v>
      </c>
      <c r="L383" s="4" t="n">
        <v>51</v>
      </c>
      <c r="M383" s="4" t="s">
        <v>53</v>
      </c>
      <c r="N383" s="5" t="n">
        <v>51</v>
      </c>
      <c r="O383" s="6" t="n">
        <v>99</v>
      </c>
      <c r="P383" s="6" t="s">
        <v>54</v>
      </c>
      <c r="Q383" s="7" t="n">
        <v>99</v>
      </c>
      <c r="R383" s="8" t="n">
        <v>81</v>
      </c>
      <c r="S383" s="8" t="s">
        <v>42</v>
      </c>
      <c r="T383" s="9" t="n">
        <v>81</v>
      </c>
      <c r="U383" s="10" t="n">
        <v>42</v>
      </c>
      <c r="V383" s="10" t="s">
        <v>45</v>
      </c>
      <c r="W383" s="11" t="n">
        <v>42</v>
      </c>
      <c r="X383" s="12" t="n">
        <v>75</v>
      </c>
      <c r="Y383" s="12" t="s">
        <v>43</v>
      </c>
      <c r="Z383" s="13" t="n">
        <v>75</v>
      </c>
      <c r="AA383" s="14" t="n">
        <v>97</v>
      </c>
      <c r="AB383" s="14" t="s">
        <v>54</v>
      </c>
      <c r="AC383" s="15" t="n">
        <v>97</v>
      </c>
      <c r="AD383" s="2" t="n">
        <f aca="false">SUM(L383,O383,R383,U383,X383,AA383)</f>
        <v>445</v>
      </c>
      <c r="AE383" s="16" t="n">
        <f aca="false">AD383/6</f>
        <v>74.1666666666667</v>
      </c>
      <c r="AF383" s="2" t="str">
        <f aca="false">IF(SUM(COUNTIF(M383,"RA"),COUNTIF(P383,"RA"),COUNTIF(S383,"RA"),COUNTIF(V383,"RA"),COUNTIF(Y383,"RA"),COUNTIF(AB383,"RA"))&gt;0,"FAIL","PASS")</f>
        <v>FAIL</v>
      </c>
    </row>
    <row r="384" customFormat="false" ht="15" hidden="false" customHeight="false" outlineLevel="0" collapsed="false">
      <c r="A384" s="2" t="n">
        <v>383</v>
      </c>
      <c r="B384" s="3" t="s">
        <v>2244</v>
      </c>
      <c r="C384" s="2" t="s">
        <v>841</v>
      </c>
      <c r="D384" s="2" t="s">
        <v>2245</v>
      </c>
      <c r="E384" s="2" t="s">
        <v>57</v>
      </c>
      <c r="F384" s="2" t="s">
        <v>36</v>
      </c>
      <c r="G384" s="2" t="s">
        <v>48</v>
      </c>
      <c r="H384" s="2" t="s">
        <v>354</v>
      </c>
      <c r="I384" s="3" t="s">
        <v>1551</v>
      </c>
      <c r="J384" s="2" t="s">
        <v>2246</v>
      </c>
      <c r="K384" s="2" t="s">
        <v>2247</v>
      </c>
      <c r="L384" s="4" t="n">
        <v>89</v>
      </c>
      <c r="M384" s="4" t="s">
        <v>42</v>
      </c>
      <c r="N384" s="5" t="n">
        <v>89</v>
      </c>
      <c r="O384" s="6" t="n">
        <v>74</v>
      </c>
      <c r="P384" s="6" t="s">
        <v>43</v>
      </c>
      <c r="Q384" s="7" t="n">
        <v>74</v>
      </c>
      <c r="R384" s="8" t="n">
        <v>83</v>
      </c>
      <c r="S384" s="8" t="s">
        <v>42</v>
      </c>
      <c r="T384" s="9" t="n">
        <v>83</v>
      </c>
      <c r="U384" s="10" t="n">
        <v>86</v>
      </c>
      <c r="V384" s="10" t="s">
        <v>42</v>
      </c>
      <c r="W384" s="11" t="n">
        <v>86</v>
      </c>
      <c r="X384" s="12" t="n">
        <v>83</v>
      </c>
      <c r="Y384" s="12" t="s">
        <v>42</v>
      </c>
      <c r="Z384" s="13" t="n">
        <v>83</v>
      </c>
      <c r="AA384" s="14" t="n">
        <v>90</v>
      </c>
      <c r="AB384" s="14" t="s">
        <v>54</v>
      </c>
      <c r="AC384" s="15" t="n">
        <v>90</v>
      </c>
      <c r="AD384" s="2" t="n">
        <f aca="false">SUM(L384,O384,R384,U384,X384,AA384)</f>
        <v>505</v>
      </c>
      <c r="AE384" s="16" t="n">
        <f aca="false">AD384/6</f>
        <v>84.1666666666667</v>
      </c>
      <c r="AF384" s="2" t="str">
        <f aca="false">IF(SUM(COUNTIF(M384,"RA"),COUNTIF(P384,"RA"),COUNTIF(S384,"RA"),COUNTIF(V384,"RA"),COUNTIF(Y384,"RA"),COUNTIF(AB384,"RA"))&gt;0,"FAIL","PASS")</f>
        <v>PASS</v>
      </c>
    </row>
    <row r="385" customFormat="false" ht="15" hidden="false" customHeight="false" outlineLevel="0" collapsed="false">
      <c r="A385" s="2" t="n">
        <v>384</v>
      </c>
      <c r="B385" s="3" t="s">
        <v>2248</v>
      </c>
      <c r="C385" s="2" t="s">
        <v>859</v>
      </c>
      <c r="D385" s="2" t="s">
        <v>2249</v>
      </c>
      <c r="E385" s="2" t="s">
        <v>57</v>
      </c>
      <c r="F385" s="2" t="s">
        <v>36</v>
      </c>
      <c r="G385" s="2" t="s">
        <v>37</v>
      </c>
      <c r="H385" s="2" t="s">
        <v>2250</v>
      </c>
      <c r="I385" s="3" t="s">
        <v>1756</v>
      </c>
      <c r="J385" s="2" t="s">
        <v>2251</v>
      </c>
      <c r="K385" s="2" t="s">
        <v>2252</v>
      </c>
      <c r="L385" s="4" t="n">
        <v>65</v>
      </c>
      <c r="M385" s="4" t="s">
        <v>44</v>
      </c>
      <c r="N385" s="5" t="n">
        <v>65</v>
      </c>
      <c r="O385" s="6" t="n">
        <v>69</v>
      </c>
      <c r="P385" s="6" t="s">
        <v>44</v>
      </c>
      <c r="Q385" s="7" t="n">
        <v>69</v>
      </c>
      <c r="R385" s="8" t="n">
        <v>50</v>
      </c>
      <c r="S385" s="8" t="s">
        <v>53</v>
      </c>
      <c r="T385" s="9" t="n">
        <v>50</v>
      </c>
      <c r="U385" s="10" t="n">
        <v>89</v>
      </c>
      <c r="V385" s="10" t="s">
        <v>42</v>
      </c>
      <c r="W385" s="11" t="n">
        <v>89</v>
      </c>
      <c r="X385" s="12" t="n">
        <v>44</v>
      </c>
      <c r="Y385" s="12" t="s">
        <v>45</v>
      </c>
      <c r="Z385" s="13" t="n">
        <v>44</v>
      </c>
      <c r="AA385" s="14" t="n">
        <v>68</v>
      </c>
      <c r="AB385" s="14" t="s">
        <v>44</v>
      </c>
      <c r="AC385" s="15" t="n">
        <v>68</v>
      </c>
      <c r="AD385" s="2" t="n">
        <f aca="false">SUM(L385,O385,R385,U385,X385,AA385)</f>
        <v>385</v>
      </c>
      <c r="AE385" s="16" t="n">
        <f aca="false">AD385/6</f>
        <v>64.1666666666667</v>
      </c>
      <c r="AF385" s="2" t="str">
        <f aca="false">IF(SUM(COUNTIF(M385,"RA"),COUNTIF(P385,"RA"),COUNTIF(S385,"RA"),COUNTIF(V385,"RA"),COUNTIF(Y385,"RA"),COUNTIF(AB385,"RA"))&gt;0,"FAIL","PASS")</f>
        <v>FAIL</v>
      </c>
    </row>
    <row r="386" customFormat="false" ht="15" hidden="false" customHeight="false" outlineLevel="0" collapsed="false">
      <c r="A386" s="2" t="n">
        <v>385</v>
      </c>
      <c r="B386" s="3" t="s">
        <v>2253</v>
      </c>
      <c r="C386" s="2" t="s">
        <v>783</v>
      </c>
      <c r="D386" s="2" t="s">
        <v>2254</v>
      </c>
      <c r="E386" s="2" t="s">
        <v>35</v>
      </c>
      <c r="F386" s="2" t="s">
        <v>36</v>
      </c>
      <c r="G386" s="2" t="s">
        <v>37</v>
      </c>
      <c r="H386" s="2" t="s">
        <v>1767</v>
      </c>
      <c r="I386" s="3" t="s">
        <v>2255</v>
      </c>
      <c r="J386" s="2" t="s">
        <v>2256</v>
      </c>
      <c r="K386" s="2" t="s">
        <v>2257</v>
      </c>
      <c r="L386" s="4" t="n">
        <v>67</v>
      </c>
      <c r="M386" s="4" t="s">
        <v>44</v>
      </c>
      <c r="N386" s="5" t="n">
        <v>67</v>
      </c>
      <c r="O386" s="6" t="n">
        <v>51</v>
      </c>
      <c r="P386" s="6" t="s">
        <v>53</v>
      </c>
      <c r="Q386" s="7" t="n">
        <v>51</v>
      </c>
      <c r="R386" s="8" t="n">
        <v>69</v>
      </c>
      <c r="S386" s="8" t="s">
        <v>44</v>
      </c>
      <c r="T386" s="9" t="n">
        <v>69</v>
      </c>
      <c r="U386" s="10" t="n">
        <v>46</v>
      </c>
      <c r="V386" s="10" t="s">
        <v>45</v>
      </c>
      <c r="W386" s="11" t="n">
        <v>46</v>
      </c>
      <c r="X386" s="12" t="n">
        <v>93</v>
      </c>
      <c r="Y386" s="12" t="s">
        <v>54</v>
      </c>
      <c r="Z386" s="13" t="n">
        <v>93</v>
      </c>
      <c r="AA386" s="14" t="n">
        <v>94</v>
      </c>
      <c r="AB386" s="14" t="s">
        <v>54</v>
      </c>
      <c r="AC386" s="15" t="n">
        <v>94</v>
      </c>
      <c r="AD386" s="2" t="n">
        <f aca="false">SUM(L386,O386,R386,U386,X386,AA386)</f>
        <v>420</v>
      </c>
      <c r="AE386" s="16" t="n">
        <f aca="false">AD386/6</f>
        <v>70</v>
      </c>
      <c r="AF386" s="2" t="str">
        <f aca="false">IF(SUM(COUNTIF(M386,"RA"),COUNTIF(P386,"RA"),COUNTIF(S386,"RA"),COUNTIF(V386,"RA"),COUNTIF(Y386,"RA"),COUNTIF(AB386,"RA"))&gt;0,"FAIL","PASS")</f>
        <v>FAIL</v>
      </c>
    </row>
    <row r="387" customFormat="false" ht="15" hidden="false" customHeight="false" outlineLevel="0" collapsed="false">
      <c r="A387" s="2" t="n">
        <v>386</v>
      </c>
      <c r="B387" s="3" t="s">
        <v>2258</v>
      </c>
      <c r="C387" s="2" t="s">
        <v>757</v>
      </c>
      <c r="D387" s="2" t="s">
        <v>2259</v>
      </c>
      <c r="E387" s="2" t="s">
        <v>35</v>
      </c>
      <c r="F387" s="2" t="s">
        <v>36</v>
      </c>
      <c r="G387" s="2" t="s">
        <v>48</v>
      </c>
      <c r="H387" s="2" t="s">
        <v>2260</v>
      </c>
      <c r="I387" s="3" t="s">
        <v>527</v>
      </c>
      <c r="J387" s="2" t="s">
        <v>2261</v>
      </c>
      <c r="K387" s="2" t="s">
        <v>2262</v>
      </c>
      <c r="L387" s="4" t="n">
        <v>79</v>
      </c>
      <c r="M387" s="4" t="s">
        <v>43</v>
      </c>
      <c r="N387" s="5" t="n">
        <v>79</v>
      </c>
      <c r="O387" s="6" t="n">
        <v>78</v>
      </c>
      <c r="P387" s="6" t="s">
        <v>43</v>
      </c>
      <c r="Q387" s="7" t="n">
        <v>78</v>
      </c>
      <c r="R387" s="8" t="n">
        <v>78</v>
      </c>
      <c r="S387" s="8" t="s">
        <v>43</v>
      </c>
      <c r="T387" s="9" t="n">
        <v>78</v>
      </c>
      <c r="U387" s="10" t="n">
        <v>42</v>
      </c>
      <c r="V387" s="10" t="s">
        <v>45</v>
      </c>
      <c r="W387" s="11" t="n">
        <v>42</v>
      </c>
      <c r="X387" s="12" t="n">
        <v>74</v>
      </c>
      <c r="Y387" s="12" t="s">
        <v>43</v>
      </c>
      <c r="Z387" s="13" t="n">
        <v>74</v>
      </c>
      <c r="AA387" s="14" t="n">
        <v>83</v>
      </c>
      <c r="AB387" s="14" t="s">
        <v>42</v>
      </c>
      <c r="AC387" s="15" t="n">
        <v>83</v>
      </c>
      <c r="AD387" s="2" t="n">
        <f aca="false">SUM(L387,O387,R387,U387,X387,AA387)</f>
        <v>434</v>
      </c>
      <c r="AE387" s="16" t="n">
        <f aca="false">AD387/6</f>
        <v>72.3333333333333</v>
      </c>
      <c r="AF387" s="2" t="str">
        <f aca="false">IF(SUM(COUNTIF(M387,"RA"),COUNTIF(P387,"RA"),COUNTIF(S387,"RA"),COUNTIF(V387,"RA"),COUNTIF(Y387,"RA"),COUNTIF(AB387,"RA"))&gt;0,"FAIL","PASS")</f>
        <v>FAIL</v>
      </c>
    </row>
    <row r="388" customFormat="false" ht="15" hidden="false" customHeight="false" outlineLevel="0" collapsed="false">
      <c r="A388" s="2" t="n">
        <v>387</v>
      </c>
      <c r="B388" s="3" t="s">
        <v>2263</v>
      </c>
      <c r="C388" s="2" t="s">
        <v>783</v>
      </c>
      <c r="D388" s="2" t="s">
        <v>2264</v>
      </c>
      <c r="E388" s="2" t="s">
        <v>57</v>
      </c>
      <c r="F388" s="2" t="s">
        <v>36</v>
      </c>
      <c r="G388" s="2" t="s">
        <v>42</v>
      </c>
      <c r="H388" s="2" t="s">
        <v>2265</v>
      </c>
      <c r="I388" s="3" t="s">
        <v>2266</v>
      </c>
      <c r="J388" s="2" t="s">
        <v>2267</v>
      </c>
      <c r="K388" s="2" t="s">
        <v>2268</v>
      </c>
      <c r="L388" s="4" t="n">
        <v>53</v>
      </c>
      <c r="M388" s="4" t="s">
        <v>53</v>
      </c>
      <c r="N388" s="5" t="n">
        <v>53</v>
      </c>
      <c r="O388" s="6" t="n">
        <v>92</v>
      </c>
      <c r="P388" s="6" t="s">
        <v>54</v>
      </c>
      <c r="Q388" s="7" t="n">
        <v>92</v>
      </c>
      <c r="R388" s="8" t="n">
        <v>71</v>
      </c>
      <c r="S388" s="8" t="s">
        <v>43</v>
      </c>
      <c r="T388" s="9" t="n">
        <v>71</v>
      </c>
      <c r="U388" s="10" t="n">
        <v>58</v>
      </c>
      <c r="V388" s="10" t="s">
        <v>53</v>
      </c>
      <c r="W388" s="11" t="n">
        <v>58</v>
      </c>
      <c r="X388" s="12" t="n">
        <v>98</v>
      </c>
      <c r="Y388" s="12" t="s">
        <v>54</v>
      </c>
      <c r="Z388" s="13" t="n">
        <v>98</v>
      </c>
      <c r="AA388" s="14" t="n">
        <v>88</v>
      </c>
      <c r="AB388" s="14" t="s">
        <v>42</v>
      </c>
      <c r="AC388" s="15" t="n">
        <v>88</v>
      </c>
      <c r="AD388" s="2" t="n">
        <f aca="false">SUM(L388,O388,R388,U388,X388,AA388)</f>
        <v>460</v>
      </c>
      <c r="AE388" s="16" t="n">
        <f aca="false">AD388/6</f>
        <v>76.6666666666667</v>
      </c>
      <c r="AF388" s="2" t="str">
        <f aca="false">IF(SUM(COUNTIF(M388,"RA"),COUNTIF(P388,"RA"),COUNTIF(S388,"RA"),COUNTIF(V388,"RA"),COUNTIF(Y388,"RA"),COUNTIF(AB388,"RA"))&gt;0,"FAIL","PASS")</f>
        <v>PASS</v>
      </c>
    </row>
    <row r="389" customFormat="false" ht="15" hidden="false" customHeight="false" outlineLevel="0" collapsed="false">
      <c r="A389" s="2" t="n">
        <v>388</v>
      </c>
      <c r="B389" s="3" t="s">
        <v>2269</v>
      </c>
      <c r="C389" s="2" t="s">
        <v>912</v>
      </c>
      <c r="D389" s="2" t="s">
        <v>2270</v>
      </c>
      <c r="E389" s="2" t="s">
        <v>57</v>
      </c>
      <c r="F389" s="2" t="s">
        <v>36</v>
      </c>
      <c r="G389" s="2" t="s">
        <v>64</v>
      </c>
      <c r="H389" s="2" t="s">
        <v>2271</v>
      </c>
      <c r="I389" s="3" t="s">
        <v>2272</v>
      </c>
      <c r="J389" s="2" t="s">
        <v>2273</v>
      </c>
      <c r="K389" s="2" t="s">
        <v>2274</v>
      </c>
      <c r="L389" s="4" t="n">
        <v>67</v>
      </c>
      <c r="M389" s="4" t="s">
        <v>44</v>
      </c>
      <c r="N389" s="5" t="n">
        <v>67</v>
      </c>
      <c r="O389" s="6" t="n">
        <v>57</v>
      </c>
      <c r="P389" s="6" t="s">
        <v>53</v>
      </c>
      <c r="Q389" s="7" t="n">
        <v>57</v>
      </c>
      <c r="R389" s="8" t="n">
        <v>97</v>
      </c>
      <c r="S389" s="8" t="s">
        <v>54</v>
      </c>
      <c r="T389" s="9" t="n">
        <v>97</v>
      </c>
      <c r="U389" s="10" t="n">
        <v>72</v>
      </c>
      <c r="V389" s="10" t="s">
        <v>43</v>
      </c>
      <c r="W389" s="11" t="n">
        <v>72</v>
      </c>
      <c r="X389" s="12" t="n">
        <v>57</v>
      </c>
      <c r="Y389" s="12" t="s">
        <v>53</v>
      </c>
      <c r="Z389" s="13" t="n">
        <v>57</v>
      </c>
      <c r="AA389" s="14" t="n">
        <v>84</v>
      </c>
      <c r="AB389" s="14" t="s">
        <v>42</v>
      </c>
      <c r="AC389" s="15" t="n">
        <v>84</v>
      </c>
      <c r="AD389" s="2" t="n">
        <f aca="false">SUM(L389,O389,R389,U389,X389,AA389)</f>
        <v>434</v>
      </c>
      <c r="AE389" s="16" t="n">
        <f aca="false">AD389/6</f>
        <v>72.3333333333333</v>
      </c>
      <c r="AF389" s="2" t="str">
        <f aca="false">IF(SUM(COUNTIF(M389,"RA"),COUNTIF(P389,"RA"),COUNTIF(S389,"RA"),COUNTIF(V389,"RA"),COUNTIF(Y389,"RA"),COUNTIF(AB389,"RA"))&gt;0,"FAIL","PASS")</f>
        <v>PASS</v>
      </c>
    </row>
    <row r="390" customFormat="false" ht="15" hidden="false" customHeight="false" outlineLevel="0" collapsed="false">
      <c r="A390" s="2" t="n">
        <v>389</v>
      </c>
      <c r="B390" s="3" t="s">
        <v>2275</v>
      </c>
      <c r="C390" s="2" t="s">
        <v>790</v>
      </c>
      <c r="D390" s="2" t="s">
        <v>2276</v>
      </c>
      <c r="E390" s="2" t="s">
        <v>57</v>
      </c>
      <c r="F390" s="2" t="s">
        <v>36</v>
      </c>
      <c r="G390" s="2" t="s">
        <v>37</v>
      </c>
      <c r="H390" s="2" t="s">
        <v>2277</v>
      </c>
      <c r="I390" s="3" t="s">
        <v>2278</v>
      </c>
      <c r="J390" s="2" t="s">
        <v>2279</v>
      </c>
      <c r="K390" s="2" t="s">
        <v>2280</v>
      </c>
      <c r="L390" s="4" t="n">
        <v>92</v>
      </c>
      <c r="M390" s="4" t="s">
        <v>54</v>
      </c>
      <c r="N390" s="5" t="n">
        <v>92</v>
      </c>
      <c r="O390" s="6" t="n">
        <v>77</v>
      </c>
      <c r="P390" s="6" t="s">
        <v>43</v>
      </c>
      <c r="Q390" s="7" t="n">
        <v>77</v>
      </c>
      <c r="R390" s="8" t="n">
        <v>81</v>
      </c>
      <c r="S390" s="8" t="s">
        <v>42</v>
      </c>
      <c r="T390" s="9" t="n">
        <v>81</v>
      </c>
      <c r="U390" s="10" t="n">
        <v>85</v>
      </c>
      <c r="V390" s="10" t="s">
        <v>42</v>
      </c>
      <c r="W390" s="11" t="n">
        <v>85</v>
      </c>
      <c r="X390" s="12" t="n">
        <v>81</v>
      </c>
      <c r="Y390" s="12" t="s">
        <v>42</v>
      </c>
      <c r="Z390" s="13" t="n">
        <v>81</v>
      </c>
      <c r="AA390" s="14" t="n">
        <v>49</v>
      </c>
      <c r="AB390" s="14" t="s">
        <v>45</v>
      </c>
      <c r="AC390" s="15" t="n">
        <v>49</v>
      </c>
      <c r="AD390" s="2" t="n">
        <f aca="false">SUM(L390,O390,R390,U390,X390,AA390)</f>
        <v>465</v>
      </c>
      <c r="AE390" s="16" t="n">
        <f aca="false">AD390/6</f>
        <v>77.5</v>
      </c>
      <c r="AF390" s="2" t="str">
        <f aca="false">IF(SUM(COUNTIF(M390,"RA"),COUNTIF(P390,"RA"),COUNTIF(S390,"RA"),COUNTIF(V390,"RA"),COUNTIF(Y390,"RA"),COUNTIF(AB390,"RA"))&gt;0,"FAIL","PASS")</f>
        <v>FAIL</v>
      </c>
    </row>
    <row r="391" customFormat="false" ht="15" hidden="false" customHeight="false" outlineLevel="0" collapsed="false">
      <c r="A391" s="2" t="n">
        <v>390</v>
      </c>
      <c r="B391" s="3" t="s">
        <v>2281</v>
      </c>
      <c r="C391" s="2" t="s">
        <v>841</v>
      </c>
      <c r="D391" s="2" t="s">
        <v>2282</v>
      </c>
      <c r="E391" s="2" t="s">
        <v>57</v>
      </c>
      <c r="F391" s="2" t="s">
        <v>36</v>
      </c>
      <c r="G391" s="2" t="s">
        <v>78</v>
      </c>
      <c r="H391" s="2" t="s">
        <v>2283</v>
      </c>
      <c r="I391" s="3" t="s">
        <v>766</v>
      </c>
      <c r="J391" s="2" t="s">
        <v>2284</v>
      </c>
      <c r="K391" s="2" t="s">
        <v>2285</v>
      </c>
      <c r="L391" s="4" t="n">
        <v>47</v>
      </c>
      <c r="M391" s="4" t="s">
        <v>45</v>
      </c>
      <c r="N391" s="5" t="n">
        <v>47</v>
      </c>
      <c r="O391" s="6" t="n">
        <v>99</v>
      </c>
      <c r="P391" s="6" t="s">
        <v>54</v>
      </c>
      <c r="Q391" s="7" t="n">
        <v>99</v>
      </c>
      <c r="R391" s="8" t="n">
        <v>77</v>
      </c>
      <c r="S391" s="8" t="s">
        <v>43</v>
      </c>
      <c r="T391" s="9" t="n">
        <v>77</v>
      </c>
      <c r="U391" s="10" t="n">
        <v>83</v>
      </c>
      <c r="V391" s="10" t="s">
        <v>42</v>
      </c>
      <c r="W391" s="11" t="n">
        <v>83</v>
      </c>
      <c r="X391" s="12" t="n">
        <v>68</v>
      </c>
      <c r="Y391" s="12" t="s">
        <v>44</v>
      </c>
      <c r="Z391" s="13" t="n">
        <v>68</v>
      </c>
      <c r="AA391" s="14" t="n">
        <v>62</v>
      </c>
      <c r="AB391" s="14" t="s">
        <v>44</v>
      </c>
      <c r="AC391" s="15" t="n">
        <v>62</v>
      </c>
      <c r="AD391" s="2" t="n">
        <f aca="false">SUM(L391,O391,R391,U391,X391,AA391)</f>
        <v>436</v>
      </c>
      <c r="AE391" s="16" t="n">
        <f aca="false">AD391/6</f>
        <v>72.6666666666667</v>
      </c>
      <c r="AF391" s="2" t="str">
        <f aca="false">IF(SUM(COUNTIF(M391,"RA"),COUNTIF(P391,"RA"),COUNTIF(S391,"RA"),COUNTIF(V391,"RA"),COUNTIF(Y391,"RA"),COUNTIF(AB391,"RA"))&gt;0,"FAIL","PASS")</f>
        <v>FAIL</v>
      </c>
    </row>
    <row r="392" customFormat="false" ht="15" hidden="false" customHeight="false" outlineLevel="0" collapsed="false">
      <c r="A392" s="2" t="n">
        <v>391</v>
      </c>
      <c r="B392" s="3" t="s">
        <v>2286</v>
      </c>
      <c r="C392" s="2" t="s">
        <v>859</v>
      </c>
      <c r="D392" s="2" t="s">
        <v>2287</v>
      </c>
      <c r="E392" s="2" t="s">
        <v>35</v>
      </c>
      <c r="F392" s="2" t="s">
        <v>36</v>
      </c>
      <c r="G392" s="2" t="s">
        <v>64</v>
      </c>
      <c r="H392" s="2" t="s">
        <v>2288</v>
      </c>
      <c r="I392" s="3" t="s">
        <v>2289</v>
      </c>
      <c r="J392" s="2" t="s">
        <v>2290</v>
      </c>
      <c r="K392" s="2" t="s">
        <v>2291</v>
      </c>
      <c r="L392" s="4" t="n">
        <v>93</v>
      </c>
      <c r="M392" s="4" t="s">
        <v>54</v>
      </c>
      <c r="N392" s="5" t="n">
        <v>93</v>
      </c>
      <c r="O392" s="6" t="n">
        <v>100</v>
      </c>
      <c r="P392" s="6" t="s">
        <v>54</v>
      </c>
      <c r="Q392" s="7" t="n">
        <v>100</v>
      </c>
      <c r="R392" s="8" t="n">
        <v>92</v>
      </c>
      <c r="S392" s="8" t="s">
        <v>54</v>
      </c>
      <c r="T392" s="9" t="n">
        <v>92</v>
      </c>
      <c r="U392" s="10" t="n">
        <v>73</v>
      </c>
      <c r="V392" s="10" t="s">
        <v>43</v>
      </c>
      <c r="W392" s="11" t="n">
        <v>73</v>
      </c>
      <c r="X392" s="12" t="n">
        <v>71</v>
      </c>
      <c r="Y392" s="12" t="s">
        <v>43</v>
      </c>
      <c r="Z392" s="13" t="n">
        <v>71</v>
      </c>
      <c r="AA392" s="14" t="n">
        <v>93</v>
      </c>
      <c r="AB392" s="14" t="s">
        <v>54</v>
      </c>
      <c r="AC392" s="15" t="n">
        <v>93</v>
      </c>
      <c r="AD392" s="2" t="n">
        <f aca="false">SUM(L392,O392,R392,U392,X392,AA392)</f>
        <v>522</v>
      </c>
      <c r="AE392" s="16" t="n">
        <f aca="false">AD392/6</f>
        <v>87</v>
      </c>
      <c r="AF392" s="2" t="str">
        <f aca="false">IF(SUM(COUNTIF(M392,"RA"),COUNTIF(P392,"RA"),COUNTIF(S392,"RA"),COUNTIF(V392,"RA"),COUNTIF(Y392,"RA"),COUNTIF(AB392,"RA"))&gt;0,"FAIL","PASS")</f>
        <v>PASS</v>
      </c>
    </row>
    <row r="393" customFormat="false" ht="15" hidden="false" customHeight="false" outlineLevel="0" collapsed="false">
      <c r="A393" s="2" t="n">
        <v>392</v>
      </c>
      <c r="B393" s="3" t="s">
        <v>2292</v>
      </c>
      <c r="C393" s="2" t="s">
        <v>783</v>
      </c>
      <c r="D393" s="2" t="s">
        <v>2293</v>
      </c>
      <c r="E393" s="2" t="s">
        <v>57</v>
      </c>
      <c r="F393" s="2" t="s">
        <v>36</v>
      </c>
      <c r="G393" s="2" t="s">
        <v>42</v>
      </c>
      <c r="H393" s="2" t="s">
        <v>2294</v>
      </c>
      <c r="I393" s="3" t="s">
        <v>237</v>
      </c>
      <c r="J393" s="2" t="s">
        <v>2295</v>
      </c>
      <c r="K393" s="2" t="s">
        <v>2296</v>
      </c>
      <c r="L393" s="4" t="n">
        <v>100</v>
      </c>
      <c r="M393" s="4" t="s">
        <v>54</v>
      </c>
      <c r="N393" s="5" t="n">
        <v>100</v>
      </c>
      <c r="O393" s="6" t="n">
        <v>46</v>
      </c>
      <c r="P393" s="6" t="s">
        <v>45</v>
      </c>
      <c r="Q393" s="7" t="n">
        <v>46</v>
      </c>
      <c r="R393" s="8" t="n">
        <v>63</v>
      </c>
      <c r="S393" s="8" t="s">
        <v>44</v>
      </c>
      <c r="T393" s="9" t="n">
        <v>63</v>
      </c>
      <c r="U393" s="10" t="n">
        <v>72</v>
      </c>
      <c r="V393" s="10" t="s">
        <v>43</v>
      </c>
      <c r="W393" s="11" t="n">
        <v>72</v>
      </c>
      <c r="X393" s="12" t="n">
        <v>97</v>
      </c>
      <c r="Y393" s="12" t="s">
        <v>54</v>
      </c>
      <c r="Z393" s="13" t="n">
        <v>97</v>
      </c>
      <c r="AA393" s="14" t="n">
        <v>96</v>
      </c>
      <c r="AB393" s="14" t="s">
        <v>54</v>
      </c>
      <c r="AC393" s="15" t="n">
        <v>96</v>
      </c>
      <c r="AD393" s="2" t="n">
        <f aca="false">SUM(L393,O393,R393,U393,X393,AA393)</f>
        <v>474</v>
      </c>
      <c r="AE393" s="16" t="n">
        <f aca="false">AD393/6</f>
        <v>79</v>
      </c>
      <c r="AF393" s="2" t="str">
        <f aca="false">IF(SUM(COUNTIF(M393,"RA"),COUNTIF(P393,"RA"),COUNTIF(S393,"RA"),COUNTIF(V393,"RA"),COUNTIF(Y393,"RA"),COUNTIF(AB393,"RA"))&gt;0,"FAIL","PASS")</f>
        <v>FAIL</v>
      </c>
    </row>
    <row r="394" customFormat="false" ht="15" hidden="false" customHeight="false" outlineLevel="0" collapsed="false">
      <c r="A394" s="2" t="n">
        <v>393</v>
      </c>
      <c r="B394" s="3" t="s">
        <v>2297</v>
      </c>
      <c r="C394" s="2" t="s">
        <v>783</v>
      </c>
      <c r="D394" s="2" t="s">
        <v>2298</v>
      </c>
      <c r="E394" s="2" t="s">
        <v>57</v>
      </c>
      <c r="F394" s="2" t="s">
        <v>36</v>
      </c>
      <c r="G394" s="2" t="s">
        <v>48</v>
      </c>
      <c r="H394" s="2" t="s">
        <v>2299</v>
      </c>
      <c r="I394" s="3" t="s">
        <v>2300</v>
      </c>
      <c r="J394" s="2" t="s">
        <v>2301</v>
      </c>
      <c r="K394" s="2" t="s">
        <v>2302</v>
      </c>
      <c r="L394" s="4" t="n">
        <v>95</v>
      </c>
      <c r="M394" s="4" t="s">
        <v>54</v>
      </c>
      <c r="N394" s="5" t="n">
        <v>95</v>
      </c>
      <c r="O394" s="6" t="n">
        <v>87</v>
      </c>
      <c r="P394" s="6" t="s">
        <v>42</v>
      </c>
      <c r="Q394" s="7" t="n">
        <v>87</v>
      </c>
      <c r="R394" s="8" t="n">
        <v>99</v>
      </c>
      <c r="S394" s="8" t="s">
        <v>54</v>
      </c>
      <c r="T394" s="9" t="n">
        <v>99</v>
      </c>
      <c r="U394" s="10" t="n">
        <v>97</v>
      </c>
      <c r="V394" s="10" t="s">
        <v>54</v>
      </c>
      <c r="W394" s="11" t="n">
        <v>97</v>
      </c>
      <c r="X394" s="12" t="n">
        <v>82</v>
      </c>
      <c r="Y394" s="12" t="s">
        <v>42</v>
      </c>
      <c r="Z394" s="13" t="n">
        <v>82</v>
      </c>
      <c r="AA394" s="14" t="n">
        <v>86</v>
      </c>
      <c r="AB394" s="14" t="s">
        <v>42</v>
      </c>
      <c r="AC394" s="15" t="n">
        <v>86</v>
      </c>
      <c r="AD394" s="2" t="n">
        <f aca="false">SUM(L394,O394,R394,U394,X394,AA394)</f>
        <v>546</v>
      </c>
      <c r="AE394" s="16" t="n">
        <f aca="false">AD394/6</f>
        <v>91</v>
      </c>
      <c r="AF394" s="2" t="str">
        <f aca="false">IF(SUM(COUNTIF(M394,"RA"),COUNTIF(P394,"RA"),COUNTIF(S394,"RA"),COUNTIF(V394,"RA"),COUNTIF(Y394,"RA"),COUNTIF(AB394,"RA"))&gt;0,"FAIL","PASS")</f>
        <v>PASS</v>
      </c>
    </row>
    <row r="395" customFormat="false" ht="15" hidden="false" customHeight="false" outlineLevel="0" collapsed="false">
      <c r="A395" s="2" t="n">
        <v>394</v>
      </c>
      <c r="B395" s="3" t="s">
        <v>2303</v>
      </c>
      <c r="C395" s="2" t="s">
        <v>783</v>
      </c>
      <c r="D395" s="2" t="s">
        <v>2304</v>
      </c>
      <c r="E395" s="2" t="s">
        <v>35</v>
      </c>
      <c r="F395" s="2" t="s">
        <v>36</v>
      </c>
      <c r="G395" s="2" t="s">
        <v>48</v>
      </c>
      <c r="H395" s="2" t="s">
        <v>260</v>
      </c>
      <c r="I395" s="3" t="s">
        <v>2305</v>
      </c>
      <c r="J395" s="2" t="s">
        <v>2306</v>
      </c>
      <c r="K395" s="2" t="s">
        <v>2307</v>
      </c>
      <c r="L395" s="4" t="n">
        <v>85</v>
      </c>
      <c r="M395" s="4" t="s">
        <v>42</v>
      </c>
      <c r="N395" s="5" t="n">
        <v>85</v>
      </c>
      <c r="O395" s="6" t="n">
        <v>85</v>
      </c>
      <c r="P395" s="6" t="s">
        <v>42</v>
      </c>
      <c r="Q395" s="7" t="n">
        <v>85</v>
      </c>
      <c r="R395" s="8" t="n">
        <v>94</v>
      </c>
      <c r="S395" s="8" t="s">
        <v>54</v>
      </c>
      <c r="T395" s="9" t="n">
        <v>94</v>
      </c>
      <c r="U395" s="10" t="n">
        <v>74</v>
      </c>
      <c r="V395" s="10" t="s">
        <v>43</v>
      </c>
      <c r="W395" s="11" t="n">
        <v>74</v>
      </c>
      <c r="X395" s="12" t="n">
        <v>65</v>
      </c>
      <c r="Y395" s="12" t="s">
        <v>44</v>
      </c>
      <c r="Z395" s="13" t="n">
        <v>65</v>
      </c>
      <c r="AA395" s="14" t="n">
        <v>78</v>
      </c>
      <c r="AB395" s="14" t="s">
        <v>43</v>
      </c>
      <c r="AC395" s="15" t="n">
        <v>78</v>
      </c>
      <c r="AD395" s="2" t="n">
        <f aca="false">SUM(L395,O395,R395,U395,X395,AA395)</f>
        <v>481</v>
      </c>
      <c r="AE395" s="16" t="n">
        <f aca="false">AD395/6</f>
        <v>80.1666666666667</v>
      </c>
      <c r="AF395" s="2" t="str">
        <f aca="false">IF(SUM(COUNTIF(M395,"RA"),COUNTIF(P395,"RA"),COUNTIF(S395,"RA"),COUNTIF(V395,"RA"),COUNTIF(Y395,"RA"),COUNTIF(AB395,"RA"))&gt;0,"FAIL","PASS")</f>
        <v>PASS</v>
      </c>
    </row>
    <row r="396" customFormat="false" ht="15" hidden="false" customHeight="false" outlineLevel="0" collapsed="false">
      <c r="A396" s="2" t="n">
        <v>395</v>
      </c>
      <c r="B396" s="3" t="s">
        <v>2308</v>
      </c>
      <c r="C396" s="2" t="s">
        <v>770</v>
      </c>
      <c r="D396" s="2" t="s">
        <v>2309</v>
      </c>
      <c r="E396" s="2" t="s">
        <v>35</v>
      </c>
      <c r="F396" s="2" t="s">
        <v>36</v>
      </c>
      <c r="G396" s="2" t="s">
        <v>42</v>
      </c>
      <c r="H396" s="2" t="s">
        <v>2310</v>
      </c>
      <c r="I396" s="3" t="s">
        <v>2311</v>
      </c>
      <c r="J396" s="2" t="s">
        <v>2312</v>
      </c>
      <c r="K396" s="2" t="s">
        <v>2313</v>
      </c>
      <c r="L396" s="4" t="n">
        <v>88</v>
      </c>
      <c r="M396" s="4" t="s">
        <v>42</v>
      </c>
      <c r="N396" s="5" t="n">
        <v>88</v>
      </c>
      <c r="O396" s="6" t="n">
        <v>58</v>
      </c>
      <c r="P396" s="6" t="s">
        <v>53</v>
      </c>
      <c r="Q396" s="7" t="n">
        <v>58</v>
      </c>
      <c r="R396" s="8" t="n">
        <v>87</v>
      </c>
      <c r="S396" s="8" t="s">
        <v>42</v>
      </c>
      <c r="T396" s="9" t="n">
        <v>87</v>
      </c>
      <c r="U396" s="10" t="n">
        <v>77</v>
      </c>
      <c r="V396" s="10" t="s">
        <v>43</v>
      </c>
      <c r="W396" s="11" t="n">
        <v>77</v>
      </c>
      <c r="X396" s="12" t="n">
        <v>50</v>
      </c>
      <c r="Y396" s="12" t="s">
        <v>53</v>
      </c>
      <c r="Z396" s="13" t="n">
        <v>50</v>
      </c>
      <c r="AA396" s="14" t="n">
        <v>92</v>
      </c>
      <c r="AB396" s="14" t="s">
        <v>54</v>
      </c>
      <c r="AC396" s="15" t="n">
        <v>92</v>
      </c>
      <c r="AD396" s="2" t="n">
        <f aca="false">SUM(L396,O396,R396,U396,X396,AA396)</f>
        <v>452</v>
      </c>
      <c r="AE396" s="16" t="n">
        <f aca="false">AD396/6</f>
        <v>75.3333333333333</v>
      </c>
      <c r="AF396" s="2" t="str">
        <f aca="false">IF(SUM(COUNTIF(M396,"RA"),COUNTIF(P396,"RA"),COUNTIF(S396,"RA"),COUNTIF(V396,"RA"),COUNTIF(Y396,"RA"),COUNTIF(AB396,"RA"))&gt;0,"FAIL","PASS")</f>
        <v>PASS</v>
      </c>
    </row>
    <row r="397" customFormat="false" ht="15" hidden="false" customHeight="false" outlineLevel="0" collapsed="false">
      <c r="A397" s="2" t="n">
        <v>396</v>
      </c>
      <c r="B397" s="3" t="s">
        <v>2314</v>
      </c>
      <c r="C397" s="2" t="s">
        <v>859</v>
      </c>
      <c r="D397" s="2" t="s">
        <v>2315</v>
      </c>
      <c r="E397" s="2" t="s">
        <v>57</v>
      </c>
      <c r="F397" s="2" t="s">
        <v>36</v>
      </c>
      <c r="G397" s="2" t="s">
        <v>44</v>
      </c>
      <c r="H397" s="2" t="s">
        <v>2316</v>
      </c>
      <c r="I397" s="3" t="s">
        <v>2317</v>
      </c>
      <c r="J397" s="2" t="s">
        <v>2318</v>
      </c>
      <c r="K397" s="2" t="s">
        <v>2319</v>
      </c>
      <c r="L397" s="4" t="n">
        <v>75</v>
      </c>
      <c r="M397" s="4" t="s">
        <v>43</v>
      </c>
      <c r="N397" s="5" t="n">
        <v>75</v>
      </c>
      <c r="O397" s="6" t="n">
        <v>87</v>
      </c>
      <c r="P397" s="6" t="s">
        <v>42</v>
      </c>
      <c r="Q397" s="7" t="n">
        <v>87</v>
      </c>
      <c r="R397" s="8" t="n">
        <v>56</v>
      </c>
      <c r="S397" s="8" t="s">
        <v>53</v>
      </c>
      <c r="T397" s="9" t="n">
        <v>56</v>
      </c>
      <c r="U397" s="10" t="n">
        <v>98</v>
      </c>
      <c r="V397" s="10" t="s">
        <v>54</v>
      </c>
      <c r="W397" s="11" t="n">
        <v>98</v>
      </c>
      <c r="X397" s="12" t="n">
        <v>90</v>
      </c>
      <c r="Y397" s="12" t="s">
        <v>54</v>
      </c>
      <c r="Z397" s="13" t="n">
        <v>90</v>
      </c>
      <c r="AA397" s="14" t="n">
        <v>100</v>
      </c>
      <c r="AB397" s="14" t="s">
        <v>54</v>
      </c>
      <c r="AC397" s="15" t="n">
        <v>100</v>
      </c>
      <c r="AD397" s="2" t="n">
        <f aca="false">SUM(L397,O397,R397,U397,X397,AA397)</f>
        <v>506</v>
      </c>
      <c r="AE397" s="16" t="n">
        <f aca="false">AD397/6</f>
        <v>84.3333333333333</v>
      </c>
      <c r="AF397" s="2" t="str">
        <f aca="false">IF(SUM(COUNTIF(M397,"RA"),COUNTIF(P397,"RA"),COUNTIF(S397,"RA"),COUNTIF(V397,"RA"),COUNTIF(Y397,"RA"),COUNTIF(AB397,"RA"))&gt;0,"FAIL","PASS")</f>
        <v>PASS</v>
      </c>
    </row>
    <row r="398" customFormat="false" ht="15" hidden="false" customHeight="false" outlineLevel="0" collapsed="false">
      <c r="A398" s="2" t="n">
        <v>397</v>
      </c>
      <c r="B398" s="3" t="s">
        <v>2320</v>
      </c>
      <c r="C398" s="2" t="s">
        <v>790</v>
      </c>
      <c r="D398" s="2" t="s">
        <v>2321</v>
      </c>
      <c r="E398" s="2" t="s">
        <v>35</v>
      </c>
      <c r="F398" s="2" t="s">
        <v>36</v>
      </c>
      <c r="G398" s="2" t="s">
        <v>42</v>
      </c>
      <c r="H398" s="2" t="s">
        <v>2322</v>
      </c>
      <c r="I398" s="3" t="s">
        <v>2323</v>
      </c>
      <c r="J398" s="2" t="s">
        <v>2324</v>
      </c>
      <c r="K398" s="2" t="s">
        <v>2325</v>
      </c>
      <c r="L398" s="4" t="n">
        <v>82</v>
      </c>
      <c r="M398" s="4" t="s">
        <v>42</v>
      </c>
      <c r="N398" s="5" t="n">
        <v>82</v>
      </c>
      <c r="O398" s="6" t="n">
        <v>76</v>
      </c>
      <c r="P398" s="6" t="s">
        <v>43</v>
      </c>
      <c r="Q398" s="7" t="n">
        <v>76</v>
      </c>
      <c r="R398" s="8" t="n">
        <v>76</v>
      </c>
      <c r="S398" s="8" t="s">
        <v>43</v>
      </c>
      <c r="T398" s="9" t="n">
        <v>76</v>
      </c>
      <c r="U398" s="10" t="n">
        <v>54</v>
      </c>
      <c r="V398" s="10" t="s">
        <v>53</v>
      </c>
      <c r="W398" s="11" t="n">
        <v>54</v>
      </c>
      <c r="X398" s="12" t="n">
        <v>74</v>
      </c>
      <c r="Y398" s="12" t="s">
        <v>43</v>
      </c>
      <c r="Z398" s="13" t="n">
        <v>74</v>
      </c>
      <c r="AA398" s="14" t="n">
        <v>77</v>
      </c>
      <c r="AB398" s="14" t="s">
        <v>43</v>
      </c>
      <c r="AC398" s="15" t="n">
        <v>77</v>
      </c>
      <c r="AD398" s="2" t="n">
        <f aca="false">SUM(L398,O398,R398,U398,X398,AA398)</f>
        <v>439</v>
      </c>
      <c r="AE398" s="16" t="n">
        <f aca="false">AD398/6</f>
        <v>73.1666666666667</v>
      </c>
      <c r="AF398" s="2" t="str">
        <f aca="false">IF(SUM(COUNTIF(M398,"RA"),COUNTIF(P398,"RA"),COUNTIF(S398,"RA"),COUNTIF(V398,"RA"),COUNTIF(Y398,"RA"),COUNTIF(AB398,"RA"))&gt;0,"FAIL","PASS")</f>
        <v>PASS</v>
      </c>
    </row>
    <row r="399" customFormat="false" ht="15" hidden="false" customHeight="false" outlineLevel="0" collapsed="false">
      <c r="A399" s="2" t="n">
        <v>398</v>
      </c>
      <c r="B399" s="3" t="s">
        <v>2326</v>
      </c>
      <c r="C399" s="2" t="s">
        <v>841</v>
      </c>
      <c r="D399" s="2" t="s">
        <v>2327</v>
      </c>
      <c r="E399" s="2" t="s">
        <v>57</v>
      </c>
      <c r="F399" s="2" t="s">
        <v>36</v>
      </c>
      <c r="G399" s="2" t="s">
        <v>37</v>
      </c>
      <c r="H399" s="2" t="s">
        <v>2328</v>
      </c>
      <c r="I399" s="3" t="s">
        <v>153</v>
      </c>
      <c r="J399" s="2" t="s">
        <v>2329</v>
      </c>
      <c r="K399" s="2" t="s">
        <v>2330</v>
      </c>
      <c r="L399" s="4" t="n">
        <v>88</v>
      </c>
      <c r="M399" s="4" t="s">
        <v>42</v>
      </c>
      <c r="N399" s="5" t="n">
        <v>88</v>
      </c>
      <c r="O399" s="6" t="n">
        <v>49</v>
      </c>
      <c r="P399" s="6" t="s">
        <v>45</v>
      </c>
      <c r="Q399" s="7" t="n">
        <v>49</v>
      </c>
      <c r="R399" s="8" t="n">
        <v>91</v>
      </c>
      <c r="S399" s="8" t="s">
        <v>54</v>
      </c>
      <c r="T399" s="9" t="n">
        <v>91</v>
      </c>
      <c r="U399" s="10" t="n">
        <v>98</v>
      </c>
      <c r="V399" s="10" t="s">
        <v>54</v>
      </c>
      <c r="W399" s="11" t="n">
        <v>98</v>
      </c>
      <c r="X399" s="12" t="n">
        <v>90</v>
      </c>
      <c r="Y399" s="12" t="s">
        <v>54</v>
      </c>
      <c r="Z399" s="13" t="n">
        <v>90</v>
      </c>
      <c r="AA399" s="14" t="n">
        <v>97</v>
      </c>
      <c r="AB399" s="14" t="s">
        <v>54</v>
      </c>
      <c r="AC399" s="15" t="n">
        <v>97</v>
      </c>
      <c r="AD399" s="2" t="n">
        <f aca="false">SUM(L399,O399,R399,U399,X399,AA399)</f>
        <v>513</v>
      </c>
      <c r="AE399" s="16" t="n">
        <f aca="false">AD399/6</f>
        <v>85.5</v>
      </c>
      <c r="AF399" s="2" t="str">
        <f aca="false">IF(SUM(COUNTIF(M399,"RA"),COUNTIF(P399,"RA"),COUNTIF(S399,"RA"),COUNTIF(V399,"RA"),COUNTIF(Y399,"RA"),COUNTIF(AB399,"RA"))&gt;0,"FAIL","PASS")</f>
        <v>FAIL</v>
      </c>
    </row>
    <row r="400" customFormat="false" ht="15" hidden="false" customHeight="false" outlineLevel="0" collapsed="false">
      <c r="A400" s="2" t="n">
        <v>399</v>
      </c>
      <c r="B400" s="3" t="s">
        <v>2331</v>
      </c>
      <c r="C400" s="2" t="s">
        <v>783</v>
      </c>
      <c r="D400" s="2" t="s">
        <v>2332</v>
      </c>
      <c r="E400" s="2" t="s">
        <v>35</v>
      </c>
      <c r="F400" s="2" t="s">
        <v>36</v>
      </c>
      <c r="G400" s="2" t="s">
        <v>48</v>
      </c>
      <c r="H400" s="2" t="s">
        <v>2333</v>
      </c>
      <c r="I400" s="3" t="s">
        <v>261</v>
      </c>
      <c r="J400" s="2" t="s">
        <v>2334</v>
      </c>
      <c r="K400" s="2" t="s">
        <v>2335</v>
      </c>
      <c r="L400" s="4" t="n">
        <v>73</v>
      </c>
      <c r="M400" s="4" t="s">
        <v>43</v>
      </c>
      <c r="N400" s="5" t="n">
        <v>73</v>
      </c>
      <c r="O400" s="6" t="n">
        <v>63</v>
      </c>
      <c r="P400" s="6" t="s">
        <v>44</v>
      </c>
      <c r="Q400" s="7" t="n">
        <v>63</v>
      </c>
      <c r="R400" s="8" t="n">
        <v>69</v>
      </c>
      <c r="S400" s="8" t="s">
        <v>44</v>
      </c>
      <c r="T400" s="9" t="n">
        <v>69</v>
      </c>
      <c r="U400" s="10" t="n">
        <v>74</v>
      </c>
      <c r="V400" s="10" t="s">
        <v>43</v>
      </c>
      <c r="W400" s="11" t="n">
        <v>74</v>
      </c>
      <c r="X400" s="12" t="n">
        <v>75</v>
      </c>
      <c r="Y400" s="12" t="s">
        <v>43</v>
      </c>
      <c r="Z400" s="13" t="n">
        <v>75</v>
      </c>
      <c r="AA400" s="14" t="n">
        <v>76</v>
      </c>
      <c r="AB400" s="14" t="s">
        <v>43</v>
      </c>
      <c r="AC400" s="15" t="n">
        <v>76</v>
      </c>
      <c r="AD400" s="2" t="n">
        <f aca="false">SUM(L400,O400,R400,U400,X400,AA400)</f>
        <v>430</v>
      </c>
      <c r="AE400" s="16" t="n">
        <f aca="false">AD400/6</f>
        <v>71.6666666666667</v>
      </c>
      <c r="AF400" s="2" t="str">
        <f aca="false">IF(SUM(COUNTIF(M400,"RA"),COUNTIF(P400,"RA"),COUNTIF(S400,"RA"),COUNTIF(V400,"RA"),COUNTIF(Y400,"RA"),COUNTIF(AB400,"RA"))&gt;0,"FAIL","PASS")</f>
        <v>PASS</v>
      </c>
    </row>
    <row r="401" customFormat="false" ht="15" hidden="false" customHeight="false" outlineLevel="0" collapsed="false">
      <c r="A401" s="2" t="n">
        <v>400</v>
      </c>
      <c r="B401" s="3" t="s">
        <v>2336</v>
      </c>
      <c r="C401" s="2" t="s">
        <v>757</v>
      </c>
      <c r="D401" s="2" t="s">
        <v>2337</v>
      </c>
      <c r="E401" s="2" t="s">
        <v>57</v>
      </c>
      <c r="F401" s="2" t="s">
        <v>36</v>
      </c>
      <c r="G401" s="2" t="s">
        <v>42</v>
      </c>
      <c r="H401" s="2" t="s">
        <v>2338</v>
      </c>
      <c r="I401" s="3" t="s">
        <v>1756</v>
      </c>
      <c r="J401" s="2" t="s">
        <v>2339</v>
      </c>
      <c r="K401" s="2" t="s">
        <v>2340</v>
      </c>
      <c r="L401" s="4" t="n">
        <v>83</v>
      </c>
      <c r="M401" s="4" t="s">
        <v>42</v>
      </c>
      <c r="N401" s="5" t="n">
        <v>83</v>
      </c>
      <c r="O401" s="6" t="n">
        <v>80</v>
      </c>
      <c r="P401" s="6" t="s">
        <v>42</v>
      </c>
      <c r="Q401" s="7" t="n">
        <v>80</v>
      </c>
      <c r="R401" s="8" t="n">
        <v>91</v>
      </c>
      <c r="S401" s="8" t="s">
        <v>54</v>
      </c>
      <c r="T401" s="9" t="n">
        <v>91</v>
      </c>
      <c r="U401" s="10" t="n">
        <v>70</v>
      </c>
      <c r="V401" s="10" t="s">
        <v>43</v>
      </c>
      <c r="W401" s="11" t="n">
        <v>70</v>
      </c>
      <c r="X401" s="12" t="n">
        <v>90</v>
      </c>
      <c r="Y401" s="12" t="s">
        <v>54</v>
      </c>
      <c r="Z401" s="13" t="n">
        <v>90</v>
      </c>
      <c r="AA401" s="14" t="n">
        <v>69</v>
      </c>
      <c r="AB401" s="14" t="s">
        <v>44</v>
      </c>
      <c r="AC401" s="15" t="n">
        <v>69</v>
      </c>
      <c r="AD401" s="2" t="n">
        <f aca="false">SUM(L401,O401,R401,U401,X401,AA401)</f>
        <v>483</v>
      </c>
      <c r="AE401" s="16" t="n">
        <f aca="false">AD401/6</f>
        <v>80.5</v>
      </c>
      <c r="AF401" s="2" t="str">
        <f aca="false">IF(SUM(COUNTIF(M401,"RA"),COUNTIF(P401,"RA"),COUNTIF(S401,"RA"),COUNTIF(V401,"RA"),COUNTIF(Y401,"RA"),COUNTIF(AB401,"RA"))&gt;0,"FAIL","PASS")</f>
        <v>PASS</v>
      </c>
    </row>
    <row r="402" customFormat="false" ht="15" hidden="false" customHeight="false" outlineLevel="0" collapsed="false">
      <c r="A402" s="2" t="n">
        <v>401</v>
      </c>
      <c r="B402" s="3" t="s">
        <v>2341</v>
      </c>
      <c r="C402" s="2" t="s">
        <v>790</v>
      </c>
      <c r="D402" s="2" t="s">
        <v>2342</v>
      </c>
      <c r="E402" s="2" t="s">
        <v>35</v>
      </c>
      <c r="F402" s="2" t="s">
        <v>36</v>
      </c>
      <c r="G402" s="2" t="s">
        <v>64</v>
      </c>
      <c r="H402" s="2" t="s">
        <v>2343</v>
      </c>
      <c r="I402" s="3" t="s">
        <v>896</v>
      </c>
      <c r="J402" s="2" t="s">
        <v>2344</v>
      </c>
      <c r="K402" s="2" t="s">
        <v>2345</v>
      </c>
      <c r="L402" s="4" t="n">
        <v>97</v>
      </c>
      <c r="M402" s="4" t="s">
        <v>54</v>
      </c>
      <c r="N402" s="5" t="n">
        <v>97</v>
      </c>
      <c r="O402" s="6" t="n">
        <v>82</v>
      </c>
      <c r="P402" s="6" t="s">
        <v>42</v>
      </c>
      <c r="Q402" s="7" t="n">
        <v>82</v>
      </c>
      <c r="R402" s="8" t="n">
        <v>72</v>
      </c>
      <c r="S402" s="8" t="s">
        <v>43</v>
      </c>
      <c r="T402" s="9" t="n">
        <v>72</v>
      </c>
      <c r="U402" s="10" t="n">
        <v>88</v>
      </c>
      <c r="V402" s="10" t="s">
        <v>42</v>
      </c>
      <c r="W402" s="11" t="n">
        <v>88</v>
      </c>
      <c r="X402" s="12" t="n">
        <v>42</v>
      </c>
      <c r="Y402" s="12" t="s">
        <v>45</v>
      </c>
      <c r="Z402" s="13" t="n">
        <v>42</v>
      </c>
      <c r="AA402" s="14" t="n">
        <v>87</v>
      </c>
      <c r="AB402" s="14" t="s">
        <v>42</v>
      </c>
      <c r="AC402" s="15" t="n">
        <v>87</v>
      </c>
      <c r="AD402" s="2" t="n">
        <f aca="false">SUM(L402,O402,R402,U402,X402,AA402)</f>
        <v>468</v>
      </c>
      <c r="AE402" s="16" t="n">
        <f aca="false">AD402/6</f>
        <v>78</v>
      </c>
      <c r="AF402" s="2" t="str">
        <f aca="false">IF(SUM(COUNTIF(M402,"RA"),COUNTIF(P402,"RA"),COUNTIF(S402,"RA"),COUNTIF(V402,"RA"),COUNTIF(Y402,"RA"),COUNTIF(AB402,"RA"))&gt;0,"FAIL","PASS")</f>
        <v>FAIL</v>
      </c>
    </row>
    <row r="403" customFormat="false" ht="15" hidden="false" customHeight="false" outlineLevel="0" collapsed="false">
      <c r="A403" s="2" t="n">
        <v>402</v>
      </c>
      <c r="B403" s="3" t="s">
        <v>2346</v>
      </c>
      <c r="C403" s="2" t="s">
        <v>816</v>
      </c>
      <c r="D403" s="2" t="s">
        <v>2347</v>
      </c>
      <c r="E403" s="2" t="s">
        <v>57</v>
      </c>
      <c r="F403" s="2" t="s">
        <v>36</v>
      </c>
      <c r="G403" s="2" t="s">
        <v>42</v>
      </c>
      <c r="H403" s="2" t="s">
        <v>122</v>
      </c>
      <c r="I403" s="3" t="s">
        <v>2348</v>
      </c>
      <c r="J403" s="2" t="s">
        <v>2349</v>
      </c>
      <c r="K403" s="2" t="s">
        <v>2350</v>
      </c>
      <c r="L403" s="4" t="n">
        <v>67</v>
      </c>
      <c r="M403" s="4" t="s">
        <v>44</v>
      </c>
      <c r="N403" s="5" t="n">
        <v>67</v>
      </c>
      <c r="O403" s="6" t="n">
        <v>54</v>
      </c>
      <c r="P403" s="6" t="s">
        <v>53</v>
      </c>
      <c r="Q403" s="7" t="n">
        <v>54</v>
      </c>
      <c r="R403" s="8" t="n">
        <v>81</v>
      </c>
      <c r="S403" s="8" t="s">
        <v>42</v>
      </c>
      <c r="T403" s="9" t="n">
        <v>81</v>
      </c>
      <c r="U403" s="10" t="n">
        <v>96</v>
      </c>
      <c r="V403" s="10" t="s">
        <v>54</v>
      </c>
      <c r="W403" s="11" t="n">
        <v>96</v>
      </c>
      <c r="X403" s="12" t="n">
        <v>72</v>
      </c>
      <c r="Y403" s="12" t="s">
        <v>43</v>
      </c>
      <c r="Z403" s="13" t="n">
        <v>72</v>
      </c>
      <c r="AA403" s="14" t="n">
        <v>47</v>
      </c>
      <c r="AB403" s="14" t="s">
        <v>45</v>
      </c>
      <c r="AC403" s="15" t="n">
        <v>47</v>
      </c>
      <c r="AD403" s="2" t="n">
        <f aca="false">SUM(L403,O403,R403,U403,X403,AA403)</f>
        <v>417</v>
      </c>
      <c r="AE403" s="16" t="n">
        <f aca="false">AD403/6</f>
        <v>69.5</v>
      </c>
      <c r="AF403" s="2" t="str">
        <f aca="false">IF(SUM(COUNTIF(M403,"RA"),COUNTIF(P403,"RA"),COUNTIF(S403,"RA"),COUNTIF(V403,"RA"),COUNTIF(Y403,"RA"),COUNTIF(AB403,"RA"))&gt;0,"FAIL","PASS")</f>
        <v>FAIL</v>
      </c>
    </row>
    <row r="404" customFormat="false" ht="15" hidden="false" customHeight="false" outlineLevel="0" collapsed="false">
      <c r="A404" s="2" t="n">
        <v>403</v>
      </c>
      <c r="B404" s="3" t="s">
        <v>2351</v>
      </c>
      <c r="C404" s="2" t="s">
        <v>912</v>
      </c>
      <c r="D404" s="2" t="s">
        <v>2352</v>
      </c>
      <c r="E404" s="2" t="s">
        <v>35</v>
      </c>
      <c r="F404" s="2" t="s">
        <v>36</v>
      </c>
      <c r="G404" s="2" t="s">
        <v>42</v>
      </c>
      <c r="H404" s="2" t="s">
        <v>659</v>
      </c>
      <c r="I404" s="3" t="s">
        <v>2353</v>
      </c>
      <c r="J404" s="2" t="s">
        <v>2354</v>
      </c>
      <c r="K404" s="2" t="s">
        <v>2355</v>
      </c>
      <c r="L404" s="4" t="n">
        <v>42</v>
      </c>
      <c r="M404" s="4" t="s">
        <v>45</v>
      </c>
      <c r="N404" s="5" t="n">
        <v>42</v>
      </c>
      <c r="O404" s="6" t="n">
        <v>64</v>
      </c>
      <c r="P404" s="6" t="s">
        <v>44</v>
      </c>
      <c r="Q404" s="7" t="n">
        <v>64</v>
      </c>
      <c r="R404" s="8" t="n">
        <v>70</v>
      </c>
      <c r="S404" s="8" t="s">
        <v>43</v>
      </c>
      <c r="T404" s="9" t="n">
        <v>70</v>
      </c>
      <c r="U404" s="10" t="n">
        <v>66</v>
      </c>
      <c r="V404" s="10" t="s">
        <v>44</v>
      </c>
      <c r="W404" s="11" t="n">
        <v>66</v>
      </c>
      <c r="X404" s="12" t="n">
        <v>79</v>
      </c>
      <c r="Y404" s="12" t="s">
        <v>43</v>
      </c>
      <c r="Z404" s="13" t="n">
        <v>79</v>
      </c>
      <c r="AA404" s="14" t="n">
        <v>100</v>
      </c>
      <c r="AB404" s="14" t="s">
        <v>54</v>
      </c>
      <c r="AC404" s="15" t="n">
        <v>100</v>
      </c>
      <c r="AD404" s="2" t="n">
        <f aca="false">SUM(L404,O404,R404,U404,X404,AA404)</f>
        <v>421</v>
      </c>
      <c r="AE404" s="16" t="n">
        <f aca="false">AD404/6</f>
        <v>70.1666666666667</v>
      </c>
      <c r="AF404" s="2" t="str">
        <f aca="false">IF(SUM(COUNTIF(M404,"RA"),COUNTIF(P404,"RA"),COUNTIF(S404,"RA"),COUNTIF(V404,"RA"),COUNTIF(Y404,"RA"),COUNTIF(AB404,"RA"))&gt;0,"FAIL","PASS")</f>
        <v>FAIL</v>
      </c>
    </row>
    <row r="405" customFormat="false" ht="15" hidden="false" customHeight="false" outlineLevel="0" collapsed="false">
      <c r="A405" s="2" t="n">
        <v>404</v>
      </c>
      <c r="B405" s="3" t="s">
        <v>2356</v>
      </c>
      <c r="C405" s="2" t="s">
        <v>750</v>
      </c>
      <c r="D405" s="2" t="s">
        <v>2357</v>
      </c>
      <c r="E405" s="2" t="s">
        <v>57</v>
      </c>
      <c r="F405" s="2" t="s">
        <v>36</v>
      </c>
      <c r="G405" s="2" t="s">
        <v>71</v>
      </c>
      <c r="H405" s="2" t="s">
        <v>2358</v>
      </c>
      <c r="I405" s="3" t="s">
        <v>2359</v>
      </c>
      <c r="J405" s="2" t="s">
        <v>2360</v>
      </c>
      <c r="K405" s="2" t="s">
        <v>2361</v>
      </c>
      <c r="L405" s="4" t="n">
        <v>91</v>
      </c>
      <c r="M405" s="4" t="s">
        <v>54</v>
      </c>
      <c r="N405" s="5" t="n">
        <v>91</v>
      </c>
      <c r="O405" s="6" t="n">
        <v>71</v>
      </c>
      <c r="P405" s="6" t="s">
        <v>43</v>
      </c>
      <c r="Q405" s="7" t="n">
        <v>71</v>
      </c>
      <c r="R405" s="8" t="n">
        <v>70</v>
      </c>
      <c r="S405" s="8" t="s">
        <v>43</v>
      </c>
      <c r="T405" s="9" t="n">
        <v>70</v>
      </c>
      <c r="U405" s="10" t="n">
        <v>54</v>
      </c>
      <c r="V405" s="10" t="s">
        <v>53</v>
      </c>
      <c r="W405" s="11" t="n">
        <v>54</v>
      </c>
      <c r="X405" s="12" t="n">
        <v>82</v>
      </c>
      <c r="Y405" s="12" t="s">
        <v>42</v>
      </c>
      <c r="Z405" s="13" t="n">
        <v>82</v>
      </c>
      <c r="AA405" s="14" t="n">
        <v>85</v>
      </c>
      <c r="AB405" s="14" t="s">
        <v>42</v>
      </c>
      <c r="AC405" s="15" t="n">
        <v>85</v>
      </c>
      <c r="AD405" s="2" t="n">
        <f aca="false">SUM(L405,O405,R405,U405,X405,AA405)</f>
        <v>453</v>
      </c>
      <c r="AE405" s="16" t="n">
        <f aca="false">AD405/6</f>
        <v>75.5</v>
      </c>
      <c r="AF405" s="2" t="str">
        <f aca="false">IF(SUM(COUNTIF(M405,"RA"),COUNTIF(P405,"RA"),COUNTIF(S405,"RA"),COUNTIF(V405,"RA"),COUNTIF(Y405,"RA"),COUNTIF(AB405,"RA"))&gt;0,"FAIL","PASS")</f>
        <v>PASS</v>
      </c>
    </row>
    <row r="406" customFormat="false" ht="15" hidden="false" customHeight="false" outlineLevel="0" collapsed="false">
      <c r="A406" s="2" t="n">
        <v>405</v>
      </c>
      <c r="B406" s="3" t="s">
        <v>2362</v>
      </c>
      <c r="C406" s="2" t="s">
        <v>790</v>
      </c>
      <c r="D406" s="2" t="s">
        <v>2363</v>
      </c>
      <c r="E406" s="2" t="s">
        <v>57</v>
      </c>
      <c r="F406" s="2" t="s">
        <v>36</v>
      </c>
      <c r="G406" s="2" t="s">
        <v>71</v>
      </c>
      <c r="H406" s="2" t="s">
        <v>2364</v>
      </c>
      <c r="I406" s="3" t="s">
        <v>1522</v>
      </c>
      <c r="J406" s="2" t="s">
        <v>2365</v>
      </c>
      <c r="K406" s="2" t="s">
        <v>2366</v>
      </c>
      <c r="L406" s="4" t="n">
        <v>93</v>
      </c>
      <c r="M406" s="4" t="s">
        <v>54</v>
      </c>
      <c r="N406" s="5" t="n">
        <v>93</v>
      </c>
      <c r="O406" s="6" t="n">
        <v>95</v>
      </c>
      <c r="P406" s="6" t="s">
        <v>54</v>
      </c>
      <c r="Q406" s="7" t="n">
        <v>95</v>
      </c>
      <c r="R406" s="8" t="n">
        <v>61</v>
      </c>
      <c r="S406" s="8" t="s">
        <v>44</v>
      </c>
      <c r="T406" s="9" t="n">
        <v>61</v>
      </c>
      <c r="U406" s="10" t="n">
        <v>40</v>
      </c>
      <c r="V406" s="10" t="s">
        <v>45</v>
      </c>
      <c r="W406" s="11" t="n">
        <v>40</v>
      </c>
      <c r="X406" s="12" t="n">
        <v>57</v>
      </c>
      <c r="Y406" s="12" t="s">
        <v>53</v>
      </c>
      <c r="Z406" s="13" t="n">
        <v>57</v>
      </c>
      <c r="AA406" s="14" t="n">
        <v>71</v>
      </c>
      <c r="AB406" s="14" t="s">
        <v>43</v>
      </c>
      <c r="AC406" s="15" t="n">
        <v>71</v>
      </c>
      <c r="AD406" s="2" t="n">
        <f aca="false">SUM(L406,O406,R406,U406,X406,AA406)</f>
        <v>417</v>
      </c>
      <c r="AE406" s="16" t="n">
        <f aca="false">AD406/6</f>
        <v>69.5</v>
      </c>
      <c r="AF406" s="2" t="str">
        <f aca="false">IF(SUM(COUNTIF(M406,"RA"),COUNTIF(P406,"RA"),COUNTIF(S406,"RA"),COUNTIF(V406,"RA"),COUNTIF(Y406,"RA"),COUNTIF(AB406,"RA"))&gt;0,"FAIL","PASS")</f>
        <v>FAIL</v>
      </c>
    </row>
    <row r="407" customFormat="false" ht="15" hidden="false" customHeight="false" outlineLevel="0" collapsed="false">
      <c r="A407" s="2" t="n">
        <v>406</v>
      </c>
      <c r="B407" s="3" t="s">
        <v>2367</v>
      </c>
      <c r="C407" s="2" t="s">
        <v>859</v>
      </c>
      <c r="D407" s="2" t="s">
        <v>2368</v>
      </c>
      <c r="E407" s="2" t="s">
        <v>57</v>
      </c>
      <c r="F407" s="2" t="s">
        <v>36</v>
      </c>
      <c r="G407" s="2" t="s">
        <v>48</v>
      </c>
      <c r="H407" s="2" t="s">
        <v>2369</v>
      </c>
      <c r="I407" s="3" t="s">
        <v>129</v>
      </c>
      <c r="J407" s="2" t="s">
        <v>2370</v>
      </c>
      <c r="K407" s="2" t="s">
        <v>2371</v>
      </c>
      <c r="L407" s="4" t="n">
        <v>90</v>
      </c>
      <c r="M407" s="4" t="s">
        <v>54</v>
      </c>
      <c r="N407" s="5" t="n">
        <v>90</v>
      </c>
      <c r="O407" s="6" t="n">
        <v>84</v>
      </c>
      <c r="P407" s="6" t="s">
        <v>42</v>
      </c>
      <c r="Q407" s="7" t="n">
        <v>84</v>
      </c>
      <c r="R407" s="8" t="n">
        <v>83</v>
      </c>
      <c r="S407" s="8" t="s">
        <v>42</v>
      </c>
      <c r="T407" s="9" t="n">
        <v>83</v>
      </c>
      <c r="U407" s="10" t="n">
        <v>86</v>
      </c>
      <c r="V407" s="10" t="s">
        <v>42</v>
      </c>
      <c r="W407" s="11" t="n">
        <v>86</v>
      </c>
      <c r="X407" s="12" t="n">
        <v>89</v>
      </c>
      <c r="Y407" s="12" t="s">
        <v>42</v>
      </c>
      <c r="Z407" s="13" t="n">
        <v>89</v>
      </c>
      <c r="AA407" s="14" t="n">
        <v>72</v>
      </c>
      <c r="AB407" s="14" t="s">
        <v>43</v>
      </c>
      <c r="AC407" s="15" t="n">
        <v>72</v>
      </c>
      <c r="AD407" s="2" t="n">
        <f aca="false">SUM(L407,O407,R407,U407,X407,AA407)</f>
        <v>504</v>
      </c>
      <c r="AE407" s="16" t="n">
        <f aca="false">AD407/6</f>
        <v>84</v>
      </c>
      <c r="AF407" s="2" t="str">
        <f aca="false">IF(SUM(COUNTIF(M407,"RA"),COUNTIF(P407,"RA"),COUNTIF(S407,"RA"),COUNTIF(V407,"RA"),COUNTIF(Y407,"RA"),COUNTIF(AB407,"RA"))&gt;0,"FAIL","PASS")</f>
        <v>PASS</v>
      </c>
    </row>
    <row r="408" customFormat="false" ht="15" hidden="false" customHeight="false" outlineLevel="0" collapsed="false">
      <c r="A408" s="2" t="n">
        <v>407</v>
      </c>
      <c r="B408" s="3" t="s">
        <v>2372</v>
      </c>
      <c r="C408" s="2" t="s">
        <v>803</v>
      </c>
      <c r="D408" s="2" t="s">
        <v>2373</v>
      </c>
      <c r="E408" s="2" t="s">
        <v>35</v>
      </c>
      <c r="F408" s="2" t="s">
        <v>36</v>
      </c>
      <c r="G408" s="2" t="s">
        <v>71</v>
      </c>
      <c r="H408" s="2" t="s">
        <v>2374</v>
      </c>
      <c r="I408" s="3" t="s">
        <v>2375</v>
      </c>
      <c r="J408" s="2" t="s">
        <v>2376</v>
      </c>
      <c r="K408" s="2" t="s">
        <v>2377</v>
      </c>
      <c r="L408" s="4" t="n">
        <v>44</v>
      </c>
      <c r="M408" s="4" t="s">
        <v>45</v>
      </c>
      <c r="N408" s="5" t="n">
        <v>44</v>
      </c>
      <c r="O408" s="6" t="n">
        <v>74</v>
      </c>
      <c r="P408" s="6" t="s">
        <v>43</v>
      </c>
      <c r="Q408" s="7" t="n">
        <v>74</v>
      </c>
      <c r="R408" s="8" t="n">
        <v>63</v>
      </c>
      <c r="S408" s="8" t="s">
        <v>44</v>
      </c>
      <c r="T408" s="9" t="n">
        <v>63</v>
      </c>
      <c r="U408" s="10" t="n">
        <v>52</v>
      </c>
      <c r="V408" s="10" t="s">
        <v>53</v>
      </c>
      <c r="W408" s="11" t="n">
        <v>52</v>
      </c>
      <c r="X408" s="12" t="n">
        <v>83</v>
      </c>
      <c r="Y408" s="12" t="s">
        <v>42</v>
      </c>
      <c r="Z408" s="13" t="n">
        <v>83</v>
      </c>
      <c r="AA408" s="14" t="n">
        <v>64</v>
      </c>
      <c r="AB408" s="14" t="s">
        <v>44</v>
      </c>
      <c r="AC408" s="15" t="n">
        <v>64</v>
      </c>
      <c r="AD408" s="2" t="n">
        <f aca="false">SUM(L408,O408,R408,U408,X408,AA408)</f>
        <v>380</v>
      </c>
      <c r="AE408" s="16" t="n">
        <f aca="false">AD408/6</f>
        <v>63.3333333333333</v>
      </c>
      <c r="AF408" s="2" t="str">
        <f aca="false">IF(SUM(COUNTIF(M408,"RA"),COUNTIF(P408,"RA"),COUNTIF(S408,"RA"),COUNTIF(V408,"RA"),COUNTIF(Y408,"RA"),COUNTIF(AB408,"RA"))&gt;0,"FAIL","PASS")</f>
        <v>FAIL</v>
      </c>
    </row>
    <row r="409" customFormat="false" ht="15" hidden="false" customHeight="false" outlineLevel="0" collapsed="false">
      <c r="A409" s="2" t="n">
        <v>408</v>
      </c>
      <c r="B409" s="3" t="s">
        <v>2378</v>
      </c>
      <c r="C409" s="2" t="s">
        <v>783</v>
      </c>
      <c r="D409" s="2" t="s">
        <v>2379</v>
      </c>
      <c r="E409" s="2" t="s">
        <v>57</v>
      </c>
      <c r="F409" s="2" t="s">
        <v>36</v>
      </c>
      <c r="G409" s="2" t="s">
        <v>91</v>
      </c>
      <c r="H409" s="2" t="s">
        <v>2380</v>
      </c>
      <c r="I409" s="3" t="s">
        <v>2381</v>
      </c>
      <c r="J409" s="2" t="s">
        <v>2382</v>
      </c>
      <c r="K409" s="2" t="s">
        <v>2383</v>
      </c>
      <c r="L409" s="4" t="n">
        <v>70</v>
      </c>
      <c r="M409" s="4" t="s">
        <v>43</v>
      </c>
      <c r="N409" s="5" t="n">
        <v>70</v>
      </c>
      <c r="O409" s="6" t="n">
        <v>46</v>
      </c>
      <c r="P409" s="6" t="s">
        <v>45</v>
      </c>
      <c r="Q409" s="7" t="n">
        <v>46</v>
      </c>
      <c r="R409" s="8" t="n">
        <v>84</v>
      </c>
      <c r="S409" s="8" t="s">
        <v>42</v>
      </c>
      <c r="T409" s="9" t="n">
        <v>84</v>
      </c>
      <c r="U409" s="10" t="n">
        <v>95</v>
      </c>
      <c r="V409" s="10" t="s">
        <v>54</v>
      </c>
      <c r="W409" s="11" t="n">
        <v>95</v>
      </c>
      <c r="X409" s="12" t="n">
        <v>78</v>
      </c>
      <c r="Y409" s="12" t="s">
        <v>43</v>
      </c>
      <c r="Z409" s="13" t="n">
        <v>78</v>
      </c>
      <c r="AA409" s="14" t="n">
        <v>78</v>
      </c>
      <c r="AB409" s="14" t="s">
        <v>43</v>
      </c>
      <c r="AC409" s="15" t="n">
        <v>78</v>
      </c>
      <c r="AD409" s="2" t="n">
        <f aca="false">SUM(L409,O409,R409,U409,X409,AA409)</f>
        <v>451</v>
      </c>
      <c r="AE409" s="16" t="n">
        <f aca="false">AD409/6</f>
        <v>75.1666666666667</v>
      </c>
      <c r="AF409" s="2" t="str">
        <f aca="false">IF(SUM(COUNTIF(M409,"RA"),COUNTIF(P409,"RA"),COUNTIF(S409,"RA"),COUNTIF(V409,"RA"),COUNTIF(Y409,"RA"),COUNTIF(AB409,"RA"))&gt;0,"FAIL","PASS")</f>
        <v>FAIL</v>
      </c>
    </row>
    <row r="410" customFormat="false" ht="15" hidden="false" customHeight="false" outlineLevel="0" collapsed="false">
      <c r="A410" s="2" t="n">
        <v>409</v>
      </c>
      <c r="B410" s="3" t="s">
        <v>2384</v>
      </c>
      <c r="C410" s="2" t="s">
        <v>859</v>
      </c>
      <c r="D410" s="2" t="s">
        <v>2385</v>
      </c>
      <c r="E410" s="2" t="s">
        <v>57</v>
      </c>
      <c r="F410" s="2" t="s">
        <v>36</v>
      </c>
      <c r="G410" s="2" t="s">
        <v>64</v>
      </c>
      <c r="H410" s="2" t="s">
        <v>2386</v>
      </c>
      <c r="I410" s="3" t="s">
        <v>2387</v>
      </c>
      <c r="J410" s="2" t="s">
        <v>2388</v>
      </c>
      <c r="K410" s="2" t="s">
        <v>2389</v>
      </c>
      <c r="L410" s="4" t="n">
        <v>78</v>
      </c>
      <c r="M410" s="4" t="s">
        <v>43</v>
      </c>
      <c r="N410" s="5" t="n">
        <v>78</v>
      </c>
      <c r="O410" s="6" t="n">
        <v>95</v>
      </c>
      <c r="P410" s="6" t="s">
        <v>54</v>
      </c>
      <c r="Q410" s="7" t="n">
        <v>95</v>
      </c>
      <c r="R410" s="8" t="n">
        <v>70</v>
      </c>
      <c r="S410" s="8" t="s">
        <v>43</v>
      </c>
      <c r="T410" s="9" t="n">
        <v>70</v>
      </c>
      <c r="U410" s="10" t="n">
        <v>52</v>
      </c>
      <c r="V410" s="10" t="s">
        <v>53</v>
      </c>
      <c r="W410" s="11" t="n">
        <v>52</v>
      </c>
      <c r="X410" s="12" t="n">
        <v>85</v>
      </c>
      <c r="Y410" s="12" t="s">
        <v>42</v>
      </c>
      <c r="Z410" s="13" t="n">
        <v>85</v>
      </c>
      <c r="AA410" s="14" t="n">
        <v>83</v>
      </c>
      <c r="AB410" s="14" t="s">
        <v>42</v>
      </c>
      <c r="AC410" s="15" t="n">
        <v>83</v>
      </c>
      <c r="AD410" s="2" t="n">
        <f aca="false">SUM(L410,O410,R410,U410,X410,AA410)</f>
        <v>463</v>
      </c>
      <c r="AE410" s="16" t="n">
        <f aca="false">AD410/6</f>
        <v>77.1666666666667</v>
      </c>
      <c r="AF410" s="2" t="str">
        <f aca="false">IF(SUM(COUNTIF(M410,"RA"),COUNTIF(P410,"RA"),COUNTIF(S410,"RA"),COUNTIF(V410,"RA"),COUNTIF(Y410,"RA"),COUNTIF(AB410,"RA"))&gt;0,"FAIL","PASS")</f>
        <v>PASS</v>
      </c>
    </row>
    <row r="411" customFormat="false" ht="15" hidden="false" customHeight="false" outlineLevel="0" collapsed="false">
      <c r="A411" s="2" t="n">
        <v>410</v>
      </c>
      <c r="B411" s="3" t="s">
        <v>2390</v>
      </c>
      <c r="C411" s="2" t="s">
        <v>859</v>
      </c>
      <c r="D411" s="2" t="s">
        <v>2391</v>
      </c>
      <c r="E411" s="2" t="s">
        <v>57</v>
      </c>
      <c r="F411" s="2" t="s">
        <v>36</v>
      </c>
      <c r="G411" s="2" t="s">
        <v>78</v>
      </c>
      <c r="H411" s="2" t="s">
        <v>2392</v>
      </c>
      <c r="I411" s="3" t="s">
        <v>2393</v>
      </c>
      <c r="J411" s="2" t="s">
        <v>2394</v>
      </c>
      <c r="K411" s="2" t="s">
        <v>2395</v>
      </c>
      <c r="L411" s="4" t="n">
        <v>70</v>
      </c>
      <c r="M411" s="4" t="s">
        <v>43</v>
      </c>
      <c r="N411" s="5" t="n">
        <v>70</v>
      </c>
      <c r="O411" s="6" t="n">
        <v>92</v>
      </c>
      <c r="P411" s="6" t="s">
        <v>54</v>
      </c>
      <c r="Q411" s="7" t="n">
        <v>92</v>
      </c>
      <c r="R411" s="8" t="n">
        <v>69</v>
      </c>
      <c r="S411" s="8" t="s">
        <v>44</v>
      </c>
      <c r="T411" s="9" t="n">
        <v>69</v>
      </c>
      <c r="U411" s="10" t="n">
        <v>73</v>
      </c>
      <c r="V411" s="10" t="s">
        <v>43</v>
      </c>
      <c r="W411" s="11" t="n">
        <v>73</v>
      </c>
      <c r="X411" s="12" t="n">
        <v>56</v>
      </c>
      <c r="Y411" s="12" t="s">
        <v>53</v>
      </c>
      <c r="Z411" s="13" t="n">
        <v>56</v>
      </c>
      <c r="AA411" s="14" t="n">
        <v>95</v>
      </c>
      <c r="AB411" s="14" t="s">
        <v>54</v>
      </c>
      <c r="AC411" s="15" t="n">
        <v>95</v>
      </c>
      <c r="AD411" s="2" t="n">
        <f aca="false">SUM(L411,O411,R411,U411,X411,AA411)</f>
        <v>455</v>
      </c>
      <c r="AE411" s="16" t="n">
        <f aca="false">AD411/6</f>
        <v>75.8333333333333</v>
      </c>
      <c r="AF411" s="2" t="str">
        <f aca="false">IF(SUM(COUNTIF(M411,"RA"),COUNTIF(P411,"RA"),COUNTIF(S411,"RA"),COUNTIF(V411,"RA"),COUNTIF(Y411,"RA"),COUNTIF(AB411,"RA"))&gt;0,"FAIL","PASS")</f>
        <v>PASS</v>
      </c>
    </row>
    <row r="412" customFormat="false" ht="15" hidden="false" customHeight="false" outlineLevel="0" collapsed="false">
      <c r="A412" s="2" t="n">
        <v>411</v>
      </c>
      <c r="B412" s="3" t="s">
        <v>2396</v>
      </c>
      <c r="C412" s="2" t="s">
        <v>816</v>
      </c>
      <c r="D412" s="2" t="s">
        <v>2397</v>
      </c>
      <c r="E412" s="2" t="s">
        <v>35</v>
      </c>
      <c r="F412" s="2" t="s">
        <v>36</v>
      </c>
      <c r="G412" s="2" t="s">
        <v>78</v>
      </c>
      <c r="H412" s="2" t="s">
        <v>2398</v>
      </c>
      <c r="I412" s="3" t="s">
        <v>2399</v>
      </c>
      <c r="J412" s="2" t="s">
        <v>2400</v>
      </c>
      <c r="K412" s="2" t="s">
        <v>2401</v>
      </c>
      <c r="L412" s="4" t="n">
        <v>83</v>
      </c>
      <c r="M412" s="4" t="s">
        <v>42</v>
      </c>
      <c r="N412" s="5" t="n">
        <v>83</v>
      </c>
      <c r="O412" s="6" t="n">
        <v>91</v>
      </c>
      <c r="P412" s="6" t="s">
        <v>54</v>
      </c>
      <c r="Q412" s="7" t="n">
        <v>91</v>
      </c>
      <c r="R412" s="8" t="n">
        <v>81</v>
      </c>
      <c r="S412" s="8" t="s">
        <v>42</v>
      </c>
      <c r="T412" s="9" t="n">
        <v>81</v>
      </c>
      <c r="U412" s="10" t="n">
        <v>68</v>
      </c>
      <c r="V412" s="10" t="s">
        <v>44</v>
      </c>
      <c r="W412" s="11" t="n">
        <v>68</v>
      </c>
      <c r="X412" s="12" t="n">
        <v>50</v>
      </c>
      <c r="Y412" s="12" t="s">
        <v>53</v>
      </c>
      <c r="Z412" s="13" t="n">
        <v>50</v>
      </c>
      <c r="AA412" s="14" t="n">
        <v>71</v>
      </c>
      <c r="AB412" s="14" t="s">
        <v>43</v>
      </c>
      <c r="AC412" s="15" t="n">
        <v>71</v>
      </c>
      <c r="AD412" s="2" t="n">
        <f aca="false">SUM(L412,O412,R412,U412,X412,AA412)</f>
        <v>444</v>
      </c>
      <c r="AE412" s="16" t="n">
        <f aca="false">AD412/6</f>
        <v>74</v>
      </c>
      <c r="AF412" s="2" t="str">
        <f aca="false">IF(SUM(COUNTIF(M412,"RA"),COUNTIF(P412,"RA"),COUNTIF(S412,"RA"),COUNTIF(V412,"RA"),COUNTIF(Y412,"RA"),COUNTIF(AB412,"RA"))&gt;0,"FAIL","PASS")</f>
        <v>PASS</v>
      </c>
    </row>
    <row r="413" customFormat="false" ht="15" hidden="false" customHeight="false" outlineLevel="0" collapsed="false">
      <c r="A413" s="2" t="n">
        <v>412</v>
      </c>
      <c r="B413" s="3" t="s">
        <v>2402</v>
      </c>
      <c r="C413" s="2" t="s">
        <v>841</v>
      </c>
      <c r="D413" s="2" t="s">
        <v>2403</v>
      </c>
      <c r="E413" s="2" t="s">
        <v>57</v>
      </c>
      <c r="F413" s="2" t="s">
        <v>36</v>
      </c>
      <c r="G413" s="2" t="s">
        <v>42</v>
      </c>
      <c r="H413" s="2" t="s">
        <v>2404</v>
      </c>
      <c r="I413" s="3" t="s">
        <v>2272</v>
      </c>
      <c r="J413" s="2" t="s">
        <v>2405</v>
      </c>
      <c r="K413" s="2" t="s">
        <v>2406</v>
      </c>
      <c r="L413" s="4" t="n">
        <v>97</v>
      </c>
      <c r="M413" s="4" t="s">
        <v>54</v>
      </c>
      <c r="N413" s="5" t="n">
        <v>97</v>
      </c>
      <c r="O413" s="6" t="n">
        <v>89</v>
      </c>
      <c r="P413" s="6" t="s">
        <v>42</v>
      </c>
      <c r="Q413" s="7" t="n">
        <v>89</v>
      </c>
      <c r="R413" s="8" t="n">
        <v>86</v>
      </c>
      <c r="S413" s="8" t="s">
        <v>42</v>
      </c>
      <c r="T413" s="9" t="n">
        <v>86</v>
      </c>
      <c r="U413" s="10" t="n">
        <v>65</v>
      </c>
      <c r="V413" s="10" t="s">
        <v>44</v>
      </c>
      <c r="W413" s="11" t="n">
        <v>65</v>
      </c>
      <c r="X413" s="12" t="n">
        <v>73</v>
      </c>
      <c r="Y413" s="12" t="s">
        <v>43</v>
      </c>
      <c r="Z413" s="13" t="n">
        <v>73</v>
      </c>
      <c r="AA413" s="14" t="n">
        <v>62</v>
      </c>
      <c r="AB413" s="14" t="s">
        <v>44</v>
      </c>
      <c r="AC413" s="15" t="n">
        <v>62</v>
      </c>
      <c r="AD413" s="2" t="n">
        <f aca="false">SUM(L413,O413,R413,U413,X413,AA413)</f>
        <v>472</v>
      </c>
      <c r="AE413" s="16" t="n">
        <f aca="false">AD413/6</f>
        <v>78.6666666666667</v>
      </c>
      <c r="AF413" s="2" t="str">
        <f aca="false">IF(SUM(COUNTIF(M413,"RA"),COUNTIF(P413,"RA"),COUNTIF(S413,"RA"),COUNTIF(V413,"RA"),COUNTIF(Y413,"RA"),COUNTIF(AB413,"RA"))&gt;0,"FAIL","PASS")</f>
        <v>PASS</v>
      </c>
    </row>
    <row r="414" customFormat="false" ht="15" hidden="false" customHeight="false" outlineLevel="0" collapsed="false">
      <c r="A414" s="2" t="n">
        <v>413</v>
      </c>
      <c r="B414" s="3" t="s">
        <v>2407</v>
      </c>
      <c r="C414" s="2" t="s">
        <v>841</v>
      </c>
      <c r="D414" s="2" t="s">
        <v>2408</v>
      </c>
      <c r="E414" s="2" t="s">
        <v>35</v>
      </c>
      <c r="F414" s="2" t="s">
        <v>36</v>
      </c>
      <c r="G414" s="2" t="s">
        <v>48</v>
      </c>
      <c r="H414" s="2" t="s">
        <v>2409</v>
      </c>
      <c r="I414" s="3" t="s">
        <v>2410</v>
      </c>
      <c r="J414" s="2" t="s">
        <v>2411</v>
      </c>
      <c r="K414" s="2" t="s">
        <v>2412</v>
      </c>
      <c r="L414" s="4" t="n">
        <v>98</v>
      </c>
      <c r="M414" s="4" t="s">
        <v>54</v>
      </c>
      <c r="N414" s="5" t="n">
        <v>98</v>
      </c>
      <c r="O414" s="6" t="n">
        <v>74</v>
      </c>
      <c r="P414" s="6" t="s">
        <v>43</v>
      </c>
      <c r="Q414" s="7" t="n">
        <v>74</v>
      </c>
      <c r="R414" s="8" t="n">
        <v>96</v>
      </c>
      <c r="S414" s="8" t="s">
        <v>54</v>
      </c>
      <c r="T414" s="9" t="n">
        <v>96</v>
      </c>
      <c r="U414" s="10" t="n">
        <v>92</v>
      </c>
      <c r="V414" s="10" t="s">
        <v>54</v>
      </c>
      <c r="W414" s="11" t="n">
        <v>92</v>
      </c>
      <c r="X414" s="12" t="n">
        <v>46</v>
      </c>
      <c r="Y414" s="12" t="s">
        <v>45</v>
      </c>
      <c r="Z414" s="13" t="n">
        <v>46</v>
      </c>
      <c r="AA414" s="14" t="n">
        <v>90</v>
      </c>
      <c r="AB414" s="14" t="s">
        <v>54</v>
      </c>
      <c r="AC414" s="15" t="n">
        <v>90</v>
      </c>
      <c r="AD414" s="2" t="n">
        <f aca="false">SUM(L414,O414,R414,U414,X414,AA414)</f>
        <v>496</v>
      </c>
      <c r="AE414" s="16" t="n">
        <f aca="false">AD414/6</f>
        <v>82.6666666666667</v>
      </c>
      <c r="AF414" s="2" t="str">
        <f aca="false">IF(SUM(COUNTIF(M414,"RA"),COUNTIF(P414,"RA"),COUNTIF(S414,"RA"),COUNTIF(V414,"RA"),COUNTIF(Y414,"RA"),COUNTIF(AB414,"RA"))&gt;0,"FAIL","PASS")</f>
        <v>FAIL</v>
      </c>
    </row>
    <row r="415" customFormat="false" ht="15" hidden="false" customHeight="false" outlineLevel="0" collapsed="false">
      <c r="A415" s="2" t="n">
        <v>414</v>
      </c>
      <c r="B415" s="3" t="s">
        <v>2413</v>
      </c>
      <c r="C415" s="2" t="s">
        <v>770</v>
      </c>
      <c r="D415" s="2" t="s">
        <v>2414</v>
      </c>
      <c r="E415" s="2" t="s">
        <v>35</v>
      </c>
      <c r="F415" s="2" t="s">
        <v>36</v>
      </c>
      <c r="G415" s="2" t="s">
        <v>91</v>
      </c>
      <c r="H415" s="2" t="s">
        <v>2415</v>
      </c>
      <c r="I415" s="3" t="s">
        <v>2416</v>
      </c>
      <c r="J415" s="2" t="s">
        <v>2417</v>
      </c>
      <c r="K415" s="2" t="s">
        <v>2418</v>
      </c>
      <c r="L415" s="4" t="n">
        <v>99</v>
      </c>
      <c r="M415" s="4" t="s">
        <v>54</v>
      </c>
      <c r="N415" s="5" t="n">
        <v>99</v>
      </c>
      <c r="O415" s="6" t="n">
        <v>71</v>
      </c>
      <c r="P415" s="6" t="s">
        <v>43</v>
      </c>
      <c r="Q415" s="7" t="n">
        <v>71</v>
      </c>
      <c r="R415" s="8" t="n">
        <v>61</v>
      </c>
      <c r="S415" s="8" t="s">
        <v>44</v>
      </c>
      <c r="T415" s="9" t="n">
        <v>61</v>
      </c>
      <c r="U415" s="10" t="n">
        <v>41</v>
      </c>
      <c r="V415" s="10" t="s">
        <v>45</v>
      </c>
      <c r="W415" s="11" t="n">
        <v>41</v>
      </c>
      <c r="X415" s="12" t="n">
        <v>88</v>
      </c>
      <c r="Y415" s="12" t="s">
        <v>42</v>
      </c>
      <c r="Z415" s="13" t="n">
        <v>88</v>
      </c>
      <c r="AA415" s="14" t="n">
        <v>66</v>
      </c>
      <c r="AB415" s="14" t="s">
        <v>44</v>
      </c>
      <c r="AC415" s="15" t="n">
        <v>66</v>
      </c>
      <c r="AD415" s="2" t="n">
        <f aca="false">SUM(L415,O415,R415,U415,X415,AA415)</f>
        <v>426</v>
      </c>
      <c r="AE415" s="16" t="n">
        <f aca="false">AD415/6</f>
        <v>71</v>
      </c>
      <c r="AF415" s="2" t="str">
        <f aca="false">IF(SUM(COUNTIF(M415,"RA"),COUNTIF(P415,"RA"),COUNTIF(S415,"RA"),COUNTIF(V415,"RA"),COUNTIF(Y415,"RA"),COUNTIF(AB415,"RA"))&gt;0,"FAIL","PASS")</f>
        <v>FAIL</v>
      </c>
    </row>
    <row r="416" customFormat="false" ht="15" hidden="false" customHeight="false" outlineLevel="0" collapsed="false">
      <c r="A416" s="2" t="n">
        <v>415</v>
      </c>
      <c r="B416" s="3" t="s">
        <v>2419</v>
      </c>
      <c r="C416" s="2" t="s">
        <v>757</v>
      </c>
      <c r="D416" s="2" t="s">
        <v>2420</v>
      </c>
      <c r="E416" s="2" t="s">
        <v>57</v>
      </c>
      <c r="F416" s="2" t="s">
        <v>36</v>
      </c>
      <c r="G416" s="2" t="s">
        <v>91</v>
      </c>
      <c r="H416" s="2" t="s">
        <v>960</v>
      </c>
      <c r="I416" s="3" t="s">
        <v>2421</v>
      </c>
      <c r="J416" s="2" t="s">
        <v>2422</v>
      </c>
      <c r="K416" s="2" t="s">
        <v>2423</v>
      </c>
      <c r="L416" s="4" t="n">
        <v>66</v>
      </c>
      <c r="M416" s="4" t="s">
        <v>44</v>
      </c>
      <c r="N416" s="5" t="n">
        <v>66</v>
      </c>
      <c r="O416" s="6" t="n">
        <v>81</v>
      </c>
      <c r="P416" s="6" t="s">
        <v>42</v>
      </c>
      <c r="Q416" s="7" t="n">
        <v>81</v>
      </c>
      <c r="R416" s="8" t="n">
        <v>53</v>
      </c>
      <c r="S416" s="8" t="s">
        <v>53</v>
      </c>
      <c r="T416" s="9" t="n">
        <v>53</v>
      </c>
      <c r="U416" s="10" t="n">
        <v>64</v>
      </c>
      <c r="V416" s="10" t="s">
        <v>44</v>
      </c>
      <c r="W416" s="11" t="n">
        <v>64</v>
      </c>
      <c r="X416" s="12" t="n">
        <v>77</v>
      </c>
      <c r="Y416" s="12" t="s">
        <v>43</v>
      </c>
      <c r="Z416" s="13" t="n">
        <v>77</v>
      </c>
      <c r="AA416" s="14" t="n">
        <v>92</v>
      </c>
      <c r="AB416" s="14" t="s">
        <v>54</v>
      </c>
      <c r="AC416" s="15" t="n">
        <v>92</v>
      </c>
      <c r="AD416" s="2" t="n">
        <f aca="false">SUM(L416,O416,R416,U416,X416,AA416)</f>
        <v>433</v>
      </c>
      <c r="AE416" s="16" t="n">
        <f aca="false">AD416/6</f>
        <v>72.1666666666667</v>
      </c>
      <c r="AF416" s="2" t="str">
        <f aca="false">IF(SUM(COUNTIF(M416,"RA"),COUNTIF(P416,"RA"),COUNTIF(S416,"RA"),COUNTIF(V416,"RA"),COUNTIF(Y416,"RA"),COUNTIF(AB416,"RA"))&gt;0,"FAIL","PASS")</f>
        <v>PASS</v>
      </c>
    </row>
    <row r="417" customFormat="false" ht="15" hidden="false" customHeight="false" outlineLevel="0" collapsed="false">
      <c r="A417" s="2" t="n">
        <v>416</v>
      </c>
      <c r="B417" s="3" t="s">
        <v>2424</v>
      </c>
      <c r="C417" s="2" t="s">
        <v>757</v>
      </c>
      <c r="D417" s="2" t="s">
        <v>2425</v>
      </c>
      <c r="E417" s="2" t="s">
        <v>57</v>
      </c>
      <c r="F417" s="2" t="s">
        <v>36</v>
      </c>
      <c r="G417" s="2" t="s">
        <v>37</v>
      </c>
      <c r="H417" s="2" t="s">
        <v>1277</v>
      </c>
      <c r="I417" s="3" t="s">
        <v>2426</v>
      </c>
      <c r="J417" s="2" t="s">
        <v>2427</v>
      </c>
      <c r="K417" s="2" t="s">
        <v>2428</v>
      </c>
      <c r="L417" s="4" t="n">
        <v>55</v>
      </c>
      <c r="M417" s="4" t="s">
        <v>53</v>
      </c>
      <c r="N417" s="5" t="n">
        <v>55</v>
      </c>
      <c r="O417" s="6" t="n">
        <v>63</v>
      </c>
      <c r="P417" s="6" t="s">
        <v>44</v>
      </c>
      <c r="Q417" s="7" t="n">
        <v>63</v>
      </c>
      <c r="R417" s="8" t="n">
        <v>64</v>
      </c>
      <c r="S417" s="8" t="s">
        <v>44</v>
      </c>
      <c r="T417" s="9" t="n">
        <v>64</v>
      </c>
      <c r="U417" s="10" t="n">
        <v>76</v>
      </c>
      <c r="V417" s="10" t="s">
        <v>43</v>
      </c>
      <c r="W417" s="11" t="n">
        <v>76</v>
      </c>
      <c r="X417" s="12" t="n">
        <v>86</v>
      </c>
      <c r="Y417" s="12" t="s">
        <v>42</v>
      </c>
      <c r="Z417" s="13" t="n">
        <v>86</v>
      </c>
      <c r="AA417" s="14" t="n">
        <v>94</v>
      </c>
      <c r="AB417" s="14" t="s">
        <v>54</v>
      </c>
      <c r="AC417" s="15" t="n">
        <v>94</v>
      </c>
      <c r="AD417" s="2" t="n">
        <f aca="false">SUM(L417,O417,R417,U417,X417,AA417)</f>
        <v>438</v>
      </c>
      <c r="AE417" s="16" t="n">
        <f aca="false">AD417/6</f>
        <v>73</v>
      </c>
      <c r="AF417" s="2" t="str">
        <f aca="false">IF(SUM(COUNTIF(M417,"RA"),COUNTIF(P417,"RA"),COUNTIF(S417,"RA"),COUNTIF(V417,"RA"),COUNTIF(Y417,"RA"),COUNTIF(AB417,"RA"))&gt;0,"FAIL","PASS")</f>
        <v>PASS</v>
      </c>
    </row>
    <row r="418" customFormat="false" ht="15" hidden="false" customHeight="false" outlineLevel="0" collapsed="false">
      <c r="A418" s="2" t="n">
        <v>417</v>
      </c>
      <c r="B418" s="3" t="s">
        <v>2429</v>
      </c>
      <c r="C418" s="2" t="s">
        <v>859</v>
      </c>
      <c r="D418" s="2" t="s">
        <v>2430</v>
      </c>
      <c r="E418" s="2" t="s">
        <v>35</v>
      </c>
      <c r="F418" s="2" t="s">
        <v>36</v>
      </c>
      <c r="G418" s="2" t="s">
        <v>42</v>
      </c>
      <c r="H418" s="2" t="s">
        <v>1454</v>
      </c>
      <c r="I418" s="3" t="s">
        <v>1540</v>
      </c>
      <c r="J418" s="2" t="s">
        <v>2431</v>
      </c>
      <c r="K418" s="2" t="s">
        <v>2432</v>
      </c>
      <c r="L418" s="4" t="n">
        <v>74</v>
      </c>
      <c r="M418" s="4" t="s">
        <v>43</v>
      </c>
      <c r="N418" s="5" t="n">
        <v>74</v>
      </c>
      <c r="O418" s="6" t="n">
        <v>50</v>
      </c>
      <c r="P418" s="6" t="s">
        <v>53</v>
      </c>
      <c r="Q418" s="7" t="n">
        <v>50</v>
      </c>
      <c r="R418" s="8" t="n">
        <v>74</v>
      </c>
      <c r="S418" s="8" t="s">
        <v>43</v>
      </c>
      <c r="T418" s="9" t="n">
        <v>74</v>
      </c>
      <c r="U418" s="10" t="n">
        <v>86</v>
      </c>
      <c r="V418" s="10" t="s">
        <v>42</v>
      </c>
      <c r="W418" s="11" t="n">
        <v>86</v>
      </c>
      <c r="X418" s="12" t="n">
        <v>72</v>
      </c>
      <c r="Y418" s="12" t="s">
        <v>43</v>
      </c>
      <c r="Z418" s="13" t="n">
        <v>72</v>
      </c>
      <c r="AA418" s="14" t="n">
        <v>66</v>
      </c>
      <c r="AB418" s="14" t="s">
        <v>44</v>
      </c>
      <c r="AC418" s="15" t="n">
        <v>66</v>
      </c>
      <c r="AD418" s="2" t="n">
        <f aca="false">SUM(L418,O418,R418,U418,X418,AA418)</f>
        <v>422</v>
      </c>
      <c r="AE418" s="16" t="n">
        <f aca="false">AD418/6</f>
        <v>70.3333333333333</v>
      </c>
      <c r="AF418" s="2" t="str">
        <f aca="false">IF(SUM(COUNTIF(M418,"RA"),COUNTIF(P418,"RA"),COUNTIF(S418,"RA"),COUNTIF(V418,"RA"),COUNTIF(Y418,"RA"),COUNTIF(AB418,"RA"))&gt;0,"FAIL","PASS")</f>
        <v>PASS</v>
      </c>
    </row>
    <row r="419" customFormat="false" ht="15" hidden="false" customHeight="false" outlineLevel="0" collapsed="false">
      <c r="A419" s="2" t="n">
        <v>418</v>
      </c>
      <c r="B419" s="3" t="s">
        <v>2433</v>
      </c>
      <c r="C419" s="2" t="s">
        <v>790</v>
      </c>
      <c r="D419" s="2" t="s">
        <v>2434</v>
      </c>
      <c r="E419" s="2" t="s">
        <v>57</v>
      </c>
      <c r="F419" s="2" t="s">
        <v>36</v>
      </c>
      <c r="G419" s="2" t="s">
        <v>42</v>
      </c>
      <c r="H419" s="2" t="s">
        <v>2435</v>
      </c>
      <c r="I419" s="3" t="s">
        <v>573</v>
      </c>
      <c r="J419" s="2" t="s">
        <v>2436</v>
      </c>
      <c r="K419" s="2" t="s">
        <v>2437</v>
      </c>
      <c r="L419" s="4" t="n">
        <v>77</v>
      </c>
      <c r="M419" s="4" t="s">
        <v>43</v>
      </c>
      <c r="N419" s="5" t="n">
        <v>77</v>
      </c>
      <c r="O419" s="6" t="n">
        <v>71</v>
      </c>
      <c r="P419" s="6" t="s">
        <v>43</v>
      </c>
      <c r="Q419" s="7" t="n">
        <v>71</v>
      </c>
      <c r="R419" s="8" t="n">
        <v>56</v>
      </c>
      <c r="S419" s="8" t="s">
        <v>53</v>
      </c>
      <c r="T419" s="9" t="n">
        <v>56</v>
      </c>
      <c r="U419" s="10" t="n">
        <v>89</v>
      </c>
      <c r="V419" s="10" t="s">
        <v>42</v>
      </c>
      <c r="W419" s="11" t="n">
        <v>89</v>
      </c>
      <c r="X419" s="12" t="n">
        <v>98</v>
      </c>
      <c r="Y419" s="12" t="s">
        <v>54</v>
      </c>
      <c r="Z419" s="13" t="n">
        <v>98</v>
      </c>
      <c r="AA419" s="14" t="n">
        <v>60</v>
      </c>
      <c r="AB419" s="14" t="s">
        <v>44</v>
      </c>
      <c r="AC419" s="15" t="n">
        <v>60</v>
      </c>
      <c r="AD419" s="2" t="n">
        <f aca="false">SUM(L419,O419,R419,U419,X419,AA419)</f>
        <v>451</v>
      </c>
      <c r="AE419" s="16" t="n">
        <f aca="false">AD419/6</f>
        <v>75.1666666666667</v>
      </c>
      <c r="AF419" s="2" t="str">
        <f aca="false">IF(SUM(COUNTIF(M419,"RA"),COUNTIF(P419,"RA"),COUNTIF(S419,"RA"),COUNTIF(V419,"RA"),COUNTIF(Y419,"RA"),COUNTIF(AB419,"RA"))&gt;0,"FAIL","PASS")</f>
        <v>PASS</v>
      </c>
    </row>
    <row r="420" customFormat="false" ht="15" hidden="false" customHeight="false" outlineLevel="0" collapsed="false">
      <c r="A420" s="2" t="n">
        <v>419</v>
      </c>
      <c r="B420" s="3" t="s">
        <v>2438</v>
      </c>
      <c r="C420" s="2" t="s">
        <v>790</v>
      </c>
      <c r="D420" s="2" t="s">
        <v>2439</v>
      </c>
      <c r="E420" s="2" t="s">
        <v>35</v>
      </c>
      <c r="F420" s="2" t="s">
        <v>36</v>
      </c>
      <c r="G420" s="2" t="s">
        <v>37</v>
      </c>
      <c r="H420" s="2" t="s">
        <v>2440</v>
      </c>
      <c r="I420" s="3" t="s">
        <v>1272</v>
      </c>
      <c r="J420" s="2" t="s">
        <v>2441</v>
      </c>
      <c r="K420" s="2" t="s">
        <v>2442</v>
      </c>
      <c r="L420" s="4" t="n">
        <v>94</v>
      </c>
      <c r="M420" s="4" t="s">
        <v>54</v>
      </c>
      <c r="N420" s="5" t="n">
        <v>94</v>
      </c>
      <c r="O420" s="6" t="n">
        <v>81</v>
      </c>
      <c r="P420" s="6" t="s">
        <v>42</v>
      </c>
      <c r="Q420" s="7" t="n">
        <v>81</v>
      </c>
      <c r="R420" s="8" t="n">
        <v>73</v>
      </c>
      <c r="S420" s="8" t="s">
        <v>43</v>
      </c>
      <c r="T420" s="9" t="n">
        <v>73</v>
      </c>
      <c r="U420" s="10" t="n">
        <v>52</v>
      </c>
      <c r="V420" s="10" t="s">
        <v>53</v>
      </c>
      <c r="W420" s="11" t="n">
        <v>52</v>
      </c>
      <c r="X420" s="12" t="n">
        <v>61</v>
      </c>
      <c r="Y420" s="12" t="s">
        <v>44</v>
      </c>
      <c r="Z420" s="13" t="n">
        <v>61</v>
      </c>
      <c r="AA420" s="14" t="n">
        <v>74</v>
      </c>
      <c r="AB420" s="14" t="s">
        <v>43</v>
      </c>
      <c r="AC420" s="15" t="n">
        <v>74</v>
      </c>
      <c r="AD420" s="2" t="n">
        <f aca="false">SUM(L420,O420,R420,U420,X420,AA420)</f>
        <v>435</v>
      </c>
      <c r="AE420" s="16" t="n">
        <f aca="false">AD420/6</f>
        <v>72.5</v>
      </c>
      <c r="AF420" s="2" t="str">
        <f aca="false">IF(SUM(COUNTIF(M420,"RA"),COUNTIF(P420,"RA"),COUNTIF(S420,"RA"),COUNTIF(V420,"RA"),COUNTIF(Y420,"RA"),COUNTIF(AB420,"RA"))&gt;0,"FAIL","PASS")</f>
        <v>PASS</v>
      </c>
    </row>
    <row r="421" customFormat="false" ht="15" hidden="false" customHeight="false" outlineLevel="0" collapsed="false">
      <c r="A421" s="2" t="n">
        <v>420</v>
      </c>
      <c r="B421" s="3" t="s">
        <v>2443</v>
      </c>
      <c r="C421" s="2" t="s">
        <v>859</v>
      </c>
      <c r="D421" s="2" t="s">
        <v>2444</v>
      </c>
      <c r="E421" s="2" t="s">
        <v>57</v>
      </c>
      <c r="F421" s="2" t="s">
        <v>36</v>
      </c>
      <c r="G421" s="2" t="s">
        <v>48</v>
      </c>
      <c r="H421" s="2" t="s">
        <v>2445</v>
      </c>
      <c r="I421" s="3" t="s">
        <v>1180</v>
      </c>
      <c r="J421" s="2" t="s">
        <v>2446</v>
      </c>
      <c r="K421" s="2" t="s">
        <v>2447</v>
      </c>
      <c r="L421" s="4" t="n">
        <v>92</v>
      </c>
      <c r="M421" s="4" t="s">
        <v>54</v>
      </c>
      <c r="N421" s="5" t="n">
        <v>92</v>
      </c>
      <c r="O421" s="6" t="n">
        <v>49</v>
      </c>
      <c r="P421" s="6" t="s">
        <v>45</v>
      </c>
      <c r="Q421" s="7" t="n">
        <v>49</v>
      </c>
      <c r="R421" s="8" t="n">
        <v>85</v>
      </c>
      <c r="S421" s="8" t="s">
        <v>42</v>
      </c>
      <c r="T421" s="9" t="n">
        <v>85</v>
      </c>
      <c r="U421" s="10" t="n">
        <v>100</v>
      </c>
      <c r="V421" s="10" t="s">
        <v>54</v>
      </c>
      <c r="W421" s="11" t="n">
        <v>100</v>
      </c>
      <c r="X421" s="12" t="n">
        <v>68</v>
      </c>
      <c r="Y421" s="12" t="s">
        <v>44</v>
      </c>
      <c r="Z421" s="13" t="n">
        <v>68</v>
      </c>
      <c r="AA421" s="14" t="n">
        <v>60</v>
      </c>
      <c r="AB421" s="14" t="s">
        <v>44</v>
      </c>
      <c r="AC421" s="15" t="n">
        <v>60</v>
      </c>
      <c r="AD421" s="2" t="n">
        <f aca="false">SUM(L421,O421,R421,U421,X421,AA421)</f>
        <v>454</v>
      </c>
      <c r="AE421" s="16" t="n">
        <f aca="false">AD421/6</f>
        <v>75.6666666666667</v>
      </c>
      <c r="AF421" s="2" t="str">
        <f aca="false">IF(SUM(COUNTIF(M421,"RA"),COUNTIF(P421,"RA"),COUNTIF(S421,"RA"),COUNTIF(V421,"RA"),COUNTIF(Y421,"RA"),COUNTIF(AB421,"RA"))&gt;0,"FAIL","PASS")</f>
        <v>FAIL</v>
      </c>
    </row>
    <row r="422" customFormat="false" ht="15" hidden="false" customHeight="false" outlineLevel="0" collapsed="false">
      <c r="A422" s="2" t="n">
        <v>421</v>
      </c>
      <c r="B422" s="3" t="s">
        <v>2448</v>
      </c>
      <c r="C422" s="2" t="s">
        <v>803</v>
      </c>
      <c r="D422" s="2" t="s">
        <v>2449</v>
      </c>
      <c r="E422" s="2" t="s">
        <v>57</v>
      </c>
      <c r="F422" s="2" t="s">
        <v>36</v>
      </c>
      <c r="G422" s="2" t="s">
        <v>78</v>
      </c>
      <c r="H422" s="2" t="s">
        <v>2450</v>
      </c>
      <c r="I422" s="3" t="s">
        <v>672</v>
      </c>
      <c r="J422" s="2" t="s">
        <v>2451</v>
      </c>
      <c r="K422" s="2" t="s">
        <v>2452</v>
      </c>
      <c r="L422" s="4" t="n">
        <v>75</v>
      </c>
      <c r="M422" s="4" t="s">
        <v>43</v>
      </c>
      <c r="N422" s="5" t="n">
        <v>75</v>
      </c>
      <c r="O422" s="6" t="n">
        <v>78</v>
      </c>
      <c r="P422" s="6" t="s">
        <v>43</v>
      </c>
      <c r="Q422" s="7" t="n">
        <v>78</v>
      </c>
      <c r="R422" s="8" t="n">
        <v>80</v>
      </c>
      <c r="S422" s="8" t="s">
        <v>42</v>
      </c>
      <c r="T422" s="9" t="n">
        <v>80</v>
      </c>
      <c r="U422" s="10" t="n">
        <v>44</v>
      </c>
      <c r="V422" s="10" t="s">
        <v>45</v>
      </c>
      <c r="W422" s="11" t="n">
        <v>44</v>
      </c>
      <c r="X422" s="12" t="n">
        <v>65</v>
      </c>
      <c r="Y422" s="12" t="s">
        <v>44</v>
      </c>
      <c r="Z422" s="13" t="n">
        <v>65</v>
      </c>
      <c r="AA422" s="14" t="n">
        <v>84</v>
      </c>
      <c r="AB422" s="14" t="s">
        <v>42</v>
      </c>
      <c r="AC422" s="15" t="n">
        <v>84</v>
      </c>
      <c r="AD422" s="2" t="n">
        <f aca="false">SUM(L422,O422,R422,U422,X422,AA422)</f>
        <v>426</v>
      </c>
      <c r="AE422" s="16" t="n">
        <f aca="false">AD422/6</f>
        <v>71</v>
      </c>
      <c r="AF422" s="2" t="str">
        <f aca="false">IF(SUM(COUNTIF(M422,"RA"),COUNTIF(P422,"RA"),COUNTIF(S422,"RA"),COUNTIF(V422,"RA"),COUNTIF(Y422,"RA"),COUNTIF(AB422,"RA"))&gt;0,"FAIL","PASS")</f>
        <v>FAIL</v>
      </c>
    </row>
    <row r="423" customFormat="false" ht="15" hidden="false" customHeight="false" outlineLevel="0" collapsed="false">
      <c r="A423" s="2" t="n">
        <v>422</v>
      </c>
      <c r="B423" s="3" t="s">
        <v>2453</v>
      </c>
      <c r="C423" s="2" t="s">
        <v>783</v>
      </c>
      <c r="D423" s="2" t="s">
        <v>2454</v>
      </c>
      <c r="E423" s="2" t="s">
        <v>35</v>
      </c>
      <c r="F423" s="2" t="s">
        <v>36</v>
      </c>
      <c r="G423" s="2" t="s">
        <v>37</v>
      </c>
      <c r="H423" s="2" t="s">
        <v>2455</v>
      </c>
      <c r="I423" s="3" t="s">
        <v>2456</v>
      </c>
      <c r="J423" s="2" t="s">
        <v>2457</v>
      </c>
      <c r="K423" s="2" t="s">
        <v>2458</v>
      </c>
      <c r="L423" s="4" t="n">
        <v>77</v>
      </c>
      <c r="M423" s="4" t="s">
        <v>43</v>
      </c>
      <c r="N423" s="5" t="n">
        <v>77</v>
      </c>
      <c r="O423" s="6" t="n">
        <v>58</v>
      </c>
      <c r="P423" s="6" t="s">
        <v>53</v>
      </c>
      <c r="Q423" s="7" t="n">
        <v>58</v>
      </c>
      <c r="R423" s="8" t="n">
        <v>60</v>
      </c>
      <c r="S423" s="8" t="s">
        <v>44</v>
      </c>
      <c r="T423" s="9" t="n">
        <v>60</v>
      </c>
      <c r="U423" s="10" t="n">
        <v>99</v>
      </c>
      <c r="V423" s="10" t="s">
        <v>54</v>
      </c>
      <c r="W423" s="11" t="n">
        <v>99</v>
      </c>
      <c r="X423" s="12" t="n">
        <v>81</v>
      </c>
      <c r="Y423" s="12" t="s">
        <v>42</v>
      </c>
      <c r="Z423" s="13" t="n">
        <v>81</v>
      </c>
      <c r="AA423" s="14" t="n">
        <v>75</v>
      </c>
      <c r="AB423" s="14" t="s">
        <v>43</v>
      </c>
      <c r="AC423" s="15" t="n">
        <v>75</v>
      </c>
      <c r="AD423" s="2" t="n">
        <f aca="false">SUM(L423,O423,R423,U423,X423,AA423)</f>
        <v>450</v>
      </c>
      <c r="AE423" s="16" t="n">
        <f aca="false">AD423/6</f>
        <v>75</v>
      </c>
      <c r="AF423" s="2" t="str">
        <f aca="false">IF(SUM(COUNTIF(M423,"RA"),COUNTIF(P423,"RA"),COUNTIF(S423,"RA"),COUNTIF(V423,"RA"),COUNTIF(Y423,"RA"),COUNTIF(AB423,"RA"))&gt;0,"FAIL","PASS")</f>
        <v>PASS</v>
      </c>
    </row>
    <row r="424" customFormat="false" ht="15" hidden="false" customHeight="false" outlineLevel="0" collapsed="false">
      <c r="A424" s="2" t="n">
        <v>423</v>
      </c>
      <c r="B424" s="3" t="s">
        <v>2459</v>
      </c>
      <c r="C424" s="2" t="s">
        <v>783</v>
      </c>
      <c r="D424" s="2" t="s">
        <v>2460</v>
      </c>
      <c r="E424" s="2" t="s">
        <v>57</v>
      </c>
      <c r="F424" s="2" t="s">
        <v>36</v>
      </c>
      <c r="G424" s="2" t="s">
        <v>42</v>
      </c>
      <c r="H424" s="2" t="s">
        <v>2461</v>
      </c>
      <c r="I424" s="3" t="s">
        <v>337</v>
      </c>
      <c r="J424" s="2" t="s">
        <v>2462</v>
      </c>
      <c r="K424" s="2" t="s">
        <v>2463</v>
      </c>
      <c r="L424" s="4" t="n">
        <v>96</v>
      </c>
      <c r="M424" s="4" t="s">
        <v>54</v>
      </c>
      <c r="N424" s="5" t="n">
        <v>96</v>
      </c>
      <c r="O424" s="6" t="n">
        <v>66</v>
      </c>
      <c r="P424" s="6" t="s">
        <v>44</v>
      </c>
      <c r="Q424" s="7" t="n">
        <v>66</v>
      </c>
      <c r="R424" s="8" t="n">
        <v>68</v>
      </c>
      <c r="S424" s="8" t="s">
        <v>44</v>
      </c>
      <c r="T424" s="9" t="n">
        <v>68</v>
      </c>
      <c r="U424" s="10" t="n">
        <v>73</v>
      </c>
      <c r="V424" s="10" t="s">
        <v>43</v>
      </c>
      <c r="W424" s="11" t="n">
        <v>73</v>
      </c>
      <c r="X424" s="12" t="n">
        <v>66</v>
      </c>
      <c r="Y424" s="12" t="s">
        <v>44</v>
      </c>
      <c r="Z424" s="13" t="n">
        <v>66</v>
      </c>
      <c r="AA424" s="14" t="n">
        <v>82</v>
      </c>
      <c r="AB424" s="14" t="s">
        <v>42</v>
      </c>
      <c r="AC424" s="15" t="n">
        <v>82</v>
      </c>
      <c r="AD424" s="2" t="n">
        <f aca="false">SUM(L424,O424,R424,U424,X424,AA424)</f>
        <v>451</v>
      </c>
      <c r="AE424" s="16" t="n">
        <f aca="false">AD424/6</f>
        <v>75.1666666666667</v>
      </c>
      <c r="AF424" s="2" t="str">
        <f aca="false">IF(SUM(COUNTIF(M424,"RA"),COUNTIF(P424,"RA"),COUNTIF(S424,"RA"),COUNTIF(V424,"RA"),COUNTIF(Y424,"RA"),COUNTIF(AB424,"RA"))&gt;0,"FAIL","PASS")</f>
        <v>PASS</v>
      </c>
    </row>
    <row r="425" customFormat="false" ht="15" hidden="false" customHeight="false" outlineLevel="0" collapsed="false">
      <c r="A425" s="2" t="n">
        <v>424</v>
      </c>
      <c r="B425" s="3" t="s">
        <v>2464</v>
      </c>
      <c r="C425" s="2" t="s">
        <v>757</v>
      </c>
      <c r="D425" s="2" t="s">
        <v>2465</v>
      </c>
      <c r="E425" s="2" t="s">
        <v>35</v>
      </c>
      <c r="F425" s="2" t="s">
        <v>36</v>
      </c>
      <c r="G425" s="2" t="s">
        <v>37</v>
      </c>
      <c r="H425" s="2" t="s">
        <v>739</v>
      </c>
      <c r="I425" s="3" t="s">
        <v>2466</v>
      </c>
      <c r="J425" s="2" t="s">
        <v>2467</v>
      </c>
      <c r="K425" s="2" t="s">
        <v>2468</v>
      </c>
      <c r="L425" s="4" t="n">
        <v>66</v>
      </c>
      <c r="M425" s="4" t="s">
        <v>44</v>
      </c>
      <c r="N425" s="5" t="n">
        <v>66</v>
      </c>
      <c r="O425" s="6" t="n">
        <v>93</v>
      </c>
      <c r="P425" s="6" t="s">
        <v>54</v>
      </c>
      <c r="Q425" s="7" t="n">
        <v>93</v>
      </c>
      <c r="R425" s="8" t="n">
        <v>79</v>
      </c>
      <c r="S425" s="8" t="s">
        <v>43</v>
      </c>
      <c r="T425" s="9" t="n">
        <v>79</v>
      </c>
      <c r="U425" s="10" t="n">
        <v>67</v>
      </c>
      <c r="V425" s="10" t="s">
        <v>44</v>
      </c>
      <c r="W425" s="11" t="n">
        <v>67</v>
      </c>
      <c r="X425" s="12" t="n">
        <v>97</v>
      </c>
      <c r="Y425" s="12" t="s">
        <v>54</v>
      </c>
      <c r="Z425" s="13" t="n">
        <v>97</v>
      </c>
      <c r="AA425" s="14" t="n">
        <v>49</v>
      </c>
      <c r="AB425" s="14" t="s">
        <v>45</v>
      </c>
      <c r="AC425" s="15" t="n">
        <v>49</v>
      </c>
      <c r="AD425" s="2" t="n">
        <f aca="false">SUM(L425,O425,R425,U425,X425,AA425)</f>
        <v>451</v>
      </c>
      <c r="AE425" s="16" t="n">
        <f aca="false">AD425/6</f>
        <v>75.1666666666667</v>
      </c>
      <c r="AF425" s="2" t="str">
        <f aca="false">IF(SUM(COUNTIF(M425,"RA"),COUNTIF(P425,"RA"),COUNTIF(S425,"RA"),COUNTIF(V425,"RA"),COUNTIF(Y425,"RA"),COUNTIF(AB425,"RA"))&gt;0,"FAIL","PASS")</f>
        <v>FAIL</v>
      </c>
    </row>
    <row r="426" customFormat="false" ht="15" hidden="false" customHeight="false" outlineLevel="0" collapsed="false">
      <c r="A426" s="2" t="n">
        <v>425</v>
      </c>
      <c r="B426" s="3" t="s">
        <v>2469</v>
      </c>
      <c r="C426" s="2" t="s">
        <v>816</v>
      </c>
      <c r="D426" s="2" t="s">
        <v>2470</v>
      </c>
      <c r="E426" s="2" t="s">
        <v>57</v>
      </c>
      <c r="F426" s="2" t="s">
        <v>36</v>
      </c>
      <c r="G426" s="2" t="s">
        <v>64</v>
      </c>
      <c r="H426" s="2" t="s">
        <v>2471</v>
      </c>
      <c r="I426" s="3" t="s">
        <v>2472</v>
      </c>
      <c r="J426" s="2" t="s">
        <v>2473</v>
      </c>
      <c r="K426" s="2" t="s">
        <v>2474</v>
      </c>
      <c r="L426" s="4" t="n">
        <v>71</v>
      </c>
      <c r="M426" s="4" t="s">
        <v>43</v>
      </c>
      <c r="N426" s="5" t="n">
        <v>71</v>
      </c>
      <c r="O426" s="6" t="n">
        <v>78</v>
      </c>
      <c r="P426" s="6" t="s">
        <v>43</v>
      </c>
      <c r="Q426" s="7" t="n">
        <v>78</v>
      </c>
      <c r="R426" s="8" t="n">
        <v>96</v>
      </c>
      <c r="S426" s="8" t="s">
        <v>54</v>
      </c>
      <c r="T426" s="9" t="n">
        <v>96</v>
      </c>
      <c r="U426" s="10" t="n">
        <v>92</v>
      </c>
      <c r="V426" s="10" t="s">
        <v>54</v>
      </c>
      <c r="W426" s="11" t="n">
        <v>92</v>
      </c>
      <c r="X426" s="12" t="n">
        <v>65</v>
      </c>
      <c r="Y426" s="12" t="s">
        <v>44</v>
      </c>
      <c r="Z426" s="13" t="n">
        <v>65</v>
      </c>
      <c r="AA426" s="14" t="n">
        <v>69</v>
      </c>
      <c r="AB426" s="14" t="s">
        <v>44</v>
      </c>
      <c r="AC426" s="15" t="n">
        <v>69</v>
      </c>
      <c r="AD426" s="2" t="n">
        <f aca="false">SUM(L426,O426,R426,U426,X426,AA426)</f>
        <v>471</v>
      </c>
      <c r="AE426" s="16" t="n">
        <f aca="false">AD426/6</f>
        <v>78.5</v>
      </c>
      <c r="AF426" s="2" t="str">
        <f aca="false">IF(SUM(COUNTIF(M426,"RA"),COUNTIF(P426,"RA"),COUNTIF(S426,"RA"),COUNTIF(V426,"RA"),COUNTIF(Y426,"RA"),COUNTIF(AB426,"RA"))&gt;0,"FAIL","PASS")</f>
        <v>PASS</v>
      </c>
    </row>
    <row r="427" customFormat="false" ht="15" hidden="false" customHeight="false" outlineLevel="0" collapsed="false">
      <c r="A427" s="2" t="n">
        <v>426</v>
      </c>
      <c r="B427" s="3" t="s">
        <v>2475</v>
      </c>
      <c r="C427" s="2" t="s">
        <v>859</v>
      </c>
      <c r="D427" s="2" t="s">
        <v>2476</v>
      </c>
      <c r="E427" s="2" t="s">
        <v>35</v>
      </c>
      <c r="F427" s="2" t="s">
        <v>36</v>
      </c>
      <c r="G427" s="2" t="s">
        <v>91</v>
      </c>
      <c r="H427" s="2" t="s">
        <v>2017</v>
      </c>
      <c r="I427" s="3" t="s">
        <v>2477</v>
      </c>
      <c r="J427" s="2" t="s">
        <v>2478</v>
      </c>
      <c r="K427" s="2" t="s">
        <v>2479</v>
      </c>
      <c r="L427" s="4" t="n">
        <v>87</v>
      </c>
      <c r="M427" s="4" t="s">
        <v>42</v>
      </c>
      <c r="N427" s="5" t="n">
        <v>87</v>
      </c>
      <c r="O427" s="6" t="n">
        <v>75</v>
      </c>
      <c r="P427" s="6" t="s">
        <v>43</v>
      </c>
      <c r="Q427" s="7" t="n">
        <v>75</v>
      </c>
      <c r="R427" s="8" t="n">
        <v>40</v>
      </c>
      <c r="S427" s="8" t="s">
        <v>45</v>
      </c>
      <c r="T427" s="9" t="n">
        <v>40</v>
      </c>
      <c r="U427" s="10" t="n">
        <v>62</v>
      </c>
      <c r="V427" s="10" t="s">
        <v>44</v>
      </c>
      <c r="W427" s="11" t="n">
        <v>62</v>
      </c>
      <c r="X427" s="12" t="n">
        <v>83</v>
      </c>
      <c r="Y427" s="12" t="s">
        <v>42</v>
      </c>
      <c r="Z427" s="13" t="n">
        <v>83</v>
      </c>
      <c r="AA427" s="14" t="n">
        <v>62</v>
      </c>
      <c r="AB427" s="14" t="s">
        <v>44</v>
      </c>
      <c r="AC427" s="15" t="n">
        <v>62</v>
      </c>
      <c r="AD427" s="2" t="n">
        <f aca="false">SUM(L427,O427,R427,U427,X427,AA427)</f>
        <v>409</v>
      </c>
      <c r="AE427" s="16" t="n">
        <f aca="false">AD427/6</f>
        <v>68.1666666666667</v>
      </c>
      <c r="AF427" s="2" t="str">
        <f aca="false">IF(SUM(COUNTIF(M427,"RA"),COUNTIF(P427,"RA"),COUNTIF(S427,"RA"),COUNTIF(V427,"RA"),COUNTIF(Y427,"RA"),COUNTIF(AB427,"RA"))&gt;0,"FAIL","PASS")</f>
        <v>FAIL</v>
      </c>
    </row>
    <row r="428" customFormat="false" ht="15" hidden="false" customHeight="false" outlineLevel="0" collapsed="false">
      <c r="A428" s="2" t="n">
        <v>427</v>
      </c>
      <c r="B428" s="3" t="s">
        <v>2480</v>
      </c>
      <c r="C428" s="2" t="s">
        <v>912</v>
      </c>
      <c r="D428" s="2" t="s">
        <v>2481</v>
      </c>
      <c r="E428" s="2" t="s">
        <v>35</v>
      </c>
      <c r="F428" s="2" t="s">
        <v>36</v>
      </c>
      <c r="G428" s="2" t="s">
        <v>44</v>
      </c>
      <c r="H428" s="2" t="s">
        <v>2482</v>
      </c>
      <c r="I428" s="3" t="s">
        <v>2483</v>
      </c>
      <c r="J428" s="2" t="s">
        <v>2484</v>
      </c>
      <c r="K428" s="2" t="s">
        <v>2485</v>
      </c>
      <c r="L428" s="4" t="n">
        <v>93</v>
      </c>
      <c r="M428" s="4" t="s">
        <v>54</v>
      </c>
      <c r="N428" s="5" t="n">
        <v>93</v>
      </c>
      <c r="O428" s="6" t="n">
        <v>50</v>
      </c>
      <c r="P428" s="6" t="s">
        <v>53</v>
      </c>
      <c r="Q428" s="7" t="n">
        <v>50</v>
      </c>
      <c r="R428" s="8" t="n">
        <v>45</v>
      </c>
      <c r="S428" s="8" t="s">
        <v>45</v>
      </c>
      <c r="T428" s="9" t="n">
        <v>45</v>
      </c>
      <c r="U428" s="10" t="n">
        <v>83</v>
      </c>
      <c r="V428" s="10" t="s">
        <v>42</v>
      </c>
      <c r="W428" s="11" t="n">
        <v>83</v>
      </c>
      <c r="X428" s="12" t="n">
        <v>91</v>
      </c>
      <c r="Y428" s="12" t="s">
        <v>54</v>
      </c>
      <c r="Z428" s="13" t="n">
        <v>91</v>
      </c>
      <c r="AA428" s="14" t="n">
        <v>74</v>
      </c>
      <c r="AB428" s="14" t="s">
        <v>43</v>
      </c>
      <c r="AC428" s="15" t="n">
        <v>74</v>
      </c>
      <c r="AD428" s="2" t="n">
        <f aca="false">SUM(L428,O428,R428,U428,X428,AA428)</f>
        <v>436</v>
      </c>
      <c r="AE428" s="16" t="n">
        <f aca="false">AD428/6</f>
        <v>72.6666666666667</v>
      </c>
      <c r="AF428" s="2" t="str">
        <f aca="false">IF(SUM(COUNTIF(M428,"RA"),COUNTIF(P428,"RA"),COUNTIF(S428,"RA"),COUNTIF(V428,"RA"),COUNTIF(Y428,"RA"),COUNTIF(AB428,"RA"))&gt;0,"FAIL","PASS")</f>
        <v>FAIL</v>
      </c>
    </row>
    <row r="429" customFormat="false" ht="15" hidden="false" customHeight="false" outlineLevel="0" collapsed="false">
      <c r="A429" s="2" t="n">
        <v>428</v>
      </c>
      <c r="B429" s="3" t="s">
        <v>2486</v>
      </c>
      <c r="C429" s="2" t="s">
        <v>783</v>
      </c>
      <c r="D429" s="2" t="s">
        <v>2487</v>
      </c>
      <c r="E429" s="2" t="s">
        <v>35</v>
      </c>
      <c r="F429" s="2" t="s">
        <v>36</v>
      </c>
      <c r="G429" s="2" t="s">
        <v>48</v>
      </c>
      <c r="H429" s="2" t="s">
        <v>2488</v>
      </c>
      <c r="I429" s="3" t="s">
        <v>1902</v>
      </c>
      <c r="J429" s="2" t="s">
        <v>2489</v>
      </c>
      <c r="K429" s="2" t="s">
        <v>2490</v>
      </c>
      <c r="L429" s="4" t="n">
        <v>85</v>
      </c>
      <c r="M429" s="4" t="s">
        <v>42</v>
      </c>
      <c r="N429" s="5" t="n">
        <v>85</v>
      </c>
      <c r="O429" s="6" t="n">
        <v>62</v>
      </c>
      <c r="P429" s="6" t="s">
        <v>44</v>
      </c>
      <c r="Q429" s="7" t="n">
        <v>62</v>
      </c>
      <c r="R429" s="8" t="n">
        <v>87</v>
      </c>
      <c r="S429" s="8" t="s">
        <v>42</v>
      </c>
      <c r="T429" s="9" t="n">
        <v>87</v>
      </c>
      <c r="U429" s="10" t="n">
        <v>76</v>
      </c>
      <c r="V429" s="10" t="s">
        <v>43</v>
      </c>
      <c r="W429" s="11" t="n">
        <v>76</v>
      </c>
      <c r="X429" s="12" t="n">
        <v>73</v>
      </c>
      <c r="Y429" s="12" t="s">
        <v>43</v>
      </c>
      <c r="Z429" s="13" t="n">
        <v>73</v>
      </c>
      <c r="AA429" s="14" t="n">
        <v>98</v>
      </c>
      <c r="AB429" s="14" t="s">
        <v>54</v>
      </c>
      <c r="AC429" s="15" t="n">
        <v>98</v>
      </c>
      <c r="AD429" s="2" t="n">
        <f aca="false">SUM(L429,O429,R429,U429,X429,AA429)</f>
        <v>481</v>
      </c>
      <c r="AE429" s="16" t="n">
        <f aca="false">AD429/6</f>
        <v>80.1666666666667</v>
      </c>
      <c r="AF429" s="2" t="str">
        <f aca="false">IF(SUM(COUNTIF(M429,"RA"),COUNTIF(P429,"RA"),COUNTIF(S429,"RA"),COUNTIF(V429,"RA"),COUNTIF(Y429,"RA"),COUNTIF(AB429,"RA"))&gt;0,"FAIL","PASS")</f>
        <v>PASS</v>
      </c>
    </row>
    <row r="430" customFormat="false" ht="15" hidden="false" customHeight="false" outlineLevel="0" collapsed="false">
      <c r="A430" s="2" t="n">
        <v>429</v>
      </c>
      <c r="B430" s="3" t="s">
        <v>2491</v>
      </c>
      <c r="C430" s="2" t="s">
        <v>816</v>
      </c>
      <c r="D430" s="2" t="s">
        <v>2492</v>
      </c>
      <c r="E430" s="2" t="s">
        <v>35</v>
      </c>
      <c r="F430" s="2" t="s">
        <v>36</v>
      </c>
      <c r="G430" s="2" t="s">
        <v>48</v>
      </c>
      <c r="H430" s="2" t="s">
        <v>2084</v>
      </c>
      <c r="I430" s="3" t="s">
        <v>2493</v>
      </c>
      <c r="J430" s="2" t="s">
        <v>2494</v>
      </c>
      <c r="K430" s="2" t="s">
        <v>2495</v>
      </c>
      <c r="L430" s="4" t="n">
        <v>70</v>
      </c>
      <c r="M430" s="4" t="s">
        <v>43</v>
      </c>
      <c r="N430" s="5" t="n">
        <v>70</v>
      </c>
      <c r="O430" s="6" t="n">
        <v>81</v>
      </c>
      <c r="P430" s="6" t="s">
        <v>42</v>
      </c>
      <c r="Q430" s="7" t="n">
        <v>81</v>
      </c>
      <c r="R430" s="8" t="n">
        <v>72</v>
      </c>
      <c r="S430" s="8" t="s">
        <v>43</v>
      </c>
      <c r="T430" s="9" t="n">
        <v>72</v>
      </c>
      <c r="U430" s="10" t="n">
        <v>64</v>
      </c>
      <c r="V430" s="10" t="s">
        <v>44</v>
      </c>
      <c r="W430" s="11" t="n">
        <v>64</v>
      </c>
      <c r="X430" s="12" t="n">
        <v>92</v>
      </c>
      <c r="Y430" s="12" t="s">
        <v>54</v>
      </c>
      <c r="Z430" s="13" t="n">
        <v>92</v>
      </c>
      <c r="AA430" s="14" t="n">
        <v>70</v>
      </c>
      <c r="AB430" s="14" t="s">
        <v>43</v>
      </c>
      <c r="AC430" s="15" t="n">
        <v>70</v>
      </c>
      <c r="AD430" s="2" t="n">
        <f aca="false">SUM(L430,O430,R430,U430,X430,AA430)</f>
        <v>449</v>
      </c>
      <c r="AE430" s="16" t="n">
        <f aca="false">AD430/6</f>
        <v>74.8333333333333</v>
      </c>
      <c r="AF430" s="2" t="str">
        <f aca="false">IF(SUM(COUNTIF(M430,"RA"),COUNTIF(P430,"RA"),COUNTIF(S430,"RA"),COUNTIF(V430,"RA"),COUNTIF(Y430,"RA"),COUNTIF(AB430,"RA"))&gt;0,"FAIL","PASS")</f>
        <v>PASS</v>
      </c>
    </row>
    <row r="431" customFormat="false" ht="15" hidden="false" customHeight="false" outlineLevel="0" collapsed="false">
      <c r="A431" s="2" t="n">
        <v>430</v>
      </c>
      <c r="B431" s="3" t="s">
        <v>2496</v>
      </c>
      <c r="C431" s="2" t="s">
        <v>750</v>
      </c>
      <c r="D431" s="2" t="s">
        <v>2497</v>
      </c>
      <c r="E431" s="2" t="s">
        <v>35</v>
      </c>
      <c r="F431" s="2" t="s">
        <v>36</v>
      </c>
      <c r="G431" s="2" t="s">
        <v>44</v>
      </c>
      <c r="H431" s="2" t="s">
        <v>2498</v>
      </c>
      <c r="I431" s="3" t="s">
        <v>2323</v>
      </c>
      <c r="J431" s="2" t="s">
        <v>2499</v>
      </c>
      <c r="K431" s="2" t="s">
        <v>2500</v>
      </c>
      <c r="L431" s="4" t="n">
        <v>74</v>
      </c>
      <c r="M431" s="4" t="s">
        <v>43</v>
      </c>
      <c r="N431" s="5" t="n">
        <v>74</v>
      </c>
      <c r="O431" s="6" t="n">
        <v>88</v>
      </c>
      <c r="P431" s="6" t="s">
        <v>42</v>
      </c>
      <c r="Q431" s="7" t="n">
        <v>88</v>
      </c>
      <c r="R431" s="8" t="n">
        <v>47</v>
      </c>
      <c r="S431" s="8" t="s">
        <v>45</v>
      </c>
      <c r="T431" s="9" t="n">
        <v>47</v>
      </c>
      <c r="U431" s="10" t="n">
        <v>60</v>
      </c>
      <c r="V431" s="10" t="s">
        <v>44</v>
      </c>
      <c r="W431" s="11" t="n">
        <v>60</v>
      </c>
      <c r="X431" s="12" t="n">
        <v>88</v>
      </c>
      <c r="Y431" s="12" t="s">
        <v>42</v>
      </c>
      <c r="Z431" s="13" t="n">
        <v>88</v>
      </c>
      <c r="AA431" s="14" t="n">
        <v>65</v>
      </c>
      <c r="AB431" s="14" t="s">
        <v>44</v>
      </c>
      <c r="AC431" s="15" t="n">
        <v>65</v>
      </c>
      <c r="AD431" s="2" t="n">
        <f aca="false">SUM(L431,O431,R431,U431,X431,AA431)</f>
        <v>422</v>
      </c>
      <c r="AE431" s="16" t="n">
        <f aca="false">AD431/6</f>
        <v>70.3333333333333</v>
      </c>
      <c r="AF431" s="2" t="str">
        <f aca="false">IF(SUM(COUNTIF(M431,"RA"),COUNTIF(P431,"RA"),COUNTIF(S431,"RA"),COUNTIF(V431,"RA"),COUNTIF(Y431,"RA"),COUNTIF(AB431,"RA"))&gt;0,"FAIL","PASS")</f>
        <v>FAIL</v>
      </c>
    </row>
    <row r="432" customFormat="false" ht="15" hidden="false" customHeight="false" outlineLevel="0" collapsed="false">
      <c r="A432" s="2" t="n">
        <v>431</v>
      </c>
      <c r="B432" s="3" t="s">
        <v>2501</v>
      </c>
      <c r="C432" s="2" t="s">
        <v>770</v>
      </c>
      <c r="D432" s="2" t="s">
        <v>2502</v>
      </c>
      <c r="E432" s="2" t="s">
        <v>35</v>
      </c>
      <c r="F432" s="2" t="s">
        <v>36</v>
      </c>
      <c r="G432" s="2" t="s">
        <v>37</v>
      </c>
      <c r="H432" s="2" t="s">
        <v>981</v>
      </c>
      <c r="I432" s="3" t="s">
        <v>313</v>
      </c>
      <c r="J432" s="2" t="s">
        <v>2503</v>
      </c>
      <c r="K432" s="2" t="s">
        <v>2504</v>
      </c>
      <c r="L432" s="4" t="n">
        <v>84</v>
      </c>
      <c r="M432" s="4" t="s">
        <v>42</v>
      </c>
      <c r="N432" s="5" t="n">
        <v>84</v>
      </c>
      <c r="O432" s="6" t="n">
        <v>95</v>
      </c>
      <c r="P432" s="6" t="s">
        <v>54</v>
      </c>
      <c r="Q432" s="7" t="n">
        <v>95</v>
      </c>
      <c r="R432" s="8" t="n">
        <v>91</v>
      </c>
      <c r="S432" s="8" t="s">
        <v>54</v>
      </c>
      <c r="T432" s="9" t="n">
        <v>91</v>
      </c>
      <c r="U432" s="10" t="n">
        <v>63</v>
      </c>
      <c r="V432" s="10" t="s">
        <v>44</v>
      </c>
      <c r="W432" s="11" t="n">
        <v>63</v>
      </c>
      <c r="X432" s="12" t="n">
        <v>84</v>
      </c>
      <c r="Y432" s="12" t="s">
        <v>42</v>
      </c>
      <c r="Z432" s="13" t="n">
        <v>84</v>
      </c>
      <c r="AA432" s="14" t="n">
        <v>76</v>
      </c>
      <c r="AB432" s="14" t="s">
        <v>43</v>
      </c>
      <c r="AC432" s="15" t="n">
        <v>76</v>
      </c>
      <c r="AD432" s="2" t="n">
        <f aca="false">SUM(L432,O432,R432,U432,X432,AA432)</f>
        <v>493</v>
      </c>
      <c r="AE432" s="16" t="n">
        <f aca="false">AD432/6</f>
        <v>82.1666666666667</v>
      </c>
      <c r="AF432" s="2" t="str">
        <f aca="false">IF(SUM(COUNTIF(M432,"RA"),COUNTIF(P432,"RA"),COUNTIF(S432,"RA"),COUNTIF(V432,"RA"),COUNTIF(Y432,"RA"),COUNTIF(AB432,"RA"))&gt;0,"FAIL","PASS")</f>
        <v>PASS</v>
      </c>
    </row>
    <row r="433" customFormat="false" ht="15" hidden="false" customHeight="false" outlineLevel="0" collapsed="false">
      <c r="A433" s="2" t="n">
        <v>432</v>
      </c>
      <c r="B433" s="3" t="s">
        <v>2505</v>
      </c>
      <c r="C433" s="2" t="s">
        <v>770</v>
      </c>
      <c r="D433" s="2" t="s">
        <v>2506</v>
      </c>
      <c r="E433" s="2" t="s">
        <v>35</v>
      </c>
      <c r="F433" s="2" t="s">
        <v>36</v>
      </c>
      <c r="G433" s="2" t="s">
        <v>48</v>
      </c>
      <c r="H433" s="2" t="s">
        <v>2507</v>
      </c>
      <c r="I433" s="3" t="s">
        <v>2508</v>
      </c>
      <c r="J433" s="2" t="s">
        <v>2509</v>
      </c>
      <c r="K433" s="2" t="s">
        <v>2510</v>
      </c>
      <c r="L433" s="4" t="n">
        <v>76</v>
      </c>
      <c r="M433" s="4" t="s">
        <v>43</v>
      </c>
      <c r="N433" s="5" t="n">
        <v>76</v>
      </c>
      <c r="O433" s="6" t="n">
        <v>80</v>
      </c>
      <c r="P433" s="6" t="s">
        <v>42</v>
      </c>
      <c r="Q433" s="7" t="n">
        <v>80</v>
      </c>
      <c r="R433" s="8" t="n">
        <v>49</v>
      </c>
      <c r="S433" s="8" t="s">
        <v>45</v>
      </c>
      <c r="T433" s="9" t="n">
        <v>49</v>
      </c>
      <c r="U433" s="10" t="n">
        <v>40</v>
      </c>
      <c r="V433" s="10" t="s">
        <v>45</v>
      </c>
      <c r="W433" s="11" t="n">
        <v>40</v>
      </c>
      <c r="X433" s="12" t="n">
        <v>99</v>
      </c>
      <c r="Y433" s="12" t="s">
        <v>54</v>
      </c>
      <c r="Z433" s="13" t="n">
        <v>99</v>
      </c>
      <c r="AA433" s="14" t="n">
        <v>68</v>
      </c>
      <c r="AB433" s="14" t="s">
        <v>44</v>
      </c>
      <c r="AC433" s="15" t="n">
        <v>68</v>
      </c>
      <c r="AD433" s="2" t="n">
        <f aca="false">SUM(L433,O433,R433,U433,X433,AA433)</f>
        <v>412</v>
      </c>
      <c r="AE433" s="16" t="n">
        <f aca="false">AD433/6</f>
        <v>68.6666666666667</v>
      </c>
      <c r="AF433" s="2" t="str">
        <f aca="false">IF(SUM(COUNTIF(M433,"RA"),COUNTIF(P433,"RA"),COUNTIF(S433,"RA"),COUNTIF(V433,"RA"),COUNTIF(Y433,"RA"),COUNTIF(AB433,"RA"))&gt;0,"FAIL","PASS")</f>
        <v>FAIL</v>
      </c>
    </row>
    <row r="434" customFormat="false" ht="15" hidden="false" customHeight="false" outlineLevel="0" collapsed="false">
      <c r="A434" s="2" t="n">
        <v>433</v>
      </c>
      <c r="B434" s="3" t="s">
        <v>2511</v>
      </c>
      <c r="C434" s="2" t="s">
        <v>783</v>
      </c>
      <c r="D434" s="2" t="s">
        <v>2512</v>
      </c>
      <c r="E434" s="2" t="s">
        <v>35</v>
      </c>
      <c r="F434" s="2" t="s">
        <v>36</v>
      </c>
      <c r="G434" s="2" t="s">
        <v>48</v>
      </c>
      <c r="H434" s="2" t="s">
        <v>455</v>
      </c>
      <c r="I434" s="3" t="s">
        <v>2513</v>
      </c>
      <c r="J434" s="2" t="s">
        <v>2514</v>
      </c>
      <c r="K434" s="2" t="s">
        <v>2515</v>
      </c>
      <c r="L434" s="4" t="n">
        <v>68</v>
      </c>
      <c r="M434" s="4" t="s">
        <v>44</v>
      </c>
      <c r="N434" s="5" t="n">
        <v>68</v>
      </c>
      <c r="O434" s="6" t="n">
        <v>94</v>
      </c>
      <c r="P434" s="6" t="s">
        <v>54</v>
      </c>
      <c r="Q434" s="7" t="n">
        <v>94</v>
      </c>
      <c r="R434" s="8" t="n">
        <v>95</v>
      </c>
      <c r="S434" s="8" t="s">
        <v>54</v>
      </c>
      <c r="T434" s="9" t="n">
        <v>95</v>
      </c>
      <c r="U434" s="10" t="n">
        <v>70</v>
      </c>
      <c r="V434" s="10" t="s">
        <v>43</v>
      </c>
      <c r="W434" s="11" t="n">
        <v>70</v>
      </c>
      <c r="X434" s="12" t="n">
        <v>98</v>
      </c>
      <c r="Y434" s="12" t="s">
        <v>54</v>
      </c>
      <c r="Z434" s="13" t="n">
        <v>98</v>
      </c>
      <c r="AA434" s="14" t="n">
        <v>79</v>
      </c>
      <c r="AB434" s="14" t="s">
        <v>43</v>
      </c>
      <c r="AC434" s="15" t="n">
        <v>79</v>
      </c>
      <c r="AD434" s="2" t="n">
        <f aca="false">SUM(L434,O434,R434,U434,X434,AA434)</f>
        <v>504</v>
      </c>
      <c r="AE434" s="16" t="n">
        <f aca="false">AD434/6</f>
        <v>84</v>
      </c>
      <c r="AF434" s="2" t="str">
        <f aca="false">IF(SUM(COUNTIF(M434,"RA"),COUNTIF(P434,"RA"),COUNTIF(S434,"RA"),COUNTIF(V434,"RA"),COUNTIF(Y434,"RA"),COUNTIF(AB434,"RA"))&gt;0,"FAIL","PASS")</f>
        <v>PASS</v>
      </c>
    </row>
    <row r="435" customFormat="false" ht="15" hidden="false" customHeight="false" outlineLevel="0" collapsed="false">
      <c r="A435" s="2" t="n">
        <v>434</v>
      </c>
      <c r="B435" s="3" t="s">
        <v>2516</v>
      </c>
      <c r="C435" s="2" t="s">
        <v>816</v>
      </c>
      <c r="D435" s="2" t="s">
        <v>2517</v>
      </c>
      <c r="E435" s="2" t="s">
        <v>57</v>
      </c>
      <c r="F435" s="2" t="s">
        <v>36</v>
      </c>
      <c r="G435" s="2" t="s">
        <v>48</v>
      </c>
      <c r="H435" s="2" t="s">
        <v>2518</v>
      </c>
      <c r="I435" s="3" t="s">
        <v>2519</v>
      </c>
      <c r="J435" s="2" t="s">
        <v>2520</v>
      </c>
      <c r="K435" s="2" t="s">
        <v>2521</v>
      </c>
      <c r="L435" s="4" t="n">
        <v>71</v>
      </c>
      <c r="M435" s="4" t="s">
        <v>43</v>
      </c>
      <c r="N435" s="5" t="n">
        <v>71</v>
      </c>
      <c r="O435" s="6" t="n">
        <v>79</v>
      </c>
      <c r="P435" s="6" t="s">
        <v>43</v>
      </c>
      <c r="Q435" s="7" t="n">
        <v>79</v>
      </c>
      <c r="R435" s="8" t="n">
        <v>88</v>
      </c>
      <c r="S435" s="8" t="s">
        <v>42</v>
      </c>
      <c r="T435" s="9" t="n">
        <v>88</v>
      </c>
      <c r="U435" s="10" t="n">
        <v>76</v>
      </c>
      <c r="V435" s="10" t="s">
        <v>43</v>
      </c>
      <c r="W435" s="11" t="n">
        <v>76</v>
      </c>
      <c r="X435" s="12" t="n">
        <v>57</v>
      </c>
      <c r="Y435" s="12" t="s">
        <v>53</v>
      </c>
      <c r="Z435" s="13" t="n">
        <v>57</v>
      </c>
      <c r="AA435" s="14" t="n">
        <v>94</v>
      </c>
      <c r="AB435" s="14" t="s">
        <v>54</v>
      </c>
      <c r="AC435" s="15" t="n">
        <v>94</v>
      </c>
      <c r="AD435" s="2" t="n">
        <f aca="false">SUM(L435,O435,R435,U435,X435,AA435)</f>
        <v>465</v>
      </c>
      <c r="AE435" s="16" t="n">
        <f aca="false">AD435/6</f>
        <v>77.5</v>
      </c>
      <c r="AF435" s="2" t="str">
        <f aca="false">IF(SUM(COUNTIF(M435,"RA"),COUNTIF(P435,"RA"),COUNTIF(S435,"RA"),COUNTIF(V435,"RA"),COUNTIF(Y435,"RA"),COUNTIF(AB435,"RA"))&gt;0,"FAIL","PASS")</f>
        <v>PASS</v>
      </c>
    </row>
    <row r="436" customFormat="false" ht="15" hidden="false" customHeight="false" outlineLevel="0" collapsed="false">
      <c r="A436" s="2" t="n">
        <v>435</v>
      </c>
      <c r="B436" s="3" t="s">
        <v>2522</v>
      </c>
      <c r="C436" s="2" t="s">
        <v>803</v>
      </c>
      <c r="D436" s="2" t="s">
        <v>2523</v>
      </c>
      <c r="E436" s="2" t="s">
        <v>57</v>
      </c>
      <c r="F436" s="2" t="s">
        <v>36</v>
      </c>
      <c r="G436" s="2" t="s">
        <v>64</v>
      </c>
      <c r="H436" s="2" t="s">
        <v>2524</v>
      </c>
      <c r="I436" s="3" t="s">
        <v>2061</v>
      </c>
      <c r="J436" s="2" t="s">
        <v>2525</v>
      </c>
      <c r="K436" s="2" t="s">
        <v>2526</v>
      </c>
      <c r="L436" s="4" t="n">
        <v>78</v>
      </c>
      <c r="M436" s="4" t="s">
        <v>43</v>
      </c>
      <c r="N436" s="5" t="n">
        <v>78</v>
      </c>
      <c r="O436" s="6" t="n">
        <v>76</v>
      </c>
      <c r="P436" s="6" t="s">
        <v>43</v>
      </c>
      <c r="Q436" s="7" t="n">
        <v>76</v>
      </c>
      <c r="R436" s="8" t="n">
        <v>100</v>
      </c>
      <c r="S436" s="8" t="s">
        <v>54</v>
      </c>
      <c r="T436" s="9" t="n">
        <v>100</v>
      </c>
      <c r="U436" s="10" t="n">
        <v>76</v>
      </c>
      <c r="V436" s="10" t="s">
        <v>43</v>
      </c>
      <c r="W436" s="11" t="n">
        <v>76</v>
      </c>
      <c r="X436" s="12" t="n">
        <v>65</v>
      </c>
      <c r="Y436" s="12" t="s">
        <v>44</v>
      </c>
      <c r="Z436" s="13" t="n">
        <v>65</v>
      </c>
      <c r="AA436" s="14" t="n">
        <v>73</v>
      </c>
      <c r="AB436" s="14" t="s">
        <v>43</v>
      </c>
      <c r="AC436" s="15" t="n">
        <v>73</v>
      </c>
      <c r="AD436" s="2" t="n">
        <f aca="false">SUM(L436,O436,R436,U436,X436,AA436)</f>
        <v>468</v>
      </c>
      <c r="AE436" s="16" t="n">
        <f aca="false">AD436/6</f>
        <v>78</v>
      </c>
      <c r="AF436" s="2" t="str">
        <f aca="false">IF(SUM(COUNTIF(M436,"RA"),COUNTIF(P436,"RA"),COUNTIF(S436,"RA"),COUNTIF(V436,"RA"),COUNTIF(Y436,"RA"),COUNTIF(AB436,"RA"))&gt;0,"FAIL","PASS")</f>
        <v>PASS</v>
      </c>
    </row>
    <row r="437" customFormat="false" ht="15" hidden="false" customHeight="false" outlineLevel="0" collapsed="false">
      <c r="A437" s="2" t="n">
        <v>436</v>
      </c>
      <c r="B437" s="3" t="s">
        <v>2527</v>
      </c>
      <c r="C437" s="2" t="s">
        <v>803</v>
      </c>
      <c r="D437" s="2" t="s">
        <v>2528</v>
      </c>
      <c r="E437" s="2" t="s">
        <v>57</v>
      </c>
      <c r="F437" s="2" t="s">
        <v>36</v>
      </c>
      <c r="G437" s="2" t="s">
        <v>37</v>
      </c>
      <c r="H437" s="2" t="s">
        <v>2529</v>
      </c>
      <c r="I437" s="3" t="s">
        <v>2530</v>
      </c>
      <c r="J437" s="2" t="s">
        <v>2531</v>
      </c>
      <c r="K437" s="2" t="s">
        <v>2532</v>
      </c>
      <c r="L437" s="4" t="n">
        <v>76</v>
      </c>
      <c r="M437" s="4" t="s">
        <v>43</v>
      </c>
      <c r="N437" s="5" t="n">
        <v>76</v>
      </c>
      <c r="O437" s="6" t="n">
        <v>85</v>
      </c>
      <c r="P437" s="6" t="s">
        <v>42</v>
      </c>
      <c r="Q437" s="7" t="n">
        <v>85</v>
      </c>
      <c r="R437" s="8" t="n">
        <v>73</v>
      </c>
      <c r="S437" s="8" t="s">
        <v>43</v>
      </c>
      <c r="T437" s="9" t="n">
        <v>73</v>
      </c>
      <c r="U437" s="10" t="n">
        <v>80</v>
      </c>
      <c r="V437" s="10" t="s">
        <v>42</v>
      </c>
      <c r="W437" s="11" t="n">
        <v>80</v>
      </c>
      <c r="X437" s="12" t="n">
        <v>41</v>
      </c>
      <c r="Y437" s="12" t="s">
        <v>45</v>
      </c>
      <c r="Z437" s="13" t="n">
        <v>41</v>
      </c>
      <c r="AA437" s="14" t="n">
        <v>62</v>
      </c>
      <c r="AB437" s="14" t="s">
        <v>44</v>
      </c>
      <c r="AC437" s="15" t="n">
        <v>62</v>
      </c>
      <c r="AD437" s="2" t="n">
        <f aca="false">SUM(L437,O437,R437,U437,X437,AA437)</f>
        <v>417</v>
      </c>
      <c r="AE437" s="16" t="n">
        <f aca="false">AD437/6</f>
        <v>69.5</v>
      </c>
      <c r="AF437" s="2" t="str">
        <f aca="false">IF(SUM(COUNTIF(M437,"RA"),COUNTIF(P437,"RA"),COUNTIF(S437,"RA"),COUNTIF(V437,"RA"),COUNTIF(Y437,"RA"),COUNTIF(AB437,"RA"))&gt;0,"FAIL","PASS")</f>
        <v>FAIL</v>
      </c>
    </row>
    <row r="438" customFormat="false" ht="15" hidden="false" customHeight="false" outlineLevel="0" collapsed="false">
      <c r="A438" s="2" t="n">
        <v>437</v>
      </c>
      <c r="B438" s="3" t="s">
        <v>2533</v>
      </c>
      <c r="C438" s="2" t="s">
        <v>912</v>
      </c>
      <c r="D438" s="2" t="s">
        <v>2534</v>
      </c>
      <c r="E438" s="2" t="s">
        <v>57</v>
      </c>
      <c r="F438" s="2" t="s">
        <v>36</v>
      </c>
      <c r="G438" s="2" t="s">
        <v>44</v>
      </c>
      <c r="H438" s="2" t="s">
        <v>1432</v>
      </c>
      <c r="I438" s="3" t="s">
        <v>135</v>
      </c>
      <c r="J438" s="2" t="s">
        <v>2535</v>
      </c>
      <c r="K438" s="2" t="s">
        <v>2536</v>
      </c>
      <c r="L438" s="4" t="n">
        <v>99</v>
      </c>
      <c r="M438" s="4" t="s">
        <v>54</v>
      </c>
      <c r="N438" s="5" t="n">
        <v>99</v>
      </c>
      <c r="O438" s="6" t="n">
        <v>99</v>
      </c>
      <c r="P438" s="6" t="s">
        <v>54</v>
      </c>
      <c r="Q438" s="7" t="n">
        <v>99</v>
      </c>
      <c r="R438" s="8" t="n">
        <v>76</v>
      </c>
      <c r="S438" s="8" t="s">
        <v>43</v>
      </c>
      <c r="T438" s="9" t="n">
        <v>76</v>
      </c>
      <c r="U438" s="10" t="n">
        <v>67</v>
      </c>
      <c r="V438" s="10" t="s">
        <v>44</v>
      </c>
      <c r="W438" s="11" t="n">
        <v>67</v>
      </c>
      <c r="X438" s="12" t="n">
        <v>93</v>
      </c>
      <c r="Y438" s="12" t="s">
        <v>54</v>
      </c>
      <c r="Z438" s="13" t="n">
        <v>93</v>
      </c>
      <c r="AA438" s="14" t="n">
        <v>80</v>
      </c>
      <c r="AB438" s="14" t="s">
        <v>42</v>
      </c>
      <c r="AC438" s="15" t="n">
        <v>80</v>
      </c>
      <c r="AD438" s="2" t="n">
        <f aca="false">SUM(L438,O438,R438,U438,X438,AA438)</f>
        <v>514</v>
      </c>
      <c r="AE438" s="16" t="n">
        <f aca="false">AD438/6</f>
        <v>85.6666666666667</v>
      </c>
      <c r="AF438" s="2" t="str">
        <f aca="false">IF(SUM(COUNTIF(M438,"RA"),COUNTIF(P438,"RA"),COUNTIF(S438,"RA"),COUNTIF(V438,"RA"),COUNTIF(Y438,"RA"),COUNTIF(AB438,"RA"))&gt;0,"FAIL","PASS")</f>
        <v>PASS</v>
      </c>
    </row>
    <row r="439" customFormat="false" ht="15" hidden="false" customHeight="false" outlineLevel="0" collapsed="false">
      <c r="A439" s="2" t="n">
        <v>438</v>
      </c>
      <c r="B439" s="3" t="s">
        <v>2537</v>
      </c>
      <c r="C439" s="2" t="s">
        <v>803</v>
      </c>
      <c r="D439" s="2" t="s">
        <v>2538</v>
      </c>
      <c r="E439" s="2" t="s">
        <v>35</v>
      </c>
      <c r="F439" s="2" t="s">
        <v>36</v>
      </c>
      <c r="G439" s="2" t="s">
        <v>37</v>
      </c>
      <c r="H439" s="2" t="s">
        <v>2539</v>
      </c>
      <c r="I439" s="3" t="s">
        <v>636</v>
      </c>
      <c r="J439" s="2" t="s">
        <v>2540</v>
      </c>
      <c r="K439" s="2" t="s">
        <v>2541</v>
      </c>
      <c r="L439" s="4" t="n">
        <v>93</v>
      </c>
      <c r="M439" s="4" t="s">
        <v>54</v>
      </c>
      <c r="N439" s="5" t="n">
        <v>93</v>
      </c>
      <c r="O439" s="6" t="n">
        <v>71</v>
      </c>
      <c r="P439" s="6" t="s">
        <v>43</v>
      </c>
      <c r="Q439" s="7" t="n">
        <v>71</v>
      </c>
      <c r="R439" s="8" t="n">
        <v>89</v>
      </c>
      <c r="S439" s="8" t="s">
        <v>42</v>
      </c>
      <c r="T439" s="9" t="n">
        <v>89</v>
      </c>
      <c r="U439" s="10" t="n">
        <v>53</v>
      </c>
      <c r="V439" s="10" t="s">
        <v>53</v>
      </c>
      <c r="W439" s="11" t="n">
        <v>53</v>
      </c>
      <c r="X439" s="12" t="n">
        <v>94</v>
      </c>
      <c r="Y439" s="12" t="s">
        <v>54</v>
      </c>
      <c r="Z439" s="13" t="n">
        <v>94</v>
      </c>
      <c r="AA439" s="14" t="n">
        <v>93</v>
      </c>
      <c r="AB439" s="14" t="s">
        <v>54</v>
      </c>
      <c r="AC439" s="15" t="n">
        <v>93</v>
      </c>
      <c r="AD439" s="2" t="n">
        <f aca="false">SUM(L439,O439,R439,U439,X439,AA439)</f>
        <v>493</v>
      </c>
      <c r="AE439" s="16" t="n">
        <f aca="false">AD439/6</f>
        <v>82.1666666666667</v>
      </c>
      <c r="AF439" s="2" t="str">
        <f aca="false">IF(SUM(COUNTIF(M439,"RA"),COUNTIF(P439,"RA"),COUNTIF(S439,"RA"),COUNTIF(V439,"RA"),COUNTIF(Y439,"RA"),COUNTIF(AB439,"RA"))&gt;0,"FAIL","PASS")</f>
        <v>PASS</v>
      </c>
    </row>
    <row r="440" customFormat="false" ht="15" hidden="false" customHeight="false" outlineLevel="0" collapsed="false">
      <c r="A440" s="2" t="n">
        <v>439</v>
      </c>
      <c r="B440" s="3" t="s">
        <v>2542</v>
      </c>
      <c r="C440" s="2" t="s">
        <v>912</v>
      </c>
      <c r="D440" s="2" t="s">
        <v>2543</v>
      </c>
      <c r="E440" s="2" t="s">
        <v>35</v>
      </c>
      <c r="F440" s="2" t="s">
        <v>36</v>
      </c>
      <c r="G440" s="2" t="s">
        <v>48</v>
      </c>
      <c r="H440" s="2" t="s">
        <v>2160</v>
      </c>
      <c r="I440" s="3" t="s">
        <v>2544</v>
      </c>
      <c r="J440" s="2" t="s">
        <v>2545</v>
      </c>
      <c r="K440" s="2" t="s">
        <v>2546</v>
      </c>
      <c r="L440" s="4" t="n">
        <v>89</v>
      </c>
      <c r="M440" s="4" t="s">
        <v>42</v>
      </c>
      <c r="N440" s="5" t="n">
        <v>89</v>
      </c>
      <c r="O440" s="6" t="n">
        <v>81</v>
      </c>
      <c r="P440" s="6" t="s">
        <v>42</v>
      </c>
      <c r="Q440" s="7" t="n">
        <v>81</v>
      </c>
      <c r="R440" s="8" t="n">
        <v>75</v>
      </c>
      <c r="S440" s="8" t="s">
        <v>43</v>
      </c>
      <c r="T440" s="9" t="n">
        <v>75</v>
      </c>
      <c r="U440" s="10" t="n">
        <v>87</v>
      </c>
      <c r="V440" s="10" t="s">
        <v>42</v>
      </c>
      <c r="W440" s="11" t="n">
        <v>87</v>
      </c>
      <c r="X440" s="12" t="n">
        <v>81</v>
      </c>
      <c r="Y440" s="12" t="s">
        <v>42</v>
      </c>
      <c r="Z440" s="13" t="n">
        <v>81</v>
      </c>
      <c r="AA440" s="14" t="n">
        <v>51</v>
      </c>
      <c r="AB440" s="14" t="s">
        <v>53</v>
      </c>
      <c r="AC440" s="15" t="n">
        <v>51</v>
      </c>
      <c r="AD440" s="2" t="n">
        <f aca="false">SUM(L440,O440,R440,U440,X440,AA440)</f>
        <v>464</v>
      </c>
      <c r="AE440" s="16" t="n">
        <f aca="false">AD440/6</f>
        <v>77.3333333333333</v>
      </c>
      <c r="AF440" s="2" t="str">
        <f aca="false">IF(SUM(COUNTIF(M440,"RA"),COUNTIF(P440,"RA"),COUNTIF(S440,"RA"),COUNTIF(V440,"RA"),COUNTIF(Y440,"RA"),COUNTIF(AB440,"RA"))&gt;0,"FAIL","PASS")</f>
        <v>PASS</v>
      </c>
    </row>
    <row r="441" customFormat="false" ht="15" hidden="false" customHeight="false" outlineLevel="0" collapsed="false">
      <c r="A441" s="2" t="n">
        <v>440</v>
      </c>
      <c r="B441" s="3" t="s">
        <v>2547</v>
      </c>
      <c r="C441" s="2" t="s">
        <v>750</v>
      </c>
      <c r="D441" s="2" t="s">
        <v>2548</v>
      </c>
      <c r="E441" s="2" t="s">
        <v>35</v>
      </c>
      <c r="F441" s="2" t="s">
        <v>36</v>
      </c>
      <c r="G441" s="2" t="s">
        <v>64</v>
      </c>
      <c r="H441" s="2" t="s">
        <v>2549</v>
      </c>
      <c r="I441" s="3" t="s">
        <v>684</v>
      </c>
      <c r="J441" s="2" t="s">
        <v>2550</v>
      </c>
      <c r="K441" s="2" t="s">
        <v>2551</v>
      </c>
      <c r="L441" s="4" t="n">
        <v>43</v>
      </c>
      <c r="M441" s="4" t="s">
        <v>45</v>
      </c>
      <c r="N441" s="5" t="n">
        <v>43</v>
      </c>
      <c r="O441" s="6" t="n">
        <v>98</v>
      </c>
      <c r="P441" s="6" t="s">
        <v>54</v>
      </c>
      <c r="Q441" s="7" t="n">
        <v>98</v>
      </c>
      <c r="R441" s="8" t="n">
        <v>65</v>
      </c>
      <c r="S441" s="8" t="s">
        <v>44</v>
      </c>
      <c r="T441" s="9" t="n">
        <v>65</v>
      </c>
      <c r="U441" s="10" t="n">
        <v>87</v>
      </c>
      <c r="V441" s="10" t="s">
        <v>42</v>
      </c>
      <c r="W441" s="11" t="n">
        <v>87</v>
      </c>
      <c r="X441" s="12" t="n">
        <v>70</v>
      </c>
      <c r="Y441" s="12" t="s">
        <v>43</v>
      </c>
      <c r="Z441" s="13" t="n">
        <v>70</v>
      </c>
      <c r="AA441" s="14" t="n">
        <v>75</v>
      </c>
      <c r="AB441" s="14" t="s">
        <v>43</v>
      </c>
      <c r="AC441" s="15" t="n">
        <v>75</v>
      </c>
      <c r="AD441" s="2" t="n">
        <f aca="false">SUM(L441,O441,R441,U441,X441,AA441)</f>
        <v>438</v>
      </c>
      <c r="AE441" s="16" t="n">
        <f aca="false">AD441/6</f>
        <v>73</v>
      </c>
      <c r="AF441" s="2" t="str">
        <f aca="false">IF(SUM(COUNTIF(M441,"RA"),COUNTIF(P441,"RA"),COUNTIF(S441,"RA"),COUNTIF(V441,"RA"),COUNTIF(Y441,"RA"),COUNTIF(AB441,"RA"))&gt;0,"FAIL","PASS")</f>
        <v>FAIL</v>
      </c>
    </row>
    <row r="442" customFormat="false" ht="15" hidden="false" customHeight="false" outlineLevel="0" collapsed="false">
      <c r="A442" s="2" t="n">
        <v>441</v>
      </c>
      <c r="B442" s="3" t="s">
        <v>2552</v>
      </c>
      <c r="C442" s="2" t="s">
        <v>757</v>
      </c>
      <c r="D442" s="2" t="s">
        <v>2553</v>
      </c>
      <c r="E442" s="2" t="s">
        <v>57</v>
      </c>
      <c r="F442" s="2" t="s">
        <v>36</v>
      </c>
      <c r="G442" s="2" t="s">
        <v>42</v>
      </c>
      <c r="H442" s="2" t="s">
        <v>2554</v>
      </c>
      <c r="I442" s="3" t="s">
        <v>2555</v>
      </c>
      <c r="J442" s="2" t="s">
        <v>2556</v>
      </c>
      <c r="K442" s="2" t="s">
        <v>2557</v>
      </c>
      <c r="L442" s="4" t="n">
        <v>63</v>
      </c>
      <c r="M442" s="4" t="s">
        <v>44</v>
      </c>
      <c r="N442" s="5" t="n">
        <v>63</v>
      </c>
      <c r="O442" s="6" t="n">
        <v>90</v>
      </c>
      <c r="P442" s="6" t="s">
        <v>54</v>
      </c>
      <c r="Q442" s="7" t="n">
        <v>90</v>
      </c>
      <c r="R442" s="8" t="n">
        <v>83</v>
      </c>
      <c r="S442" s="8" t="s">
        <v>42</v>
      </c>
      <c r="T442" s="9" t="n">
        <v>83</v>
      </c>
      <c r="U442" s="10" t="n">
        <v>42</v>
      </c>
      <c r="V442" s="10" t="s">
        <v>45</v>
      </c>
      <c r="W442" s="11" t="n">
        <v>42</v>
      </c>
      <c r="X442" s="12" t="n">
        <v>95</v>
      </c>
      <c r="Y442" s="12" t="s">
        <v>54</v>
      </c>
      <c r="Z442" s="13" t="n">
        <v>95</v>
      </c>
      <c r="AA442" s="14" t="n">
        <v>72</v>
      </c>
      <c r="AB442" s="14" t="s">
        <v>43</v>
      </c>
      <c r="AC442" s="15" t="n">
        <v>72</v>
      </c>
      <c r="AD442" s="2" t="n">
        <f aca="false">SUM(L442,O442,R442,U442,X442,AA442)</f>
        <v>445</v>
      </c>
      <c r="AE442" s="16" t="n">
        <f aca="false">AD442/6</f>
        <v>74.1666666666667</v>
      </c>
      <c r="AF442" s="2" t="str">
        <f aca="false">IF(SUM(COUNTIF(M442,"RA"),COUNTIF(P442,"RA"),COUNTIF(S442,"RA"),COUNTIF(V442,"RA"),COUNTIF(Y442,"RA"),COUNTIF(AB442,"RA"))&gt;0,"FAIL","PASS")</f>
        <v>FAIL</v>
      </c>
    </row>
    <row r="443" customFormat="false" ht="15" hidden="false" customHeight="false" outlineLevel="0" collapsed="false">
      <c r="A443" s="2" t="n">
        <v>442</v>
      </c>
      <c r="B443" s="3" t="s">
        <v>2558</v>
      </c>
      <c r="C443" s="2" t="s">
        <v>770</v>
      </c>
      <c r="D443" s="2" t="s">
        <v>2559</v>
      </c>
      <c r="E443" s="2" t="s">
        <v>35</v>
      </c>
      <c r="F443" s="2" t="s">
        <v>36</v>
      </c>
      <c r="G443" s="2" t="s">
        <v>44</v>
      </c>
      <c r="H443" s="2" t="s">
        <v>2560</v>
      </c>
      <c r="I443" s="3" t="s">
        <v>2561</v>
      </c>
      <c r="J443" s="2" t="s">
        <v>2562</v>
      </c>
      <c r="K443" s="2" t="s">
        <v>2563</v>
      </c>
      <c r="L443" s="4" t="n">
        <v>89</v>
      </c>
      <c r="M443" s="4" t="s">
        <v>42</v>
      </c>
      <c r="N443" s="5" t="n">
        <v>89</v>
      </c>
      <c r="O443" s="6" t="n">
        <v>63</v>
      </c>
      <c r="P443" s="6" t="s">
        <v>44</v>
      </c>
      <c r="Q443" s="7" t="n">
        <v>63</v>
      </c>
      <c r="R443" s="8" t="n">
        <v>44</v>
      </c>
      <c r="S443" s="8" t="s">
        <v>45</v>
      </c>
      <c r="T443" s="9" t="n">
        <v>44</v>
      </c>
      <c r="U443" s="10" t="n">
        <v>72</v>
      </c>
      <c r="V443" s="10" t="s">
        <v>43</v>
      </c>
      <c r="W443" s="11" t="n">
        <v>72</v>
      </c>
      <c r="X443" s="12" t="n">
        <v>51</v>
      </c>
      <c r="Y443" s="12" t="s">
        <v>53</v>
      </c>
      <c r="Z443" s="13" t="n">
        <v>51</v>
      </c>
      <c r="AA443" s="14" t="n">
        <v>45</v>
      </c>
      <c r="AB443" s="14" t="s">
        <v>45</v>
      </c>
      <c r="AC443" s="15" t="n">
        <v>45</v>
      </c>
      <c r="AD443" s="2" t="n">
        <f aca="false">SUM(L443,O443,R443,U443,X443,AA443)</f>
        <v>364</v>
      </c>
      <c r="AE443" s="16" t="n">
        <f aca="false">AD443/6</f>
        <v>60.6666666666667</v>
      </c>
      <c r="AF443" s="2" t="str">
        <f aca="false">IF(SUM(COUNTIF(M443,"RA"),COUNTIF(P443,"RA"),COUNTIF(S443,"RA"),COUNTIF(V443,"RA"),COUNTIF(Y443,"RA"),COUNTIF(AB443,"RA"))&gt;0,"FAIL","PASS")</f>
        <v>FAIL</v>
      </c>
    </row>
    <row r="444" customFormat="false" ht="15" hidden="false" customHeight="false" outlineLevel="0" collapsed="false">
      <c r="A444" s="2" t="n">
        <v>443</v>
      </c>
      <c r="B444" s="3" t="s">
        <v>2564</v>
      </c>
      <c r="C444" s="2" t="s">
        <v>783</v>
      </c>
      <c r="D444" s="2" t="s">
        <v>2565</v>
      </c>
      <c r="E444" s="2" t="s">
        <v>35</v>
      </c>
      <c r="F444" s="2" t="s">
        <v>36</v>
      </c>
      <c r="G444" s="2" t="s">
        <v>48</v>
      </c>
      <c r="H444" s="2" t="s">
        <v>2566</v>
      </c>
      <c r="I444" s="3" t="s">
        <v>2567</v>
      </c>
      <c r="J444" s="2" t="s">
        <v>2568</v>
      </c>
      <c r="K444" s="2" t="s">
        <v>2569</v>
      </c>
      <c r="L444" s="4" t="n">
        <v>48</v>
      </c>
      <c r="M444" s="4" t="s">
        <v>45</v>
      </c>
      <c r="N444" s="5" t="n">
        <v>48</v>
      </c>
      <c r="O444" s="6" t="n">
        <v>74</v>
      </c>
      <c r="P444" s="6" t="s">
        <v>43</v>
      </c>
      <c r="Q444" s="7" t="n">
        <v>74</v>
      </c>
      <c r="R444" s="8" t="n">
        <v>76</v>
      </c>
      <c r="S444" s="8" t="s">
        <v>43</v>
      </c>
      <c r="T444" s="9" t="n">
        <v>76</v>
      </c>
      <c r="U444" s="10" t="n">
        <v>75</v>
      </c>
      <c r="V444" s="10" t="s">
        <v>43</v>
      </c>
      <c r="W444" s="11" t="n">
        <v>75</v>
      </c>
      <c r="X444" s="12" t="n">
        <v>98</v>
      </c>
      <c r="Y444" s="12" t="s">
        <v>54</v>
      </c>
      <c r="Z444" s="13" t="n">
        <v>98</v>
      </c>
      <c r="AA444" s="14" t="n">
        <v>99</v>
      </c>
      <c r="AB444" s="14" t="s">
        <v>54</v>
      </c>
      <c r="AC444" s="15" t="n">
        <v>99</v>
      </c>
      <c r="AD444" s="2" t="n">
        <f aca="false">SUM(L444,O444,R444,U444,X444,AA444)</f>
        <v>470</v>
      </c>
      <c r="AE444" s="16" t="n">
        <f aca="false">AD444/6</f>
        <v>78.3333333333333</v>
      </c>
      <c r="AF444" s="2" t="str">
        <f aca="false">IF(SUM(COUNTIF(M444,"RA"),COUNTIF(P444,"RA"),COUNTIF(S444,"RA"),COUNTIF(V444,"RA"),COUNTIF(Y444,"RA"),COUNTIF(AB444,"RA"))&gt;0,"FAIL","PASS")</f>
        <v>FAIL</v>
      </c>
    </row>
    <row r="445" customFormat="false" ht="15" hidden="false" customHeight="false" outlineLevel="0" collapsed="false">
      <c r="A445" s="2" t="n">
        <v>444</v>
      </c>
      <c r="B445" s="3" t="s">
        <v>2570</v>
      </c>
      <c r="C445" s="2" t="s">
        <v>750</v>
      </c>
      <c r="D445" s="2" t="s">
        <v>2571</v>
      </c>
      <c r="E445" s="2" t="s">
        <v>57</v>
      </c>
      <c r="F445" s="2" t="s">
        <v>36</v>
      </c>
      <c r="G445" s="2" t="s">
        <v>42</v>
      </c>
      <c r="H445" s="2" t="s">
        <v>271</v>
      </c>
      <c r="I445" s="3" t="s">
        <v>2572</v>
      </c>
      <c r="J445" s="2" t="s">
        <v>2573</v>
      </c>
      <c r="K445" s="2" t="s">
        <v>2574</v>
      </c>
      <c r="L445" s="4" t="n">
        <v>80</v>
      </c>
      <c r="M445" s="4" t="s">
        <v>42</v>
      </c>
      <c r="N445" s="5" t="n">
        <v>80</v>
      </c>
      <c r="O445" s="6" t="n">
        <v>88</v>
      </c>
      <c r="P445" s="6" t="s">
        <v>42</v>
      </c>
      <c r="Q445" s="7" t="n">
        <v>88</v>
      </c>
      <c r="R445" s="8" t="n">
        <v>49</v>
      </c>
      <c r="S445" s="8" t="s">
        <v>45</v>
      </c>
      <c r="T445" s="9" t="n">
        <v>49</v>
      </c>
      <c r="U445" s="10" t="n">
        <v>97</v>
      </c>
      <c r="V445" s="10" t="s">
        <v>54</v>
      </c>
      <c r="W445" s="11" t="n">
        <v>97</v>
      </c>
      <c r="X445" s="12" t="n">
        <v>99</v>
      </c>
      <c r="Y445" s="12" t="s">
        <v>54</v>
      </c>
      <c r="Z445" s="13" t="n">
        <v>99</v>
      </c>
      <c r="AA445" s="14" t="n">
        <v>95</v>
      </c>
      <c r="AB445" s="14" t="s">
        <v>54</v>
      </c>
      <c r="AC445" s="15" t="n">
        <v>95</v>
      </c>
      <c r="AD445" s="2" t="n">
        <f aca="false">SUM(L445,O445,R445,U445,X445,AA445)</f>
        <v>508</v>
      </c>
      <c r="AE445" s="16" t="n">
        <f aca="false">AD445/6</f>
        <v>84.6666666666667</v>
      </c>
      <c r="AF445" s="2" t="str">
        <f aca="false">IF(SUM(COUNTIF(M445,"RA"),COUNTIF(P445,"RA"),COUNTIF(S445,"RA"),COUNTIF(V445,"RA"),COUNTIF(Y445,"RA"),COUNTIF(AB445,"RA"))&gt;0,"FAIL","PASS")</f>
        <v>FAIL</v>
      </c>
    </row>
    <row r="446" customFormat="false" ht="15" hidden="false" customHeight="false" outlineLevel="0" collapsed="false">
      <c r="A446" s="2" t="n">
        <v>445</v>
      </c>
      <c r="B446" s="3" t="s">
        <v>2575</v>
      </c>
      <c r="C446" s="2" t="s">
        <v>841</v>
      </c>
      <c r="D446" s="2" t="s">
        <v>2576</v>
      </c>
      <c r="E446" s="2" t="s">
        <v>57</v>
      </c>
      <c r="F446" s="2" t="s">
        <v>36</v>
      </c>
      <c r="G446" s="2" t="s">
        <v>44</v>
      </c>
      <c r="H446" s="2" t="s">
        <v>2577</v>
      </c>
      <c r="I446" s="3" t="s">
        <v>141</v>
      </c>
      <c r="J446" s="2" t="s">
        <v>2578</v>
      </c>
      <c r="K446" s="2" t="s">
        <v>2579</v>
      </c>
      <c r="L446" s="4" t="n">
        <v>77</v>
      </c>
      <c r="M446" s="4" t="s">
        <v>43</v>
      </c>
      <c r="N446" s="5" t="n">
        <v>77</v>
      </c>
      <c r="O446" s="6" t="n">
        <v>96</v>
      </c>
      <c r="P446" s="6" t="s">
        <v>54</v>
      </c>
      <c r="Q446" s="7" t="n">
        <v>96</v>
      </c>
      <c r="R446" s="8" t="n">
        <v>74</v>
      </c>
      <c r="S446" s="8" t="s">
        <v>43</v>
      </c>
      <c r="T446" s="9" t="n">
        <v>74</v>
      </c>
      <c r="U446" s="10" t="n">
        <v>99</v>
      </c>
      <c r="V446" s="10" t="s">
        <v>54</v>
      </c>
      <c r="W446" s="11" t="n">
        <v>99</v>
      </c>
      <c r="X446" s="12" t="n">
        <v>56</v>
      </c>
      <c r="Y446" s="12" t="s">
        <v>53</v>
      </c>
      <c r="Z446" s="13" t="n">
        <v>56</v>
      </c>
      <c r="AA446" s="14" t="n">
        <v>40</v>
      </c>
      <c r="AB446" s="14" t="s">
        <v>45</v>
      </c>
      <c r="AC446" s="15" t="n">
        <v>40</v>
      </c>
      <c r="AD446" s="2" t="n">
        <f aca="false">SUM(L446,O446,R446,U446,X446,AA446)</f>
        <v>442</v>
      </c>
      <c r="AE446" s="16" t="n">
        <f aca="false">AD446/6</f>
        <v>73.6666666666667</v>
      </c>
      <c r="AF446" s="2" t="str">
        <f aca="false">IF(SUM(COUNTIF(M446,"RA"),COUNTIF(P446,"RA"),COUNTIF(S446,"RA"),COUNTIF(V446,"RA"),COUNTIF(Y446,"RA"),COUNTIF(AB446,"RA"))&gt;0,"FAIL","PASS")</f>
        <v>FAIL</v>
      </c>
    </row>
    <row r="447" customFormat="false" ht="15" hidden="false" customHeight="false" outlineLevel="0" collapsed="false">
      <c r="A447" s="2" t="n">
        <v>446</v>
      </c>
      <c r="B447" s="3" t="s">
        <v>2580</v>
      </c>
      <c r="C447" s="2" t="s">
        <v>859</v>
      </c>
      <c r="D447" s="2" t="s">
        <v>2581</v>
      </c>
      <c r="E447" s="2" t="s">
        <v>57</v>
      </c>
      <c r="F447" s="2" t="s">
        <v>36</v>
      </c>
      <c r="G447" s="2" t="s">
        <v>37</v>
      </c>
      <c r="H447" s="2" t="s">
        <v>2582</v>
      </c>
      <c r="I447" s="3" t="s">
        <v>2583</v>
      </c>
      <c r="J447" s="2" t="s">
        <v>2584</v>
      </c>
      <c r="K447" s="2" t="s">
        <v>2585</v>
      </c>
      <c r="L447" s="4" t="n">
        <v>99</v>
      </c>
      <c r="M447" s="4" t="s">
        <v>54</v>
      </c>
      <c r="N447" s="5" t="n">
        <v>99</v>
      </c>
      <c r="O447" s="6" t="n">
        <v>100</v>
      </c>
      <c r="P447" s="6" t="s">
        <v>54</v>
      </c>
      <c r="Q447" s="7" t="n">
        <v>100</v>
      </c>
      <c r="R447" s="8" t="n">
        <v>91</v>
      </c>
      <c r="S447" s="8" t="s">
        <v>54</v>
      </c>
      <c r="T447" s="9" t="n">
        <v>91</v>
      </c>
      <c r="U447" s="10" t="n">
        <v>72</v>
      </c>
      <c r="V447" s="10" t="s">
        <v>43</v>
      </c>
      <c r="W447" s="11" t="n">
        <v>72</v>
      </c>
      <c r="X447" s="12" t="n">
        <v>95</v>
      </c>
      <c r="Y447" s="12" t="s">
        <v>54</v>
      </c>
      <c r="Z447" s="13" t="n">
        <v>95</v>
      </c>
      <c r="AA447" s="14" t="n">
        <v>92</v>
      </c>
      <c r="AB447" s="14" t="s">
        <v>54</v>
      </c>
      <c r="AC447" s="15" t="n">
        <v>92</v>
      </c>
      <c r="AD447" s="2" t="n">
        <f aca="false">SUM(L447,O447,R447,U447,X447,AA447)</f>
        <v>549</v>
      </c>
      <c r="AE447" s="16" t="n">
        <f aca="false">AD447/6</f>
        <v>91.5</v>
      </c>
      <c r="AF447" s="2" t="str">
        <f aca="false">IF(SUM(COUNTIF(M447,"RA"),COUNTIF(P447,"RA"),COUNTIF(S447,"RA"),COUNTIF(V447,"RA"),COUNTIF(Y447,"RA"),COUNTIF(AB447,"RA"))&gt;0,"FAIL","PASS")</f>
        <v>PASS</v>
      </c>
    </row>
    <row r="448" customFormat="false" ht="15" hidden="false" customHeight="false" outlineLevel="0" collapsed="false">
      <c r="A448" s="2" t="n">
        <v>447</v>
      </c>
      <c r="B448" s="3" t="s">
        <v>2586</v>
      </c>
      <c r="C448" s="2" t="s">
        <v>816</v>
      </c>
      <c r="D448" s="2" t="s">
        <v>2587</v>
      </c>
      <c r="E448" s="2" t="s">
        <v>35</v>
      </c>
      <c r="F448" s="2" t="s">
        <v>36</v>
      </c>
      <c r="G448" s="2" t="s">
        <v>71</v>
      </c>
      <c r="H448" s="2" t="s">
        <v>2588</v>
      </c>
      <c r="I448" s="3" t="s">
        <v>2589</v>
      </c>
      <c r="J448" s="2" t="s">
        <v>2590</v>
      </c>
      <c r="K448" s="2" t="s">
        <v>2591</v>
      </c>
      <c r="L448" s="4" t="n">
        <v>56</v>
      </c>
      <c r="M448" s="4" t="s">
        <v>53</v>
      </c>
      <c r="N448" s="5" t="n">
        <v>56</v>
      </c>
      <c r="O448" s="6" t="n">
        <v>89</v>
      </c>
      <c r="P448" s="6" t="s">
        <v>42</v>
      </c>
      <c r="Q448" s="7" t="n">
        <v>89</v>
      </c>
      <c r="R448" s="8" t="n">
        <v>67</v>
      </c>
      <c r="S448" s="8" t="s">
        <v>44</v>
      </c>
      <c r="T448" s="9" t="n">
        <v>67</v>
      </c>
      <c r="U448" s="10" t="n">
        <v>73</v>
      </c>
      <c r="V448" s="10" t="s">
        <v>43</v>
      </c>
      <c r="W448" s="11" t="n">
        <v>73</v>
      </c>
      <c r="X448" s="12" t="n">
        <v>82</v>
      </c>
      <c r="Y448" s="12" t="s">
        <v>42</v>
      </c>
      <c r="Z448" s="13" t="n">
        <v>82</v>
      </c>
      <c r="AA448" s="14" t="n">
        <v>86</v>
      </c>
      <c r="AB448" s="14" t="s">
        <v>42</v>
      </c>
      <c r="AC448" s="15" t="n">
        <v>86</v>
      </c>
      <c r="AD448" s="2" t="n">
        <f aca="false">SUM(L448,O448,R448,U448,X448,AA448)</f>
        <v>453</v>
      </c>
      <c r="AE448" s="16" t="n">
        <f aca="false">AD448/6</f>
        <v>75.5</v>
      </c>
      <c r="AF448" s="2" t="str">
        <f aca="false">IF(SUM(COUNTIF(M448,"RA"),COUNTIF(P448,"RA"),COUNTIF(S448,"RA"),COUNTIF(V448,"RA"),COUNTIF(Y448,"RA"),COUNTIF(AB448,"RA"))&gt;0,"FAIL","PASS")</f>
        <v>PASS</v>
      </c>
    </row>
    <row r="449" customFormat="false" ht="15" hidden="false" customHeight="false" outlineLevel="0" collapsed="false">
      <c r="A449" s="2" t="n">
        <v>448</v>
      </c>
      <c r="B449" s="3" t="s">
        <v>2592</v>
      </c>
      <c r="C449" s="2" t="s">
        <v>783</v>
      </c>
      <c r="D449" s="2" t="s">
        <v>2593</v>
      </c>
      <c r="E449" s="2" t="s">
        <v>57</v>
      </c>
      <c r="F449" s="2" t="s">
        <v>36</v>
      </c>
      <c r="G449" s="2" t="s">
        <v>71</v>
      </c>
      <c r="H449" s="2" t="s">
        <v>2594</v>
      </c>
      <c r="I449" s="3" t="s">
        <v>2595</v>
      </c>
      <c r="J449" s="2" t="s">
        <v>2596</v>
      </c>
      <c r="K449" s="2" t="s">
        <v>2597</v>
      </c>
      <c r="L449" s="4" t="n">
        <v>79</v>
      </c>
      <c r="M449" s="4" t="s">
        <v>43</v>
      </c>
      <c r="N449" s="5" t="n">
        <v>79</v>
      </c>
      <c r="O449" s="6" t="n">
        <v>86</v>
      </c>
      <c r="P449" s="6" t="s">
        <v>42</v>
      </c>
      <c r="Q449" s="7" t="n">
        <v>86</v>
      </c>
      <c r="R449" s="8" t="n">
        <v>57</v>
      </c>
      <c r="S449" s="8" t="s">
        <v>53</v>
      </c>
      <c r="T449" s="9" t="n">
        <v>57</v>
      </c>
      <c r="U449" s="10" t="n">
        <v>60</v>
      </c>
      <c r="V449" s="10" t="s">
        <v>44</v>
      </c>
      <c r="W449" s="11" t="n">
        <v>60</v>
      </c>
      <c r="X449" s="12" t="n">
        <v>46</v>
      </c>
      <c r="Y449" s="12" t="s">
        <v>45</v>
      </c>
      <c r="Z449" s="13" t="n">
        <v>46</v>
      </c>
      <c r="AA449" s="14" t="n">
        <v>99</v>
      </c>
      <c r="AB449" s="14" t="s">
        <v>54</v>
      </c>
      <c r="AC449" s="15" t="n">
        <v>99</v>
      </c>
      <c r="AD449" s="2" t="n">
        <f aca="false">SUM(L449,O449,R449,U449,X449,AA449)</f>
        <v>427</v>
      </c>
      <c r="AE449" s="16" t="n">
        <f aca="false">AD449/6</f>
        <v>71.1666666666667</v>
      </c>
      <c r="AF449" s="2" t="str">
        <f aca="false">IF(SUM(COUNTIF(M449,"RA"),COUNTIF(P449,"RA"),COUNTIF(S449,"RA"),COUNTIF(V449,"RA"),COUNTIF(Y449,"RA"),COUNTIF(AB449,"RA"))&gt;0,"FAIL","PASS")</f>
        <v>FAIL</v>
      </c>
    </row>
    <row r="450" customFormat="false" ht="15" hidden="false" customHeight="false" outlineLevel="0" collapsed="false">
      <c r="A450" s="2" t="n">
        <v>449</v>
      </c>
      <c r="B450" s="3" t="s">
        <v>2598</v>
      </c>
      <c r="C450" s="2" t="s">
        <v>783</v>
      </c>
      <c r="D450" s="2" t="s">
        <v>2599</v>
      </c>
      <c r="E450" s="2" t="s">
        <v>57</v>
      </c>
      <c r="F450" s="2" t="s">
        <v>36</v>
      </c>
      <c r="G450" s="2" t="s">
        <v>44</v>
      </c>
      <c r="H450" s="2" t="s">
        <v>2600</v>
      </c>
      <c r="I450" s="3" t="s">
        <v>2601</v>
      </c>
      <c r="J450" s="2" t="s">
        <v>2602</v>
      </c>
      <c r="K450" s="2" t="s">
        <v>2603</v>
      </c>
      <c r="L450" s="4" t="n">
        <v>64</v>
      </c>
      <c r="M450" s="4" t="s">
        <v>44</v>
      </c>
      <c r="N450" s="5" t="n">
        <v>64</v>
      </c>
      <c r="O450" s="6" t="n">
        <v>98</v>
      </c>
      <c r="P450" s="6" t="s">
        <v>54</v>
      </c>
      <c r="Q450" s="7" t="n">
        <v>98</v>
      </c>
      <c r="R450" s="8" t="n">
        <v>84</v>
      </c>
      <c r="S450" s="8" t="s">
        <v>42</v>
      </c>
      <c r="T450" s="9" t="n">
        <v>84</v>
      </c>
      <c r="U450" s="10" t="n">
        <v>72</v>
      </c>
      <c r="V450" s="10" t="s">
        <v>43</v>
      </c>
      <c r="W450" s="11" t="n">
        <v>72</v>
      </c>
      <c r="X450" s="12" t="n">
        <v>89</v>
      </c>
      <c r="Y450" s="12" t="s">
        <v>42</v>
      </c>
      <c r="Z450" s="13" t="n">
        <v>89</v>
      </c>
      <c r="AA450" s="14" t="n">
        <v>60</v>
      </c>
      <c r="AB450" s="14" t="s">
        <v>44</v>
      </c>
      <c r="AC450" s="15" t="n">
        <v>60</v>
      </c>
      <c r="AD450" s="2" t="n">
        <f aca="false">SUM(L450,O450,R450,U450,X450,AA450)</f>
        <v>467</v>
      </c>
      <c r="AE450" s="16" t="n">
        <f aca="false">AD450/6</f>
        <v>77.8333333333333</v>
      </c>
      <c r="AF450" s="2" t="str">
        <f aca="false">IF(SUM(COUNTIF(M450,"RA"),COUNTIF(P450,"RA"),COUNTIF(S450,"RA"),COUNTIF(V450,"RA"),COUNTIF(Y450,"RA"),COUNTIF(AB450,"RA"))&gt;0,"FAIL","PASS")</f>
        <v>PASS</v>
      </c>
    </row>
    <row r="451" customFormat="false" ht="15" hidden="false" customHeight="false" outlineLevel="0" collapsed="false">
      <c r="A451" s="2" t="n">
        <v>450</v>
      </c>
      <c r="B451" s="3" t="s">
        <v>2604</v>
      </c>
      <c r="C451" s="2" t="s">
        <v>816</v>
      </c>
      <c r="D451" s="2" t="s">
        <v>2605</v>
      </c>
      <c r="E451" s="2" t="s">
        <v>35</v>
      </c>
      <c r="F451" s="2" t="s">
        <v>36</v>
      </c>
      <c r="G451" s="2" t="s">
        <v>71</v>
      </c>
      <c r="H451" s="2" t="s">
        <v>2606</v>
      </c>
      <c r="I451" s="3" t="s">
        <v>2607</v>
      </c>
      <c r="J451" s="2" t="s">
        <v>2608</v>
      </c>
      <c r="K451" s="2" t="s">
        <v>2609</v>
      </c>
      <c r="L451" s="4" t="n">
        <v>79</v>
      </c>
      <c r="M451" s="4" t="s">
        <v>43</v>
      </c>
      <c r="N451" s="5" t="n">
        <v>79</v>
      </c>
      <c r="O451" s="6" t="n">
        <v>99</v>
      </c>
      <c r="P451" s="6" t="s">
        <v>54</v>
      </c>
      <c r="Q451" s="7" t="n">
        <v>99</v>
      </c>
      <c r="R451" s="8" t="n">
        <v>46</v>
      </c>
      <c r="S451" s="8" t="s">
        <v>45</v>
      </c>
      <c r="T451" s="9" t="n">
        <v>46</v>
      </c>
      <c r="U451" s="10" t="n">
        <v>46</v>
      </c>
      <c r="V451" s="10" t="s">
        <v>45</v>
      </c>
      <c r="W451" s="11" t="n">
        <v>46</v>
      </c>
      <c r="X451" s="12" t="n">
        <v>86</v>
      </c>
      <c r="Y451" s="12" t="s">
        <v>42</v>
      </c>
      <c r="Z451" s="13" t="n">
        <v>86</v>
      </c>
      <c r="AA451" s="14" t="n">
        <v>59</v>
      </c>
      <c r="AB451" s="14" t="s">
        <v>53</v>
      </c>
      <c r="AC451" s="15" t="n">
        <v>59</v>
      </c>
      <c r="AD451" s="2" t="n">
        <f aca="false">SUM(L451,O451,R451,U451,X451,AA451)</f>
        <v>415</v>
      </c>
      <c r="AE451" s="16" t="n">
        <f aca="false">AD451/6</f>
        <v>69.1666666666667</v>
      </c>
      <c r="AF451" s="2" t="str">
        <f aca="false">IF(SUM(COUNTIF(M451,"RA"),COUNTIF(P451,"RA"),COUNTIF(S451,"RA"),COUNTIF(V451,"RA"),COUNTIF(Y451,"RA"),COUNTIF(AB451,"RA"))&gt;0,"FAIL","PASS")</f>
        <v>FAIL</v>
      </c>
    </row>
    <row r="452" customFormat="false" ht="15" hidden="false" customHeight="false" outlineLevel="0" collapsed="false">
      <c r="A452" s="2" t="n">
        <v>451</v>
      </c>
      <c r="B452" s="3" t="s">
        <v>2610</v>
      </c>
      <c r="C452" s="2" t="s">
        <v>816</v>
      </c>
      <c r="D452" s="2" t="s">
        <v>2611</v>
      </c>
      <c r="E452" s="2" t="s">
        <v>35</v>
      </c>
      <c r="F452" s="2" t="s">
        <v>36</v>
      </c>
      <c r="G452" s="2" t="s">
        <v>44</v>
      </c>
      <c r="H452" s="2" t="s">
        <v>389</v>
      </c>
      <c r="I452" s="3" t="s">
        <v>2612</v>
      </c>
      <c r="J452" s="2" t="s">
        <v>2613</v>
      </c>
      <c r="K452" s="2" t="s">
        <v>2614</v>
      </c>
      <c r="L452" s="4" t="n">
        <v>62</v>
      </c>
      <c r="M452" s="4" t="s">
        <v>44</v>
      </c>
      <c r="N452" s="5" t="n">
        <v>62</v>
      </c>
      <c r="O452" s="6" t="n">
        <v>71</v>
      </c>
      <c r="P452" s="6" t="s">
        <v>43</v>
      </c>
      <c r="Q452" s="7" t="n">
        <v>71</v>
      </c>
      <c r="R452" s="8" t="n">
        <v>66</v>
      </c>
      <c r="S452" s="8" t="s">
        <v>44</v>
      </c>
      <c r="T452" s="9" t="n">
        <v>66</v>
      </c>
      <c r="U452" s="10" t="n">
        <v>86</v>
      </c>
      <c r="V452" s="10" t="s">
        <v>42</v>
      </c>
      <c r="W452" s="11" t="n">
        <v>86</v>
      </c>
      <c r="X452" s="12" t="n">
        <v>87</v>
      </c>
      <c r="Y452" s="12" t="s">
        <v>42</v>
      </c>
      <c r="Z452" s="13" t="n">
        <v>87</v>
      </c>
      <c r="AA452" s="14" t="n">
        <v>77</v>
      </c>
      <c r="AB452" s="14" t="s">
        <v>43</v>
      </c>
      <c r="AC452" s="15" t="n">
        <v>77</v>
      </c>
      <c r="AD452" s="2" t="n">
        <f aca="false">SUM(L452,O452,R452,U452,X452,AA452)</f>
        <v>449</v>
      </c>
      <c r="AE452" s="16" t="n">
        <f aca="false">AD452/6</f>
        <v>74.8333333333333</v>
      </c>
      <c r="AF452" s="2" t="str">
        <f aca="false">IF(SUM(COUNTIF(M452,"RA"),COUNTIF(P452,"RA"),COUNTIF(S452,"RA"),COUNTIF(V452,"RA"),COUNTIF(Y452,"RA"),COUNTIF(AB452,"RA"))&gt;0,"FAIL","PASS")</f>
        <v>PASS</v>
      </c>
    </row>
    <row r="453" customFormat="false" ht="15" hidden="false" customHeight="false" outlineLevel="0" collapsed="false">
      <c r="A453" s="2" t="n">
        <v>452</v>
      </c>
      <c r="B453" s="3" t="s">
        <v>2615</v>
      </c>
      <c r="C453" s="2" t="s">
        <v>859</v>
      </c>
      <c r="D453" s="2" t="s">
        <v>2616</v>
      </c>
      <c r="E453" s="2" t="s">
        <v>35</v>
      </c>
      <c r="F453" s="2" t="s">
        <v>36</v>
      </c>
      <c r="G453" s="2" t="s">
        <v>71</v>
      </c>
      <c r="H453" s="2" t="s">
        <v>572</v>
      </c>
      <c r="I453" s="3" t="s">
        <v>678</v>
      </c>
      <c r="J453" s="2" t="s">
        <v>2617</v>
      </c>
      <c r="K453" s="2" t="s">
        <v>2618</v>
      </c>
      <c r="L453" s="4" t="n">
        <v>63</v>
      </c>
      <c r="M453" s="4" t="s">
        <v>44</v>
      </c>
      <c r="N453" s="5" t="n">
        <v>63</v>
      </c>
      <c r="O453" s="6" t="n">
        <v>97</v>
      </c>
      <c r="P453" s="6" t="s">
        <v>54</v>
      </c>
      <c r="Q453" s="7" t="n">
        <v>97</v>
      </c>
      <c r="R453" s="8" t="n">
        <v>100</v>
      </c>
      <c r="S453" s="8" t="s">
        <v>54</v>
      </c>
      <c r="T453" s="9" t="n">
        <v>100</v>
      </c>
      <c r="U453" s="10" t="n">
        <v>60</v>
      </c>
      <c r="V453" s="10" t="s">
        <v>44</v>
      </c>
      <c r="W453" s="11" t="n">
        <v>60</v>
      </c>
      <c r="X453" s="12" t="n">
        <v>57</v>
      </c>
      <c r="Y453" s="12" t="s">
        <v>53</v>
      </c>
      <c r="Z453" s="13" t="n">
        <v>57</v>
      </c>
      <c r="AA453" s="14" t="n">
        <v>83</v>
      </c>
      <c r="AB453" s="14" t="s">
        <v>42</v>
      </c>
      <c r="AC453" s="15" t="n">
        <v>83</v>
      </c>
      <c r="AD453" s="2" t="n">
        <f aca="false">SUM(L453,O453,R453,U453,X453,AA453)</f>
        <v>460</v>
      </c>
      <c r="AE453" s="16" t="n">
        <f aca="false">AD453/6</f>
        <v>76.6666666666667</v>
      </c>
      <c r="AF453" s="2" t="str">
        <f aca="false">IF(SUM(COUNTIF(M453,"RA"),COUNTIF(P453,"RA"),COUNTIF(S453,"RA"),COUNTIF(V453,"RA"),COUNTIF(Y453,"RA"),COUNTIF(AB453,"RA"))&gt;0,"FAIL","PASS")</f>
        <v>PASS</v>
      </c>
    </row>
    <row r="454" customFormat="false" ht="15" hidden="false" customHeight="false" outlineLevel="0" collapsed="false">
      <c r="A454" s="2" t="n">
        <v>453</v>
      </c>
      <c r="B454" s="3" t="s">
        <v>2619</v>
      </c>
      <c r="C454" s="2" t="s">
        <v>757</v>
      </c>
      <c r="D454" s="2" t="s">
        <v>2620</v>
      </c>
      <c r="E454" s="2" t="s">
        <v>57</v>
      </c>
      <c r="F454" s="2" t="s">
        <v>36</v>
      </c>
      <c r="G454" s="2" t="s">
        <v>64</v>
      </c>
      <c r="H454" s="2" t="s">
        <v>2621</v>
      </c>
      <c r="I454" s="3" t="s">
        <v>607</v>
      </c>
      <c r="J454" s="2" t="s">
        <v>2622</v>
      </c>
      <c r="K454" s="2" t="s">
        <v>2623</v>
      </c>
      <c r="L454" s="4" t="n">
        <v>99</v>
      </c>
      <c r="M454" s="4" t="s">
        <v>54</v>
      </c>
      <c r="N454" s="5" t="n">
        <v>99</v>
      </c>
      <c r="O454" s="6" t="n">
        <v>93</v>
      </c>
      <c r="P454" s="6" t="s">
        <v>54</v>
      </c>
      <c r="Q454" s="7" t="n">
        <v>93</v>
      </c>
      <c r="R454" s="8" t="n">
        <v>70</v>
      </c>
      <c r="S454" s="8" t="s">
        <v>43</v>
      </c>
      <c r="T454" s="9" t="n">
        <v>70</v>
      </c>
      <c r="U454" s="10" t="n">
        <v>62</v>
      </c>
      <c r="V454" s="10" t="s">
        <v>44</v>
      </c>
      <c r="W454" s="11" t="n">
        <v>62</v>
      </c>
      <c r="X454" s="12" t="n">
        <v>60</v>
      </c>
      <c r="Y454" s="12" t="s">
        <v>44</v>
      </c>
      <c r="Z454" s="13" t="n">
        <v>60</v>
      </c>
      <c r="AA454" s="14" t="n">
        <v>57</v>
      </c>
      <c r="AB454" s="14" t="s">
        <v>53</v>
      </c>
      <c r="AC454" s="15" t="n">
        <v>57</v>
      </c>
      <c r="AD454" s="2" t="n">
        <f aca="false">SUM(L454,O454,R454,U454,X454,AA454)</f>
        <v>441</v>
      </c>
      <c r="AE454" s="16" t="n">
        <f aca="false">AD454/6</f>
        <v>73.5</v>
      </c>
      <c r="AF454" s="2" t="str">
        <f aca="false">IF(SUM(COUNTIF(M454,"RA"),COUNTIF(P454,"RA"),COUNTIF(S454,"RA"),COUNTIF(V454,"RA"),COUNTIF(Y454,"RA"),COUNTIF(AB454,"RA"))&gt;0,"FAIL","PASS")</f>
        <v>PASS</v>
      </c>
    </row>
    <row r="455" customFormat="false" ht="15" hidden="false" customHeight="false" outlineLevel="0" collapsed="false">
      <c r="A455" s="2" t="n">
        <v>454</v>
      </c>
      <c r="B455" s="3" t="s">
        <v>2624</v>
      </c>
      <c r="C455" s="2" t="s">
        <v>757</v>
      </c>
      <c r="D455" s="2" t="s">
        <v>2625</v>
      </c>
      <c r="E455" s="2" t="s">
        <v>35</v>
      </c>
      <c r="F455" s="2" t="s">
        <v>36</v>
      </c>
      <c r="G455" s="2" t="s">
        <v>71</v>
      </c>
      <c r="H455" s="2" t="s">
        <v>2626</v>
      </c>
      <c r="I455" s="3" t="s">
        <v>2627</v>
      </c>
      <c r="J455" s="2" t="s">
        <v>2628</v>
      </c>
      <c r="K455" s="2" t="s">
        <v>2629</v>
      </c>
      <c r="L455" s="4" t="n">
        <v>67</v>
      </c>
      <c r="M455" s="4" t="s">
        <v>44</v>
      </c>
      <c r="N455" s="5" t="n">
        <v>67</v>
      </c>
      <c r="O455" s="6" t="n">
        <v>60</v>
      </c>
      <c r="P455" s="6" t="s">
        <v>44</v>
      </c>
      <c r="Q455" s="7" t="n">
        <v>60</v>
      </c>
      <c r="R455" s="8" t="n">
        <v>91</v>
      </c>
      <c r="S455" s="8" t="s">
        <v>54</v>
      </c>
      <c r="T455" s="9" t="n">
        <v>91</v>
      </c>
      <c r="U455" s="10" t="n">
        <v>93</v>
      </c>
      <c r="V455" s="10" t="s">
        <v>54</v>
      </c>
      <c r="W455" s="11" t="n">
        <v>93</v>
      </c>
      <c r="X455" s="12" t="n">
        <v>88</v>
      </c>
      <c r="Y455" s="12" t="s">
        <v>42</v>
      </c>
      <c r="Z455" s="13" t="n">
        <v>88</v>
      </c>
      <c r="AA455" s="14" t="n">
        <v>88</v>
      </c>
      <c r="AB455" s="14" t="s">
        <v>42</v>
      </c>
      <c r="AC455" s="15" t="n">
        <v>88</v>
      </c>
      <c r="AD455" s="2" t="n">
        <f aca="false">SUM(L455,O455,R455,U455,X455,AA455)</f>
        <v>487</v>
      </c>
      <c r="AE455" s="16" t="n">
        <f aca="false">AD455/6</f>
        <v>81.1666666666667</v>
      </c>
      <c r="AF455" s="2" t="str">
        <f aca="false">IF(SUM(COUNTIF(M455,"RA"),COUNTIF(P455,"RA"),COUNTIF(S455,"RA"),COUNTIF(V455,"RA"),COUNTIF(Y455,"RA"),COUNTIF(AB455,"RA"))&gt;0,"FAIL","PASS")</f>
        <v>PASS</v>
      </c>
    </row>
    <row r="456" customFormat="false" ht="15" hidden="false" customHeight="false" outlineLevel="0" collapsed="false">
      <c r="A456" s="2" t="n">
        <v>455</v>
      </c>
      <c r="B456" s="3" t="s">
        <v>2630</v>
      </c>
      <c r="C456" s="2" t="s">
        <v>783</v>
      </c>
      <c r="D456" s="2" t="s">
        <v>2631</v>
      </c>
      <c r="E456" s="2" t="s">
        <v>35</v>
      </c>
      <c r="F456" s="2" t="s">
        <v>36</v>
      </c>
      <c r="G456" s="2" t="s">
        <v>91</v>
      </c>
      <c r="H456" s="2" t="s">
        <v>2632</v>
      </c>
      <c r="I456" s="3" t="s">
        <v>2633</v>
      </c>
      <c r="J456" s="2" t="s">
        <v>2634</v>
      </c>
      <c r="K456" s="2" t="s">
        <v>2635</v>
      </c>
      <c r="L456" s="4" t="n">
        <v>96</v>
      </c>
      <c r="M456" s="4" t="s">
        <v>54</v>
      </c>
      <c r="N456" s="5" t="n">
        <v>96</v>
      </c>
      <c r="O456" s="6" t="n">
        <v>67</v>
      </c>
      <c r="P456" s="6" t="s">
        <v>44</v>
      </c>
      <c r="Q456" s="7" t="n">
        <v>67</v>
      </c>
      <c r="R456" s="8" t="n">
        <v>73</v>
      </c>
      <c r="S456" s="8" t="s">
        <v>43</v>
      </c>
      <c r="T456" s="9" t="n">
        <v>73</v>
      </c>
      <c r="U456" s="10" t="n">
        <v>72</v>
      </c>
      <c r="V456" s="10" t="s">
        <v>43</v>
      </c>
      <c r="W456" s="11" t="n">
        <v>72</v>
      </c>
      <c r="X456" s="12" t="n">
        <v>68</v>
      </c>
      <c r="Y456" s="12" t="s">
        <v>44</v>
      </c>
      <c r="Z456" s="13" t="n">
        <v>68</v>
      </c>
      <c r="AA456" s="14" t="n">
        <v>75</v>
      </c>
      <c r="AB456" s="14" t="s">
        <v>43</v>
      </c>
      <c r="AC456" s="15" t="n">
        <v>75</v>
      </c>
      <c r="AD456" s="2" t="n">
        <f aca="false">SUM(L456,O456,R456,U456,X456,AA456)</f>
        <v>451</v>
      </c>
      <c r="AE456" s="16" t="n">
        <f aca="false">AD456/6</f>
        <v>75.1666666666667</v>
      </c>
      <c r="AF456" s="2" t="str">
        <f aca="false">IF(SUM(COUNTIF(M456,"RA"),COUNTIF(P456,"RA"),COUNTIF(S456,"RA"),COUNTIF(V456,"RA"),COUNTIF(Y456,"RA"),COUNTIF(AB456,"RA"))&gt;0,"FAIL","PASS")</f>
        <v>PASS</v>
      </c>
    </row>
    <row r="457" customFormat="false" ht="15" hidden="false" customHeight="false" outlineLevel="0" collapsed="false">
      <c r="A457" s="2" t="n">
        <v>456</v>
      </c>
      <c r="B457" s="3" t="s">
        <v>2636</v>
      </c>
      <c r="C457" s="2" t="s">
        <v>757</v>
      </c>
      <c r="D457" s="2" t="s">
        <v>2637</v>
      </c>
      <c r="E457" s="2" t="s">
        <v>57</v>
      </c>
      <c r="F457" s="2" t="s">
        <v>36</v>
      </c>
      <c r="G457" s="2" t="s">
        <v>42</v>
      </c>
      <c r="H457" s="2" t="s">
        <v>2638</v>
      </c>
      <c r="I457" s="3" t="s">
        <v>219</v>
      </c>
      <c r="J457" s="2" t="s">
        <v>2639</v>
      </c>
      <c r="K457" s="2" t="s">
        <v>2640</v>
      </c>
      <c r="L457" s="4" t="n">
        <v>58</v>
      </c>
      <c r="M457" s="4" t="s">
        <v>53</v>
      </c>
      <c r="N457" s="5" t="n">
        <v>58</v>
      </c>
      <c r="O457" s="6" t="n">
        <v>42</v>
      </c>
      <c r="P457" s="6" t="s">
        <v>45</v>
      </c>
      <c r="Q457" s="7" t="n">
        <v>42</v>
      </c>
      <c r="R457" s="8" t="n">
        <v>95</v>
      </c>
      <c r="S457" s="8" t="s">
        <v>54</v>
      </c>
      <c r="T457" s="9" t="n">
        <v>95</v>
      </c>
      <c r="U457" s="10" t="n">
        <v>75</v>
      </c>
      <c r="V457" s="10" t="s">
        <v>43</v>
      </c>
      <c r="W457" s="11" t="n">
        <v>75</v>
      </c>
      <c r="X457" s="12" t="n">
        <v>93</v>
      </c>
      <c r="Y457" s="12" t="s">
        <v>54</v>
      </c>
      <c r="Z457" s="13" t="n">
        <v>93</v>
      </c>
      <c r="AA457" s="14" t="n">
        <v>86</v>
      </c>
      <c r="AB457" s="14" t="s">
        <v>42</v>
      </c>
      <c r="AC457" s="15" t="n">
        <v>86</v>
      </c>
      <c r="AD457" s="2" t="n">
        <f aca="false">SUM(L457,O457,R457,U457,X457,AA457)</f>
        <v>449</v>
      </c>
      <c r="AE457" s="16" t="n">
        <f aca="false">AD457/6</f>
        <v>74.8333333333333</v>
      </c>
      <c r="AF457" s="2" t="str">
        <f aca="false">IF(SUM(COUNTIF(M457,"RA"),COUNTIF(P457,"RA"),COUNTIF(S457,"RA"),COUNTIF(V457,"RA"),COUNTIF(Y457,"RA"),COUNTIF(AB457,"RA"))&gt;0,"FAIL","PASS")</f>
        <v>FAIL</v>
      </c>
    </row>
    <row r="458" customFormat="false" ht="15" hidden="false" customHeight="false" outlineLevel="0" collapsed="false">
      <c r="A458" s="2" t="n">
        <v>457</v>
      </c>
      <c r="B458" s="3" t="s">
        <v>2641</v>
      </c>
      <c r="C458" s="2" t="s">
        <v>790</v>
      </c>
      <c r="D458" s="2" t="s">
        <v>2642</v>
      </c>
      <c r="E458" s="2" t="s">
        <v>35</v>
      </c>
      <c r="F458" s="2" t="s">
        <v>36</v>
      </c>
      <c r="G458" s="2" t="s">
        <v>71</v>
      </c>
      <c r="H458" s="2" t="s">
        <v>2643</v>
      </c>
      <c r="I458" s="3" t="s">
        <v>2644</v>
      </c>
      <c r="J458" s="2" t="s">
        <v>2645</v>
      </c>
      <c r="K458" s="2" t="s">
        <v>2646</v>
      </c>
      <c r="L458" s="4" t="n">
        <v>86</v>
      </c>
      <c r="M458" s="4" t="s">
        <v>42</v>
      </c>
      <c r="N458" s="5" t="n">
        <v>86</v>
      </c>
      <c r="O458" s="6" t="n">
        <v>61</v>
      </c>
      <c r="P458" s="6" t="s">
        <v>44</v>
      </c>
      <c r="Q458" s="7" t="n">
        <v>61</v>
      </c>
      <c r="R458" s="8" t="n">
        <v>88</v>
      </c>
      <c r="S458" s="8" t="s">
        <v>42</v>
      </c>
      <c r="T458" s="9" t="n">
        <v>88</v>
      </c>
      <c r="U458" s="10" t="n">
        <v>61</v>
      </c>
      <c r="V458" s="10" t="s">
        <v>44</v>
      </c>
      <c r="W458" s="11" t="n">
        <v>61</v>
      </c>
      <c r="X458" s="12" t="n">
        <v>72</v>
      </c>
      <c r="Y458" s="12" t="s">
        <v>43</v>
      </c>
      <c r="Z458" s="13" t="n">
        <v>72</v>
      </c>
      <c r="AA458" s="14" t="n">
        <v>47</v>
      </c>
      <c r="AB458" s="14" t="s">
        <v>45</v>
      </c>
      <c r="AC458" s="15" t="n">
        <v>47</v>
      </c>
      <c r="AD458" s="2" t="n">
        <f aca="false">SUM(L458,O458,R458,U458,X458,AA458)</f>
        <v>415</v>
      </c>
      <c r="AE458" s="16" t="n">
        <f aca="false">AD458/6</f>
        <v>69.1666666666667</v>
      </c>
      <c r="AF458" s="2" t="str">
        <f aca="false">IF(SUM(COUNTIF(M458,"RA"),COUNTIF(P458,"RA"),COUNTIF(S458,"RA"),COUNTIF(V458,"RA"),COUNTIF(Y458,"RA"),COUNTIF(AB458,"RA"))&gt;0,"FAIL","PASS")</f>
        <v>FAIL</v>
      </c>
    </row>
    <row r="459" customFormat="false" ht="15" hidden="false" customHeight="false" outlineLevel="0" collapsed="false">
      <c r="A459" s="2" t="n">
        <v>458</v>
      </c>
      <c r="B459" s="3" t="s">
        <v>2647</v>
      </c>
      <c r="C459" s="2" t="s">
        <v>770</v>
      </c>
      <c r="D459" s="2" t="s">
        <v>2648</v>
      </c>
      <c r="E459" s="2" t="s">
        <v>35</v>
      </c>
      <c r="F459" s="2" t="s">
        <v>36</v>
      </c>
      <c r="G459" s="2" t="s">
        <v>37</v>
      </c>
      <c r="H459" s="2" t="s">
        <v>2649</v>
      </c>
      <c r="I459" s="3" t="s">
        <v>2650</v>
      </c>
      <c r="J459" s="2" t="s">
        <v>2651</v>
      </c>
      <c r="K459" s="2" t="s">
        <v>2652</v>
      </c>
      <c r="L459" s="4" t="n">
        <v>61</v>
      </c>
      <c r="M459" s="4" t="s">
        <v>44</v>
      </c>
      <c r="N459" s="5" t="n">
        <v>61</v>
      </c>
      <c r="O459" s="6" t="n">
        <v>69</v>
      </c>
      <c r="P459" s="6" t="s">
        <v>44</v>
      </c>
      <c r="Q459" s="7" t="n">
        <v>69</v>
      </c>
      <c r="R459" s="8" t="n">
        <v>86</v>
      </c>
      <c r="S459" s="8" t="s">
        <v>42</v>
      </c>
      <c r="T459" s="9" t="n">
        <v>86</v>
      </c>
      <c r="U459" s="10" t="n">
        <v>73</v>
      </c>
      <c r="V459" s="10" t="s">
        <v>43</v>
      </c>
      <c r="W459" s="11" t="n">
        <v>73</v>
      </c>
      <c r="X459" s="12" t="n">
        <v>62</v>
      </c>
      <c r="Y459" s="12" t="s">
        <v>44</v>
      </c>
      <c r="Z459" s="13" t="n">
        <v>62</v>
      </c>
      <c r="AA459" s="14" t="n">
        <v>93</v>
      </c>
      <c r="AB459" s="14" t="s">
        <v>54</v>
      </c>
      <c r="AC459" s="15" t="n">
        <v>93</v>
      </c>
      <c r="AD459" s="2" t="n">
        <f aca="false">SUM(L459,O459,R459,U459,X459,AA459)</f>
        <v>444</v>
      </c>
      <c r="AE459" s="16" t="n">
        <f aca="false">AD459/6</f>
        <v>74</v>
      </c>
      <c r="AF459" s="2" t="str">
        <f aca="false">IF(SUM(COUNTIF(M459,"RA"),COUNTIF(P459,"RA"),COUNTIF(S459,"RA"),COUNTIF(V459,"RA"),COUNTIF(Y459,"RA"),COUNTIF(AB459,"RA"))&gt;0,"FAIL","PASS")</f>
        <v>PASS</v>
      </c>
    </row>
    <row r="460" customFormat="false" ht="15" hidden="false" customHeight="false" outlineLevel="0" collapsed="false">
      <c r="A460" s="2" t="n">
        <v>459</v>
      </c>
      <c r="B460" s="3" t="s">
        <v>2653</v>
      </c>
      <c r="C460" s="2" t="s">
        <v>790</v>
      </c>
      <c r="D460" s="2" t="s">
        <v>2654</v>
      </c>
      <c r="E460" s="2" t="s">
        <v>57</v>
      </c>
      <c r="F460" s="2" t="s">
        <v>36</v>
      </c>
      <c r="G460" s="2" t="s">
        <v>42</v>
      </c>
      <c r="H460" s="2" t="s">
        <v>2655</v>
      </c>
      <c r="I460" s="3" t="s">
        <v>2656</v>
      </c>
      <c r="J460" s="2" t="s">
        <v>2657</v>
      </c>
      <c r="K460" s="2" t="s">
        <v>2658</v>
      </c>
      <c r="L460" s="4" t="n">
        <v>96</v>
      </c>
      <c r="M460" s="4" t="s">
        <v>54</v>
      </c>
      <c r="N460" s="5" t="n">
        <v>96</v>
      </c>
      <c r="O460" s="6" t="n">
        <v>81</v>
      </c>
      <c r="P460" s="6" t="s">
        <v>42</v>
      </c>
      <c r="Q460" s="7" t="n">
        <v>81</v>
      </c>
      <c r="R460" s="8" t="n">
        <v>77</v>
      </c>
      <c r="S460" s="8" t="s">
        <v>43</v>
      </c>
      <c r="T460" s="9" t="n">
        <v>77</v>
      </c>
      <c r="U460" s="10" t="n">
        <v>71</v>
      </c>
      <c r="V460" s="10" t="s">
        <v>43</v>
      </c>
      <c r="W460" s="11" t="n">
        <v>71</v>
      </c>
      <c r="X460" s="12" t="n">
        <v>71</v>
      </c>
      <c r="Y460" s="12" t="s">
        <v>43</v>
      </c>
      <c r="Z460" s="13" t="n">
        <v>71</v>
      </c>
      <c r="AA460" s="14" t="n">
        <v>67</v>
      </c>
      <c r="AB460" s="14" t="s">
        <v>44</v>
      </c>
      <c r="AC460" s="15" t="n">
        <v>67</v>
      </c>
      <c r="AD460" s="2" t="n">
        <f aca="false">SUM(L460,O460,R460,U460,X460,AA460)</f>
        <v>463</v>
      </c>
      <c r="AE460" s="16" t="n">
        <f aca="false">AD460/6</f>
        <v>77.1666666666667</v>
      </c>
      <c r="AF460" s="2" t="str">
        <f aca="false">IF(SUM(COUNTIF(M460,"RA"),COUNTIF(P460,"RA"),COUNTIF(S460,"RA"),COUNTIF(V460,"RA"),COUNTIF(Y460,"RA"),COUNTIF(AB460,"RA"))&gt;0,"FAIL","PASS")</f>
        <v>PASS</v>
      </c>
    </row>
    <row r="461" customFormat="false" ht="15" hidden="false" customHeight="false" outlineLevel="0" collapsed="false">
      <c r="A461" s="2" t="n">
        <v>460</v>
      </c>
      <c r="B461" s="3" t="s">
        <v>2659</v>
      </c>
      <c r="C461" s="2" t="s">
        <v>770</v>
      </c>
      <c r="D461" s="2" t="s">
        <v>2660</v>
      </c>
      <c r="E461" s="2" t="s">
        <v>57</v>
      </c>
      <c r="F461" s="2" t="s">
        <v>36</v>
      </c>
      <c r="G461" s="2" t="s">
        <v>44</v>
      </c>
      <c r="H461" s="2" t="s">
        <v>2661</v>
      </c>
      <c r="I461" s="3" t="s">
        <v>2662</v>
      </c>
      <c r="J461" s="2" t="s">
        <v>2663</v>
      </c>
      <c r="K461" s="2" t="s">
        <v>2664</v>
      </c>
      <c r="L461" s="4" t="n">
        <v>92</v>
      </c>
      <c r="M461" s="4" t="s">
        <v>54</v>
      </c>
      <c r="N461" s="5" t="n">
        <v>92</v>
      </c>
      <c r="O461" s="6" t="n">
        <v>76</v>
      </c>
      <c r="P461" s="6" t="s">
        <v>43</v>
      </c>
      <c r="Q461" s="7" t="n">
        <v>76</v>
      </c>
      <c r="R461" s="8" t="n">
        <v>75</v>
      </c>
      <c r="S461" s="8" t="s">
        <v>43</v>
      </c>
      <c r="T461" s="9" t="n">
        <v>75</v>
      </c>
      <c r="U461" s="10" t="n">
        <v>92</v>
      </c>
      <c r="V461" s="10" t="s">
        <v>54</v>
      </c>
      <c r="W461" s="11" t="n">
        <v>92</v>
      </c>
      <c r="X461" s="12" t="n">
        <v>99</v>
      </c>
      <c r="Y461" s="12" t="s">
        <v>54</v>
      </c>
      <c r="Z461" s="13" t="n">
        <v>99</v>
      </c>
      <c r="AA461" s="14" t="n">
        <v>79</v>
      </c>
      <c r="AB461" s="14" t="s">
        <v>43</v>
      </c>
      <c r="AC461" s="15" t="n">
        <v>79</v>
      </c>
      <c r="AD461" s="2" t="n">
        <f aca="false">SUM(L461,O461,R461,U461,X461,AA461)</f>
        <v>513</v>
      </c>
      <c r="AE461" s="16" t="n">
        <f aca="false">AD461/6</f>
        <v>85.5</v>
      </c>
      <c r="AF461" s="2" t="str">
        <f aca="false">IF(SUM(COUNTIF(M461,"RA"),COUNTIF(P461,"RA"),COUNTIF(S461,"RA"),COUNTIF(V461,"RA"),COUNTIF(Y461,"RA"),COUNTIF(AB461,"RA"))&gt;0,"FAIL","PASS")</f>
        <v>PASS</v>
      </c>
    </row>
    <row r="462" customFormat="false" ht="15" hidden="false" customHeight="false" outlineLevel="0" collapsed="false">
      <c r="A462" s="2" t="n">
        <v>461</v>
      </c>
      <c r="B462" s="3" t="s">
        <v>2665</v>
      </c>
      <c r="C462" s="2" t="s">
        <v>757</v>
      </c>
      <c r="D462" s="2" t="s">
        <v>2666</v>
      </c>
      <c r="E462" s="2" t="s">
        <v>57</v>
      </c>
      <c r="F462" s="2" t="s">
        <v>36</v>
      </c>
      <c r="G462" s="2" t="s">
        <v>64</v>
      </c>
      <c r="H462" s="2" t="s">
        <v>2667</v>
      </c>
      <c r="I462" s="3" t="s">
        <v>2668</v>
      </c>
      <c r="J462" s="2" t="s">
        <v>2669</v>
      </c>
      <c r="K462" s="2" t="s">
        <v>2670</v>
      </c>
      <c r="L462" s="4" t="n">
        <v>50</v>
      </c>
      <c r="M462" s="4" t="s">
        <v>53</v>
      </c>
      <c r="N462" s="5" t="n">
        <v>50</v>
      </c>
      <c r="O462" s="6" t="n">
        <v>56</v>
      </c>
      <c r="P462" s="6" t="s">
        <v>53</v>
      </c>
      <c r="Q462" s="7" t="n">
        <v>56</v>
      </c>
      <c r="R462" s="8" t="n">
        <v>68</v>
      </c>
      <c r="S462" s="8" t="s">
        <v>44</v>
      </c>
      <c r="T462" s="9" t="n">
        <v>68</v>
      </c>
      <c r="U462" s="10" t="n">
        <v>48</v>
      </c>
      <c r="V462" s="10" t="s">
        <v>45</v>
      </c>
      <c r="W462" s="11" t="n">
        <v>48</v>
      </c>
      <c r="X462" s="12" t="n">
        <v>77</v>
      </c>
      <c r="Y462" s="12" t="s">
        <v>43</v>
      </c>
      <c r="Z462" s="13" t="n">
        <v>77</v>
      </c>
      <c r="AA462" s="14" t="n">
        <v>42</v>
      </c>
      <c r="AB462" s="14" t="s">
        <v>45</v>
      </c>
      <c r="AC462" s="15" t="n">
        <v>42</v>
      </c>
      <c r="AD462" s="2" t="n">
        <f aca="false">SUM(L462,O462,R462,U462,X462,AA462)</f>
        <v>341</v>
      </c>
      <c r="AE462" s="16" t="n">
        <f aca="false">AD462/6</f>
        <v>56.8333333333333</v>
      </c>
      <c r="AF462" s="2" t="str">
        <f aca="false">IF(SUM(COUNTIF(M462,"RA"),COUNTIF(P462,"RA"),COUNTIF(S462,"RA"),COUNTIF(V462,"RA"),COUNTIF(Y462,"RA"),COUNTIF(AB462,"RA"))&gt;0,"FAIL","PASS")</f>
        <v>FAIL</v>
      </c>
    </row>
    <row r="463" customFormat="false" ht="15" hidden="false" customHeight="false" outlineLevel="0" collapsed="false">
      <c r="A463" s="2" t="n">
        <v>462</v>
      </c>
      <c r="B463" s="3" t="s">
        <v>2671</v>
      </c>
      <c r="C463" s="2" t="s">
        <v>859</v>
      </c>
      <c r="D463" s="2" t="s">
        <v>2672</v>
      </c>
      <c r="E463" s="2" t="s">
        <v>57</v>
      </c>
      <c r="F463" s="2" t="s">
        <v>36</v>
      </c>
      <c r="G463" s="2" t="s">
        <v>64</v>
      </c>
      <c r="H463" s="2" t="s">
        <v>2673</v>
      </c>
      <c r="I463" s="3" t="s">
        <v>2674</v>
      </c>
      <c r="J463" s="2" t="s">
        <v>2675</v>
      </c>
      <c r="K463" s="2" t="s">
        <v>2676</v>
      </c>
      <c r="L463" s="4" t="n">
        <v>42</v>
      </c>
      <c r="M463" s="4" t="s">
        <v>45</v>
      </c>
      <c r="N463" s="5" t="n">
        <v>42</v>
      </c>
      <c r="O463" s="6" t="n">
        <v>91</v>
      </c>
      <c r="P463" s="6" t="s">
        <v>54</v>
      </c>
      <c r="Q463" s="7" t="n">
        <v>91</v>
      </c>
      <c r="R463" s="8" t="n">
        <v>41</v>
      </c>
      <c r="S463" s="8" t="s">
        <v>45</v>
      </c>
      <c r="T463" s="9" t="n">
        <v>41</v>
      </c>
      <c r="U463" s="10" t="n">
        <v>83</v>
      </c>
      <c r="V463" s="10" t="s">
        <v>42</v>
      </c>
      <c r="W463" s="11" t="n">
        <v>83</v>
      </c>
      <c r="X463" s="12" t="n">
        <v>77</v>
      </c>
      <c r="Y463" s="12" t="s">
        <v>43</v>
      </c>
      <c r="Z463" s="13" t="n">
        <v>77</v>
      </c>
      <c r="AA463" s="14" t="n">
        <v>76</v>
      </c>
      <c r="AB463" s="14" t="s">
        <v>43</v>
      </c>
      <c r="AC463" s="15" t="n">
        <v>76</v>
      </c>
      <c r="AD463" s="2" t="n">
        <f aca="false">SUM(L463,O463,R463,U463,X463,AA463)</f>
        <v>410</v>
      </c>
      <c r="AE463" s="16" t="n">
        <f aca="false">AD463/6</f>
        <v>68.3333333333333</v>
      </c>
      <c r="AF463" s="2" t="str">
        <f aca="false">IF(SUM(COUNTIF(M463,"RA"),COUNTIF(P463,"RA"),COUNTIF(S463,"RA"),COUNTIF(V463,"RA"),COUNTIF(Y463,"RA"),COUNTIF(AB463,"RA"))&gt;0,"FAIL","PASS")</f>
        <v>FAIL</v>
      </c>
    </row>
    <row r="464" customFormat="false" ht="15" hidden="false" customHeight="false" outlineLevel="0" collapsed="false">
      <c r="A464" s="2" t="n">
        <v>463</v>
      </c>
      <c r="B464" s="3" t="s">
        <v>2677</v>
      </c>
      <c r="C464" s="2" t="s">
        <v>841</v>
      </c>
      <c r="D464" s="2" t="s">
        <v>2678</v>
      </c>
      <c r="E464" s="2" t="s">
        <v>57</v>
      </c>
      <c r="F464" s="2" t="s">
        <v>36</v>
      </c>
      <c r="G464" s="2" t="s">
        <v>91</v>
      </c>
      <c r="H464" s="2" t="s">
        <v>200</v>
      </c>
      <c r="I464" s="3" t="s">
        <v>1624</v>
      </c>
      <c r="J464" s="2" t="s">
        <v>2679</v>
      </c>
      <c r="K464" s="2" t="s">
        <v>2680</v>
      </c>
      <c r="L464" s="4" t="n">
        <v>85</v>
      </c>
      <c r="M464" s="4" t="s">
        <v>42</v>
      </c>
      <c r="N464" s="5" t="n">
        <v>85</v>
      </c>
      <c r="O464" s="6" t="n">
        <v>83</v>
      </c>
      <c r="P464" s="6" t="s">
        <v>42</v>
      </c>
      <c r="Q464" s="7" t="n">
        <v>83</v>
      </c>
      <c r="R464" s="8" t="n">
        <v>90</v>
      </c>
      <c r="S464" s="8" t="s">
        <v>54</v>
      </c>
      <c r="T464" s="9" t="n">
        <v>90</v>
      </c>
      <c r="U464" s="10" t="n">
        <v>77</v>
      </c>
      <c r="V464" s="10" t="s">
        <v>43</v>
      </c>
      <c r="W464" s="11" t="n">
        <v>77</v>
      </c>
      <c r="X464" s="12" t="n">
        <v>54</v>
      </c>
      <c r="Y464" s="12" t="s">
        <v>53</v>
      </c>
      <c r="Z464" s="13" t="n">
        <v>54</v>
      </c>
      <c r="AA464" s="14" t="n">
        <v>84</v>
      </c>
      <c r="AB464" s="14" t="s">
        <v>42</v>
      </c>
      <c r="AC464" s="15" t="n">
        <v>84</v>
      </c>
      <c r="AD464" s="2" t="n">
        <f aca="false">SUM(L464,O464,R464,U464,X464,AA464)</f>
        <v>473</v>
      </c>
      <c r="AE464" s="16" t="n">
        <f aca="false">AD464/6</f>
        <v>78.8333333333333</v>
      </c>
      <c r="AF464" s="2" t="str">
        <f aca="false">IF(SUM(COUNTIF(M464,"RA"),COUNTIF(P464,"RA"),COUNTIF(S464,"RA"),COUNTIF(V464,"RA"),COUNTIF(Y464,"RA"),COUNTIF(AB464,"RA"))&gt;0,"FAIL","PASS")</f>
        <v>PASS</v>
      </c>
    </row>
    <row r="465" customFormat="false" ht="15" hidden="false" customHeight="false" outlineLevel="0" collapsed="false">
      <c r="A465" s="2" t="n">
        <v>464</v>
      </c>
      <c r="B465" s="3" t="s">
        <v>2681</v>
      </c>
      <c r="C465" s="2" t="s">
        <v>750</v>
      </c>
      <c r="D465" s="2" t="s">
        <v>2682</v>
      </c>
      <c r="E465" s="2" t="s">
        <v>57</v>
      </c>
      <c r="F465" s="2" t="s">
        <v>36</v>
      </c>
      <c r="G465" s="2" t="s">
        <v>91</v>
      </c>
      <c r="H465" s="2" t="s">
        <v>2683</v>
      </c>
      <c r="I465" s="3" t="s">
        <v>2684</v>
      </c>
      <c r="J465" s="2" t="s">
        <v>2685</v>
      </c>
      <c r="K465" s="2" t="s">
        <v>2686</v>
      </c>
      <c r="L465" s="4" t="n">
        <v>65</v>
      </c>
      <c r="M465" s="4" t="s">
        <v>44</v>
      </c>
      <c r="N465" s="5" t="n">
        <v>65</v>
      </c>
      <c r="O465" s="6" t="n">
        <v>41</v>
      </c>
      <c r="P465" s="6" t="s">
        <v>45</v>
      </c>
      <c r="Q465" s="7" t="n">
        <v>41</v>
      </c>
      <c r="R465" s="8" t="n">
        <v>100</v>
      </c>
      <c r="S465" s="8" t="s">
        <v>54</v>
      </c>
      <c r="T465" s="9" t="n">
        <v>100</v>
      </c>
      <c r="U465" s="10" t="n">
        <v>63</v>
      </c>
      <c r="V465" s="10" t="s">
        <v>44</v>
      </c>
      <c r="W465" s="11" t="n">
        <v>63</v>
      </c>
      <c r="X465" s="12" t="n">
        <v>86</v>
      </c>
      <c r="Y465" s="12" t="s">
        <v>42</v>
      </c>
      <c r="Z465" s="13" t="n">
        <v>86</v>
      </c>
      <c r="AA465" s="14" t="n">
        <v>89</v>
      </c>
      <c r="AB465" s="14" t="s">
        <v>42</v>
      </c>
      <c r="AC465" s="15" t="n">
        <v>89</v>
      </c>
      <c r="AD465" s="2" t="n">
        <f aca="false">SUM(L465,O465,R465,U465,X465,AA465)</f>
        <v>444</v>
      </c>
      <c r="AE465" s="16" t="n">
        <f aca="false">AD465/6</f>
        <v>74</v>
      </c>
      <c r="AF465" s="2" t="str">
        <f aca="false">IF(SUM(COUNTIF(M465,"RA"),COUNTIF(P465,"RA"),COUNTIF(S465,"RA"),COUNTIF(V465,"RA"),COUNTIF(Y465,"RA"),COUNTIF(AB465,"RA"))&gt;0,"FAIL","PASS")</f>
        <v>FAIL</v>
      </c>
    </row>
    <row r="466" customFormat="false" ht="15" hidden="false" customHeight="false" outlineLevel="0" collapsed="false">
      <c r="A466" s="2" t="n">
        <v>465</v>
      </c>
      <c r="B466" s="3" t="s">
        <v>2687</v>
      </c>
      <c r="C466" s="2" t="s">
        <v>816</v>
      </c>
      <c r="D466" s="2" t="s">
        <v>2688</v>
      </c>
      <c r="E466" s="2" t="s">
        <v>35</v>
      </c>
      <c r="F466" s="2" t="s">
        <v>36</v>
      </c>
      <c r="G466" s="2" t="s">
        <v>64</v>
      </c>
      <c r="H466" s="2" t="s">
        <v>1583</v>
      </c>
      <c r="I466" s="3" t="s">
        <v>2689</v>
      </c>
      <c r="J466" s="2" t="s">
        <v>2690</v>
      </c>
      <c r="K466" s="2" t="s">
        <v>2691</v>
      </c>
      <c r="L466" s="4" t="n">
        <v>60</v>
      </c>
      <c r="M466" s="4" t="s">
        <v>44</v>
      </c>
      <c r="N466" s="5" t="n">
        <v>60</v>
      </c>
      <c r="O466" s="6" t="n">
        <v>83</v>
      </c>
      <c r="P466" s="6" t="s">
        <v>42</v>
      </c>
      <c r="Q466" s="7" t="n">
        <v>83</v>
      </c>
      <c r="R466" s="8" t="n">
        <v>50</v>
      </c>
      <c r="S466" s="8" t="s">
        <v>53</v>
      </c>
      <c r="T466" s="9" t="n">
        <v>50</v>
      </c>
      <c r="U466" s="10" t="n">
        <v>99</v>
      </c>
      <c r="V466" s="10" t="s">
        <v>54</v>
      </c>
      <c r="W466" s="11" t="n">
        <v>99</v>
      </c>
      <c r="X466" s="12" t="n">
        <v>85</v>
      </c>
      <c r="Y466" s="12" t="s">
        <v>42</v>
      </c>
      <c r="Z466" s="13" t="n">
        <v>85</v>
      </c>
      <c r="AA466" s="14" t="n">
        <v>88</v>
      </c>
      <c r="AB466" s="14" t="s">
        <v>42</v>
      </c>
      <c r="AC466" s="15" t="n">
        <v>88</v>
      </c>
      <c r="AD466" s="2" t="n">
        <f aca="false">SUM(L466,O466,R466,U466,X466,AA466)</f>
        <v>465</v>
      </c>
      <c r="AE466" s="16" t="n">
        <f aca="false">AD466/6</f>
        <v>77.5</v>
      </c>
      <c r="AF466" s="2" t="str">
        <f aca="false">IF(SUM(COUNTIF(M466,"RA"),COUNTIF(P466,"RA"),COUNTIF(S466,"RA"),COUNTIF(V466,"RA"),COUNTIF(Y466,"RA"),COUNTIF(AB466,"RA"))&gt;0,"FAIL","PASS")</f>
        <v>PASS</v>
      </c>
    </row>
    <row r="467" customFormat="false" ht="15" hidden="false" customHeight="false" outlineLevel="0" collapsed="false">
      <c r="A467" s="2" t="n">
        <v>466</v>
      </c>
      <c r="B467" s="3" t="s">
        <v>2692</v>
      </c>
      <c r="C467" s="2" t="s">
        <v>841</v>
      </c>
      <c r="D467" s="2" t="s">
        <v>2693</v>
      </c>
      <c r="E467" s="2" t="s">
        <v>57</v>
      </c>
      <c r="F467" s="2" t="s">
        <v>36</v>
      </c>
      <c r="G467" s="2" t="s">
        <v>64</v>
      </c>
      <c r="H467" s="2" t="s">
        <v>2694</v>
      </c>
      <c r="I467" s="3" t="s">
        <v>2695</v>
      </c>
      <c r="J467" s="2" t="s">
        <v>2696</v>
      </c>
      <c r="K467" s="2" t="s">
        <v>2697</v>
      </c>
      <c r="L467" s="4" t="n">
        <v>100</v>
      </c>
      <c r="M467" s="4" t="s">
        <v>54</v>
      </c>
      <c r="N467" s="5" t="n">
        <v>100</v>
      </c>
      <c r="O467" s="6" t="n">
        <v>75</v>
      </c>
      <c r="P467" s="6" t="s">
        <v>43</v>
      </c>
      <c r="Q467" s="7" t="n">
        <v>75</v>
      </c>
      <c r="R467" s="8" t="n">
        <v>98</v>
      </c>
      <c r="S467" s="8" t="s">
        <v>54</v>
      </c>
      <c r="T467" s="9" t="n">
        <v>98</v>
      </c>
      <c r="U467" s="10" t="n">
        <v>66</v>
      </c>
      <c r="V467" s="10" t="s">
        <v>44</v>
      </c>
      <c r="W467" s="11" t="n">
        <v>66</v>
      </c>
      <c r="X467" s="12" t="n">
        <v>46</v>
      </c>
      <c r="Y467" s="12" t="s">
        <v>45</v>
      </c>
      <c r="Z467" s="13" t="n">
        <v>46</v>
      </c>
      <c r="AA467" s="14" t="n">
        <v>97</v>
      </c>
      <c r="AB467" s="14" t="s">
        <v>54</v>
      </c>
      <c r="AC467" s="15" t="n">
        <v>97</v>
      </c>
      <c r="AD467" s="2" t="n">
        <f aca="false">SUM(L467,O467,R467,U467,X467,AA467)</f>
        <v>482</v>
      </c>
      <c r="AE467" s="16" t="n">
        <f aca="false">AD467/6</f>
        <v>80.3333333333333</v>
      </c>
      <c r="AF467" s="2" t="str">
        <f aca="false">IF(SUM(COUNTIF(M467,"RA"),COUNTIF(P467,"RA"),COUNTIF(S467,"RA"),COUNTIF(V467,"RA"),COUNTIF(Y467,"RA"),COUNTIF(AB467,"RA"))&gt;0,"FAIL","PASS")</f>
        <v>FAIL</v>
      </c>
    </row>
    <row r="468" customFormat="false" ht="15" hidden="false" customHeight="false" outlineLevel="0" collapsed="false">
      <c r="A468" s="2" t="n">
        <v>467</v>
      </c>
      <c r="B468" s="3" t="s">
        <v>2698</v>
      </c>
      <c r="C468" s="2" t="s">
        <v>841</v>
      </c>
      <c r="D468" s="2" t="s">
        <v>2699</v>
      </c>
      <c r="E468" s="2" t="s">
        <v>35</v>
      </c>
      <c r="F468" s="2" t="s">
        <v>36</v>
      </c>
      <c r="G468" s="2" t="s">
        <v>91</v>
      </c>
      <c r="H468" s="2" t="s">
        <v>395</v>
      </c>
      <c r="I468" s="3" t="s">
        <v>2161</v>
      </c>
      <c r="J468" s="2" t="s">
        <v>2700</v>
      </c>
      <c r="K468" s="2" t="s">
        <v>2701</v>
      </c>
      <c r="L468" s="4" t="n">
        <v>89</v>
      </c>
      <c r="M468" s="4" t="s">
        <v>42</v>
      </c>
      <c r="N468" s="5" t="n">
        <v>89</v>
      </c>
      <c r="O468" s="6" t="n">
        <v>47</v>
      </c>
      <c r="P468" s="6" t="s">
        <v>45</v>
      </c>
      <c r="Q468" s="7" t="n">
        <v>47</v>
      </c>
      <c r="R468" s="8" t="n">
        <v>81</v>
      </c>
      <c r="S468" s="8" t="s">
        <v>42</v>
      </c>
      <c r="T468" s="9" t="n">
        <v>81</v>
      </c>
      <c r="U468" s="10" t="n">
        <v>69</v>
      </c>
      <c r="V468" s="10" t="s">
        <v>44</v>
      </c>
      <c r="W468" s="11" t="n">
        <v>69</v>
      </c>
      <c r="X468" s="12" t="n">
        <v>84</v>
      </c>
      <c r="Y468" s="12" t="s">
        <v>42</v>
      </c>
      <c r="Z468" s="13" t="n">
        <v>84</v>
      </c>
      <c r="AA468" s="14" t="n">
        <v>97</v>
      </c>
      <c r="AB468" s="14" t="s">
        <v>54</v>
      </c>
      <c r="AC468" s="15" t="n">
        <v>97</v>
      </c>
      <c r="AD468" s="2" t="n">
        <f aca="false">SUM(L468,O468,R468,U468,X468,AA468)</f>
        <v>467</v>
      </c>
      <c r="AE468" s="16" t="n">
        <f aca="false">AD468/6</f>
        <v>77.8333333333333</v>
      </c>
      <c r="AF468" s="2" t="str">
        <f aca="false">IF(SUM(COUNTIF(M468,"RA"),COUNTIF(P468,"RA"),COUNTIF(S468,"RA"),COUNTIF(V468,"RA"),COUNTIF(Y468,"RA"),COUNTIF(AB468,"RA"))&gt;0,"FAIL","PASS")</f>
        <v>FAIL</v>
      </c>
    </row>
    <row r="469" customFormat="false" ht="15" hidden="false" customHeight="false" outlineLevel="0" collapsed="false">
      <c r="A469" s="2" t="n">
        <v>468</v>
      </c>
      <c r="B469" s="3" t="s">
        <v>2702</v>
      </c>
      <c r="C469" s="2" t="s">
        <v>816</v>
      </c>
      <c r="D469" s="2" t="s">
        <v>2703</v>
      </c>
      <c r="E469" s="2" t="s">
        <v>57</v>
      </c>
      <c r="F469" s="2" t="s">
        <v>36</v>
      </c>
      <c r="G469" s="2" t="s">
        <v>91</v>
      </c>
      <c r="H469" s="2" t="s">
        <v>1801</v>
      </c>
      <c r="I469" s="3" t="s">
        <v>2704</v>
      </c>
      <c r="J469" s="2" t="s">
        <v>2705</v>
      </c>
      <c r="K469" s="2" t="s">
        <v>2706</v>
      </c>
      <c r="L469" s="4" t="n">
        <v>94</v>
      </c>
      <c r="M469" s="4" t="s">
        <v>54</v>
      </c>
      <c r="N469" s="5" t="n">
        <v>94</v>
      </c>
      <c r="O469" s="6" t="n">
        <v>91</v>
      </c>
      <c r="P469" s="6" t="s">
        <v>54</v>
      </c>
      <c r="Q469" s="7" t="n">
        <v>91</v>
      </c>
      <c r="R469" s="8" t="n">
        <v>91</v>
      </c>
      <c r="S469" s="8" t="s">
        <v>54</v>
      </c>
      <c r="T469" s="9" t="n">
        <v>91</v>
      </c>
      <c r="U469" s="10" t="n">
        <v>80</v>
      </c>
      <c r="V469" s="10" t="s">
        <v>42</v>
      </c>
      <c r="W469" s="11" t="n">
        <v>80</v>
      </c>
      <c r="X469" s="12" t="n">
        <v>68</v>
      </c>
      <c r="Y469" s="12" t="s">
        <v>44</v>
      </c>
      <c r="Z469" s="13" t="n">
        <v>68</v>
      </c>
      <c r="AA469" s="14" t="n">
        <v>45</v>
      </c>
      <c r="AB469" s="14" t="s">
        <v>45</v>
      </c>
      <c r="AC469" s="15" t="n">
        <v>45</v>
      </c>
      <c r="AD469" s="2" t="n">
        <f aca="false">SUM(L469,O469,R469,U469,X469,AA469)</f>
        <v>469</v>
      </c>
      <c r="AE469" s="16" t="n">
        <f aca="false">AD469/6</f>
        <v>78.1666666666667</v>
      </c>
      <c r="AF469" s="2" t="str">
        <f aca="false">IF(SUM(COUNTIF(M469,"RA"),COUNTIF(P469,"RA"),COUNTIF(S469,"RA"),COUNTIF(V469,"RA"),COUNTIF(Y469,"RA"),COUNTIF(AB469,"RA"))&gt;0,"FAIL","PASS")</f>
        <v>FAIL</v>
      </c>
    </row>
    <row r="470" customFormat="false" ht="15" hidden="false" customHeight="false" outlineLevel="0" collapsed="false">
      <c r="A470" s="2" t="n">
        <v>469</v>
      </c>
      <c r="B470" s="3" t="s">
        <v>2707</v>
      </c>
      <c r="C470" s="2" t="s">
        <v>803</v>
      </c>
      <c r="D470" s="2" t="s">
        <v>2708</v>
      </c>
      <c r="E470" s="2" t="s">
        <v>57</v>
      </c>
      <c r="F470" s="2" t="s">
        <v>36</v>
      </c>
      <c r="G470" s="2" t="s">
        <v>78</v>
      </c>
      <c r="H470" s="2" t="s">
        <v>2709</v>
      </c>
      <c r="I470" s="3" t="s">
        <v>2710</v>
      </c>
      <c r="J470" s="2" t="s">
        <v>2711</v>
      </c>
      <c r="K470" s="2" t="s">
        <v>2712</v>
      </c>
      <c r="L470" s="4" t="n">
        <v>72</v>
      </c>
      <c r="M470" s="4" t="s">
        <v>43</v>
      </c>
      <c r="N470" s="5" t="n">
        <v>72</v>
      </c>
      <c r="O470" s="6" t="n">
        <v>45</v>
      </c>
      <c r="P470" s="6" t="s">
        <v>45</v>
      </c>
      <c r="Q470" s="7" t="n">
        <v>45</v>
      </c>
      <c r="R470" s="8" t="n">
        <v>99</v>
      </c>
      <c r="S470" s="8" t="s">
        <v>54</v>
      </c>
      <c r="T470" s="9" t="n">
        <v>99</v>
      </c>
      <c r="U470" s="10" t="n">
        <v>91</v>
      </c>
      <c r="V470" s="10" t="s">
        <v>54</v>
      </c>
      <c r="W470" s="11" t="n">
        <v>91</v>
      </c>
      <c r="X470" s="12" t="n">
        <v>81</v>
      </c>
      <c r="Y470" s="12" t="s">
        <v>42</v>
      </c>
      <c r="Z470" s="13" t="n">
        <v>81</v>
      </c>
      <c r="AA470" s="14" t="n">
        <v>87</v>
      </c>
      <c r="AB470" s="14" t="s">
        <v>42</v>
      </c>
      <c r="AC470" s="15" t="n">
        <v>87</v>
      </c>
      <c r="AD470" s="2" t="n">
        <f aca="false">SUM(L470,O470,R470,U470,X470,AA470)</f>
        <v>475</v>
      </c>
      <c r="AE470" s="16" t="n">
        <f aca="false">AD470/6</f>
        <v>79.1666666666667</v>
      </c>
      <c r="AF470" s="2" t="str">
        <f aca="false">IF(SUM(COUNTIF(M470,"RA"),COUNTIF(P470,"RA"),COUNTIF(S470,"RA"),COUNTIF(V470,"RA"),COUNTIF(Y470,"RA"),COUNTIF(AB470,"RA"))&gt;0,"FAIL","PASS")</f>
        <v>FAIL</v>
      </c>
    </row>
    <row r="471" customFormat="false" ht="15" hidden="false" customHeight="false" outlineLevel="0" collapsed="false">
      <c r="A471" s="2" t="n">
        <v>470</v>
      </c>
      <c r="B471" s="3" t="s">
        <v>2713</v>
      </c>
      <c r="C471" s="2" t="s">
        <v>770</v>
      </c>
      <c r="D471" s="2" t="s">
        <v>2714</v>
      </c>
      <c r="E471" s="2" t="s">
        <v>35</v>
      </c>
      <c r="F471" s="2" t="s">
        <v>36</v>
      </c>
      <c r="G471" s="2" t="s">
        <v>44</v>
      </c>
      <c r="H471" s="2" t="s">
        <v>1656</v>
      </c>
      <c r="I471" s="3" t="s">
        <v>2715</v>
      </c>
      <c r="J471" s="2" t="s">
        <v>2716</v>
      </c>
      <c r="K471" s="2" t="s">
        <v>2717</v>
      </c>
      <c r="L471" s="4" t="n">
        <v>75</v>
      </c>
      <c r="M471" s="4" t="s">
        <v>43</v>
      </c>
      <c r="N471" s="5" t="n">
        <v>75</v>
      </c>
      <c r="O471" s="6" t="n">
        <v>77</v>
      </c>
      <c r="P471" s="6" t="s">
        <v>43</v>
      </c>
      <c r="Q471" s="7" t="n">
        <v>77</v>
      </c>
      <c r="R471" s="8" t="n">
        <v>89</v>
      </c>
      <c r="S471" s="8" t="s">
        <v>42</v>
      </c>
      <c r="T471" s="9" t="n">
        <v>89</v>
      </c>
      <c r="U471" s="10" t="n">
        <v>40</v>
      </c>
      <c r="V471" s="10" t="s">
        <v>45</v>
      </c>
      <c r="W471" s="11" t="n">
        <v>40</v>
      </c>
      <c r="X471" s="12" t="n">
        <v>76</v>
      </c>
      <c r="Y471" s="12" t="s">
        <v>43</v>
      </c>
      <c r="Z471" s="13" t="n">
        <v>76</v>
      </c>
      <c r="AA471" s="14" t="n">
        <v>79</v>
      </c>
      <c r="AB471" s="14" t="s">
        <v>43</v>
      </c>
      <c r="AC471" s="15" t="n">
        <v>79</v>
      </c>
      <c r="AD471" s="2" t="n">
        <f aca="false">SUM(L471,O471,R471,U471,X471,AA471)</f>
        <v>436</v>
      </c>
      <c r="AE471" s="16" t="n">
        <f aca="false">AD471/6</f>
        <v>72.6666666666667</v>
      </c>
      <c r="AF471" s="2" t="str">
        <f aca="false">IF(SUM(COUNTIF(M471,"RA"),COUNTIF(P471,"RA"),COUNTIF(S471,"RA"),COUNTIF(V471,"RA"),COUNTIF(Y471,"RA"),COUNTIF(AB471,"RA"))&gt;0,"FAIL","PASS")</f>
        <v>FAIL</v>
      </c>
    </row>
    <row r="472" customFormat="false" ht="15" hidden="false" customHeight="false" outlineLevel="0" collapsed="false">
      <c r="A472" s="2" t="n">
        <v>471</v>
      </c>
      <c r="B472" s="3" t="s">
        <v>2718</v>
      </c>
      <c r="C472" s="2" t="s">
        <v>790</v>
      </c>
      <c r="D472" s="2" t="s">
        <v>2719</v>
      </c>
      <c r="E472" s="2" t="s">
        <v>35</v>
      </c>
      <c r="F472" s="2" t="s">
        <v>36</v>
      </c>
      <c r="G472" s="2" t="s">
        <v>71</v>
      </c>
      <c r="H472" s="2" t="s">
        <v>2720</v>
      </c>
      <c r="I472" s="3" t="s">
        <v>2721</v>
      </c>
      <c r="J472" s="2" t="s">
        <v>2722</v>
      </c>
      <c r="K472" s="2" t="s">
        <v>2723</v>
      </c>
      <c r="L472" s="4" t="n">
        <v>44</v>
      </c>
      <c r="M472" s="4" t="s">
        <v>45</v>
      </c>
      <c r="N472" s="5" t="n">
        <v>44</v>
      </c>
      <c r="O472" s="6" t="n">
        <v>92</v>
      </c>
      <c r="P472" s="6" t="s">
        <v>54</v>
      </c>
      <c r="Q472" s="7" t="n">
        <v>92</v>
      </c>
      <c r="R472" s="8" t="n">
        <v>73</v>
      </c>
      <c r="S472" s="8" t="s">
        <v>43</v>
      </c>
      <c r="T472" s="9" t="n">
        <v>73</v>
      </c>
      <c r="U472" s="10" t="n">
        <v>46</v>
      </c>
      <c r="V472" s="10" t="s">
        <v>45</v>
      </c>
      <c r="W472" s="11" t="n">
        <v>46</v>
      </c>
      <c r="X472" s="12" t="n">
        <v>64</v>
      </c>
      <c r="Y472" s="12" t="s">
        <v>44</v>
      </c>
      <c r="Z472" s="13" t="n">
        <v>64</v>
      </c>
      <c r="AA472" s="14" t="n">
        <v>67</v>
      </c>
      <c r="AB472" s="14" t="s">
        <v>44</v>
      </c>
      <c r="AC472" s="15" t="n">
        <v>67</v>
      </c>
      <c r="AD472" s="2" t="n">
        <f aca="false">SUM(L472,O472,R472,U472,X472,AA472)</f>
        <v>386</v>
      </c>
      <c r="AE472" s="16" t="n">
        <f aca="false">AD472/6</f>
        <v>64.3333333333333</v>
      </c>
      <c r="AF472" s="2" t="str">
        <f aca="false">IF(SUM(COUNTIF(M472,"RA"),COUNTIF(P472,"RA"),COUNTIF(S472,"RA"),COUNTIF(V472,"RA"),COUNTIF(Y472,"RA"),COUNTIF(AB472,"RA"))&gt;0,"FAIL","PASS")</f>
        <v>FAIL</v>
      </c>
    </row>
    <row r="473" customFormat="false" ht="15" hidden="false" customHeight="false" outlineLevel="0" collapsed="false">
      <c r="A473" s="2" t="n">
        <v>472</v>
      </c>
      <c r="B473" s="3" t="s">
        <v>2724</v>
      </c>
      <c r="C473" s="2" t="s">
        <v>816</v>
      </c>
      <c r="D473" s="2" t="s">
        <v>2725</v>
      </c>
      <c r="E473" s="2" t="s">
        <v>57</v>
      </c>
      <c r="F473" s="2" t="s">
        <v>36</v>
      </c>
      <c r="G473" s="2" t="s">
        <v>64</v>
      </c>
      <c r="H473" s="2" t="s">
        <v>449</v>
      </c>
      <c r="I473" s="3" t="s">
        <v>2726</v>
      </c>
      <c r="J473" s="2" t="s">
        <v>2727</v>
      </c>
      <c r="K473" s="2" t="s">
        <v>2728</v>
      </c>
      <c r="L473" s="4" t="n">
        <v>74</v>
      </c>
      <c r="M473" s="4" t="s">
        <v>43</v>
      </c>
      <c r="N473" s="5" t="n">
        <v>74</v>
      </c>
      <c r="O473" s="6" t="n">
        <v>74</v>
      </c>
      <c r="P473" s="6" t="s">
        <v>43</v>
      </c>
      <c r="Q473" s="7" t="n">
        <v>74</v>
      </c>
      <c r="R473" s="8" t="n">
        <v>61</v>
      </c>
      <c r="S473" s="8" t="s">
        <v>44</v>
      </c>
      <c r="T473" s="9" t="n">
        <v>61</v>
      </c>
      <c r="U473" s="10" t="n">
        <v>63</v>
      </c>
      <c r="V473" s="10" t="s">
        <v>44</v>
      </c>
      <c r="W473" s="11" t="n">
        <v>63</v>
      </c>
      <c r="X473" s="12" t="n">
        <v>84</v>
      </c>
      <c r="Y473" s="12" t="s">
        <v>42</v>
      </c>
      <c r="Z473" s="13" t="n">
        <v>84</v>
      </c>
      <c r="AA473" s="14" t="n">
        <v>45</v>
      </c>
      <c r="AB473" s="14" t="s">
        <v>45</v>
      </c>
      <c r="AC473" s="15" t="n">
        <v>45</v>
      </c>
      <c r="AD473" s="2" t="n">
        <f aca="false">SUM(L473,O473,R473,U473,X473,AA473)</f>
        <v>401</v>
      </c>
      <c r="AE473" s="16" t="n">
        <f aca="false">AD473/6</f>
        <v>66.8333333333333</v>
      </c>
      <c r="AF473" s="2" t="str">
        <f aca="false">IF(SUM(COUNTIF(M473,"RA"),COUNTIF(P473,"RA"),COUNTIF(S473,"RA"),COUNTIF(V473,"RA"),COUNTIF(Y473,"RA"),COUNTIF(AB473,"RA"))&gt;0,"FAIL","PASS")</f>
        <v>FAIL</v>
      </c>
    </row>
    <row r="474" customFormat="false" ht="15" hidden="false" customHeight="false" outlineLevel="0" collapsed="false">
      <c r="A474" s="2" t="n">
        <v>473</v>
      </c>
      <c r="B474" s="3" t="s">
        <v>2729</v>
      </c>
      <c r="C474" s="2" t="s">
        <v>859</v>
      </c>
      <c r="D474" s="2" t="s">
        <v>2730</v>
      </c>
      <c r="E474" s="2" t="s">
        <v>35</v>
      </c>
      <c r="F474" s="2" t="s">
        <v>36</v>
      </c>
      <c r="G474" s="2" t="s">
        <v>44</v>
      </c>
      <c r="H474" s="2" t="s">
        <v>2731</v>
      </c>
      <c r="I474" s="3" t="s">
        <v>2732</v>
      </c>
      <c r="J474" s="2" t="s">
        <v>2733</v>
      </c>
      <c r="K474" s="2" t="s">
        <v>2734</v>
      </c>
      <c r="L474" s="4" t="n">
        <v>95</v>
      </c>
      <c r="M474" s="4" t="s">
        <v>54</v>
      </c>
      <c r="N474" s="5" t="n">
        <v>95</v>
      </c>
      <c r="O474" s="6" t="n">
        <v>76</v>
      </c>
      <c r="P474" s="6" t="s">
        <v>43</v>
      </c>
      <c r="Q474" s="7" t="n">
        <v>76</v>
      </c>
      <c r="R474" s="8" t="n">
        <v>77</v>
      </c>
      <c r="S474" s="8" t="s">
        <v>43</v>
      </c>
      <c r="T474" s="9" t="n">
        <v>77</v>
      </c>
      <c r="U474" s="10" t="n">
        <v>85</v>
      </c>
      <c r="V474" s="10" t="s">
        <v>42</v>
      </c>
      <c r="W474" s="11" t="n">
        <v>85</v>
      </c>
      <c r="X474" s="12" t="n">
        <v>70</v>
      </c>
      <c r="Y474" s="12" t="s">
        <v>43</v>
      </c>
      <c r="Z474" s="13" t="n">
        <v>70</v>
      </c>
      <c r="AA474" s="14" t="n">
        <v>80</v>
      </c>
      <c r="AB474" s="14" t="s">
        <v>42</v>
      </c>
      <c r="AC474" s="15" t="n">
        <v>80</v>
      </c>
      <c r="AD474" s="2" t="n">
        <f aca="false">SUM(L474,O474,R474,U474,X474,AA474)</f>
        <v>483</v>
      </c>
      <c r="AE474" s="16" t="n">
        <f aca="false">AD474/6</f>
        <v>80.5</v>
      </c>
      <c r="AF474" s="2" t="str">
        <f aca="false">IF(SUM(COUNTIF(M474,"RA"),COUNTIF(P474,"RA"),COUNTIF(S474,"RA"),COUNTIF(V474,"RA"),COUNTIF(Y474,"RA"),COUNTIF(AB474,"RA"))&gt;0,"FAIL","PASS")</f>
        <v>PASS</v>
      </c>
    </row>
    <row r="475" customFormat="false" ht="15" hidden="false" customHeight="false" outlineLevel="0" collapsed="false">
      <c r="A475" s="2" t="n">
        <v>474</v>
      </c>
      <c r="B475" s="3" t="s">
        <v>2735</v>
      </c>
      <c r="C475" s="2" t="s">
        <v>859</v>
      </c>
      <c r="D475" s="2" t="s">
        <v>2736</v>
      </c>
      <c r="E475" s="2" t="s">
        <v>35</v>
      </c>
      <c r="F475" s="2" t="s">
        <v>36</v>
      </c>
      <c r="G475" s="2" t="s">
        <v>71</v>
      </c>
      <c r="H475" s="2" t="s">
        <v>2440</v>
      </c>
      <c r="I475" s="3" t="s">
        <v>2737</v>
      </c>
      <c r="J475" s="2" t="s">
        <v>2738</v>
      </c>
      <c r="K475" s="2" t="s">
        <v>2739</v>
      </c>
      <c r="L475" s="4" t="n">
        <v>76</v>
      </c>
      <c r="M475" s="4" t="s">
        <v>43</v>
      </c>
      <c r="N475" s="5" t="n">
        <v>76</v>
      </c>
      <c r="O475" s="6" t="n">
        <v>86</v>
      </c>
      <c r="P475" s="6" t="s">
        <v>42</v>
      </c>
      <c r="Q475" s="7" t="n">
        <v>86</v>
      </c>
      <c r="R475" s="8" t="n">
        <v>67</v>
      </c>
      <c r="S475" s="8" t="s">
        <v>44</v>
      </c>
      <c r="T475" s="9" t="n">
        <v>67</v>
      </c>
      <c r="U475" s="10" t="n">
        <v>90</v>
      </c>
      <c r="V475" s="10" t="s">
        <v>54</v>
      </c>
      <c r="W475" s="11" t="n">
        <v>90</v>
      </c>
      <c r="X475" s="12" t="n">
        <v>74</v>
      </c>
      <c r="Y475" s="12" t="s">
        <v>43</v>
      </c>
      <c r="Z475" s="13" t="n">
        <v>74</v>
      </c>
      <c r="AA475" s="14" t="n">
        <v>88</v>
      </c>
      <c r="AB475" s="14" t="s">
        <v>42</v>
      </c>
      <c r="AC475" s="15" t="n">
        <v>88</v>
      </c>
      <c r="AD475" s="2" t="n">
        <f aca="false">SUM(L475,O475,R475,U475,X475,AA475)</f>
        <v>481</v>
      </c>
      <c r="AE475" s="16" t="n">
        <f aca="false">AD475/6</f>
        <v>80.1666666666667</v>
      </c>
      <c r="AF475" s="2" t="str">
        <f aca="false">IF(SUM(COUNTIF(M475,"RA"),COUNTIF(P475,"RA"),COUNTIF(S475,"RA"),COUNTIF(V475,"RA"),COUNTIF(Y475,"RA"),COUNTIF(AB475,"RA"))&gt;0,"FAIL","PASS")</f>
        <v>PASS</v>
      </c>
    </row>
    <row r="476" customFormat="false" ht="15" hidden="false" customHeight="false" outlineLevel="0" collapsed="false">
      <c r="A476" s="2" t="n">
        <v>475</v>
      </c>
      <c r="B476" s="3" t="s">
        <v>2740</v>
      </c>
      <c r="C476" s="2" t="s">
        <v>790</v>
      </c>
      <c r="D476" s="2" t="s">
        <v>2741</v>
      </c>
      <c r="E476" s="2" t="s">
        <v>57</v>
      </c>
      <c r="F476" s="2" t="s">
        <v>36</v>
      </c>
      <c r="G476" s="2" t="s">
        <v>78</v>
      </c>
      <c r="H476" s="2" t="s">
        <v>2742</v>
      </c>
      <c r="I476" s="3" t="s">
        <v>2743</v>
      </c>
      <c r="J476" s="2" t="s">
        <v>2744</v>
      </c>
      <c r="K476" s="2" t="s">
        <v>2745</v>
      </c>
      <c r="L476" s="4" t="n">
        <v>67</v>
      </c>
      <c r="M476" s="4" t="s">
        <v>44</v>
      </c>
      <c r="N476" s="5" t="n">
        <v>67</v>
      </c>
      <c r="O476" s="6" t="n">
        <v>83</v>
      </c>
      <c r="P476" s="6" t="s">
        <v>42</v>
      </c>
      <c r="Q476" s="7" t="n">
        <v>83</v>
      </c>
      <c r="R476" s="8" t="n">
        <v>100</v>
      </c>
      <c r="S476" s="8" t="s">
        <v>54</v>
      </c>
      <c r="T476" s="9" t="n">
        <v>100</v>
      </c>
      <c r="U476" s="10" t="n">
        <v>57</v>
      </c>
      <c r="V476" s="10" t="s">
        <v>53</v>
      </c>
      <c r="W476" s="11" t="n">
        <v>57</v>
      </c>
      <c r="X476" s="12" t="n">
        <v>82</v>
      </c>
      <c r="Y476" s="12" t="s">
        <v>42</v>
      </c>
      <c r="Z476" s="13" t="n">
        <v>82</v>
      </c>
      <c r="AA476" s="14" t="n">
        <v>94</v>
      </c>
      <c r="AB476" s="14" t="s">
        <v>54</v>
      </c>
      <c r="AC476" s="15" t="n">
        <v>94</v>
      </c>
      <c r="AD476" s="2" t="n">
        <f aca="false">SUM(L476,O476,R476,U476,X476,AA476)</f>
        <v>483</v>
      </c>
      <c r="AE476" s="16" t="n">
        <f aca="false">AD476/6</f>
        <v>80.5</v>
      </c>
      <c r="AF476" s="2" t="str">
        <f aca="false">IF(SUM(COUNTIF(M476,"RA"),COUNTIF(P476,"RA"),COUNTIF(S476,"RA"),COUNTIF(V476,"RA"),COUNTIF(Y476,"RA"),COUNTIF(AB476,"RA"))&gt;0,"FAIL","PASS")</f>
        <v>PASS</v>
      </c>
    </row>
    <row r="477" customFormat="false" ht="15" hidden="false" customHeight="false" outlineLevel="0" collapsed="false">
      <c r="A477" s="2" t="n">
        <v>476</v>
      </c>
      <c r="B477" s="3" t="s">
        <v>2746</v>
      </c>
      <c r="C477" s="2" t="s">
        <v>770</v>
      </c>
      <c r="D477" s="2" t="s">
        <v>2747</v>
      </c>
      <c r="E477" s="2" t="s">
        <v>35</v>
      </c>
      <c r="F477" s="2" t="s">
        <v>36</v>
      </c>
      <c r="G477" s="2" t="s">
        <v>48</v>
      </c>
      <c r="H477" s="2" t="s">
        <v>2748</v>
      </c>
      <c r="I477" s="3" t="s">
        <v>2749</v>
      </c>
      <c r="J477" s="2" t="s">
        <v>2750</v>
      </c>
      <c r="K477" s="2" t="s">
        <v>2751</v>
      </c>
      <c r="L477" s="4" t="n">
        <v>79</v>
      </c>
      <c r="M477" s="4" t="s">
        <v>43</v>
      </c>
      <c r="N477" s="5" t="n">
        <v>79</v>
      </c>
      <c r="O477" s="6" t="n">
        <v>48</v>
      </c>
      <c r="P477" s="6" t="s">
        <v>45</v>
      </c>
      <c r="Q477" s="7" t="n">
        <v>48</v>
      </c>
      <c r="R477" s="8" t="n">
        <v>75</v>
      </c>
      <c r="S477" s="8" t="s">
        <v>43</v>
      </c>
      <c r="T477" s="9" t="n">
        <v>75</v>
      </c>
      <c r="U477" s="10" t="n">
        <v>75</v>
      </c>
      <c r="V477" s="10" t="s">
        <v>43</v>
      </c>
      <c r="W477" s="11" t="n">
        <v>75</v>
      </c>
      <c r="X477" s="12" t="n">
        <v>87</v>
      </c>
      <c r="Y477" s="12" t="s">
        <v>42</v>
      </c>
      <c r="Z477" s="13" t="n">
        <v>87</v>
      </c>
      <c r="AA477" s="14" t="n">
        <v>59</v>
      </c>
      <c r="AB477" s="14" t="s">
        <v>53</v>
      </c>
      <c r="AC477" s="15" t="n">
        <v>59</v>
      </c>
      <c r="AD477" s="2" t="n">
        <f aca="false">SUM(L477,O477,R477,U477,X477,AA477)</f>
        <v>423</v>
      </c>
      <c r="AE477" s="16" t="n">
        <f aca="false">AD477/6</f>
        <v>70.5</v>
      </c>
      <c r="AF477" s="2" t="str">
        <f aca="false">IF(SUM(COUNTIF(M477,"RA"),COUNTIF(P477,"RA"),COUNTIF(S477,"RA"),COUNTIF(V477,"RA"),COUNTIF(Y477,"RA"),COUNTIF(AB477,"RA"))&gt;0,"FAIL","PASS")</f>
        <v>FAIL</v>
      </c>
    </row>
    <row r="478" customFormat="false" ht="15" hidden="false" customHeight="false" outlineLevel="0" collapsed="false">
      <c r="A478" s="2" t="n">
        <v>477</v>
      </c>
      <c r="B478" s="3" t="s">
        <v>2752</v>
      </c>
      <c r="C478" s="2" t="s">
        <v>783</v>
      </c>
      <c r="D478" s="2" t="s">
        <v>2753</v>
      </c>
      <c r="E478" s="2" t="s">
        <v>35</v>
      </c>
      <c r="F478" s="2" t="s">
        <v>36</v>
      </c>
      <c r="G478" s="2" t="s">
        <v>37</v>
      </c>
      <c r="H478" s="2" t="s">
        <v>2754</v>
      </c>
      <c r="I478" s="3" t="s">
        <v>2755</v>
      </c>
      <c r="J478" s="2" t="s">
        <v>2756</v>
      </c>
      <c r="K478" s="2" t="s">
        <v>2757</v>
      </c>
      <c r="L478" s="4" t="n">
        <v>51</v>
      </c>
      <c r="M478" s="4" t="s">
        <v>53</v>
      </c>
      <c r="N478" s="5" t="n">
        <v>51</v>
      </c>
      <c r="O478" s="6" t="n">
        <v>91</v>
      </c>
      <c r="P478" s="6" t="s">
        <v>54</v>
      </c>
      <c r="Q478" s="7" t="n">
        <v>91</v>
      </c>
      <c r="R478" s="8" t="n">
        <v>85</v>
      </c>
      <c r="S478" s="8" t="s">
        <v>42</v>
      </c>
      <c r="T478" s="9" t="n">
        <v>85</v>
      </c>
      <c r="U478" s="10" t="n">
        <v>97</v>
      </c>
      <c r="V478" s="10" t="s">
        <v>54</v>
      </c>
      <c r="W478" s="11" t="n">
        <v>97</v>
      </c>
      <c r="X478" s="12" t="n">
        <v>98</v>
      </c>
      <c r="Y478" s="12" t="s">
        <v>54</v>
      </c>
      <c r="Z478" s="13" t="n">
        <v>98</v>
      </c>
      <c r="AA478" s="14" t="n">
        <v>79</v>
      </c>
      <c r="AB478" s="14" t="s">
        <v>43</v>
      </c>
      <c r="AC478" s="15" t="n">
        <v>79</v>
      </c>
      <c r="AD478" s="2" t="n">
        <f aca="false">SUM(L478,O478,R478,U478,X478,AA478)</f>
        <v>501</v>
      </c>
      <c r="AE478" s="16" t="n">
        <f aca="false">AD478/6</f>
        <v>83.5</v>
      </c>
      <c r="AF478" s="2" t="str">
        <f aca="false">IF(SUM(COUNTIF(M478,"RA"),COUNTIF(P478,"RA"),COUNTIF(S478,"RA"),COUNTIF(V478,"RA"),COUNTIF(Y478,"RA"),COUNTIF(AB478,"RA"))&gt;0,"FAIL","PASS")</f>
        <v>PASS</v>
      </c>
    </row>
    <row r="479" customFormat="false" ht="15" hidden="false" customHeight="false" outlineLevel="0" collapsed="false">
      <c r="A479" s="2" t="n">
        <v>478</v>
      </c>
      <c r="B479" s="3" t="s">
        <v>2758</v>
      </c>
      <c r="C479" s="2" t="s">
        <v>816</v>
      </c>
      <c r="D479" s="2" t="s">
        <v>2759</v>
      </c>
      <c r="E479" s="2" t="s">
        <v>35</v>
      </c>
      <c r="F479" s="2" t="s">
        <v>36</v>
      </c>
      <c r="G479" s="2" t="s">
        <v>42</v>
      </c>
      <c r="H479" s="2" t="s">
        <v>2760</v>
      </c>
      <c r="I479" s="3" t="s">
        <v>2761</v>
      </c>
      <c r="J479" s="2" t="s">
        <v>2762</v>
      </c>
      <c r="K479" s="2" t="s">
        <v>2763</v>
      </c>
      <c r="L479" s="4" t="n">
        <v>96</v>
      </c>
      <c r="M479" s="4" t="s">
        <v>54</v>
      </c>
      <c r="N479" s="5" t="n">
        <v>96</v>
      </c>
      <c r="O479" s="6" t="n">
        <v>98</v>
      </c>
      <c r="P479" s="6" t="s">
        <v>54</v>
      </c>
      <c r="Q479" s="7" t="n">
        <v>98</v>
      </c>
      <c r="R479" s="8" t="n">
        <v>63</v>
      </c>
      <c r="S479" s="8" t="s">
        <v>44</v>
      </c>
      <c r="T479" s="9" t="n">
        <v>63</v>
      </c>
      <c r="U479" s="10" t="n">
        <v>51</v>
      </c>
      <c r="V479" s="10" t="s">
        <v>53</v>
      </c>
      <c r="W479" s="11" t="n">
        <v>51</v>
      </c>
      <c r="X479" s="12" t="n">
        <v>100</v>
      </c>
      <c r="Y479" s="12" t="s">
        <v>54</v>
      </c>
      <c r="Z479" s="13" t="n">
        <v>100</v>
      </c>
      <c r="AA479" s="14" t="n">
        <v>61</v>
      </c>
      <c r="AB479" s="14" t="s">
        <v>44</v>
      </c>
      <c r="AC479" s="15" t="n">
        <v>61</v>
      </c>
      <c r="AD479" s="2" t="n">
        <f aca="false">SUM(L479,O479,R479,U479,X479,AA479)</f>
        <v>469</v>
      </c>
      <c r="AE479" s="16" t="n">
        <f aca="false">AD479/6</f>
        <v>78.1666666666667</v>
      </c>
      <c r="AF479" s="2" t="str">
        <f aca="false">IF(SUM(COUNTIF(M479,"RA"),COUNTIF(P479,"RA"),COUNTIF(S479,"RA"),COUNTIF(V479,"RA"),COUNTIF(Y479,"RA"),COUNTIF(AB479,"RA"))&gt;0,"FAIL","PASS")</f>
        <v>PASS</v>
      </c>
    </row>
    <row r="480" customFormat="false" ht="15" hidden="false" customHeight="false" outlineLevel="0" collapsed="false">
      <c r="A480" s="2" t="n">
        <v>479</v>
      </c>
      <c r="B480" s="3" t="s">
        <v>2764</v>
      </c>
      <c r="C480" s="2" t="s">
        <v>912</v>
      </c>
      <c r="D480" s="2" t="s">
        <v>2765</v>
      </c>
      <c r="E480" s="2" t="s">
        <v>57</v>
      </c>
      <c r="F480" s="2" t="s">
        <v>36</v>
      </c>
      <c r="G480" s="2" t="s">
        <v>42</v>
      </c>
      <c r="H480" s="2" t="s">
        <v>2766</v>
      </c>
      <c r="I480" s="3" t="s">
        <v>648</v>
      </c>
      <c r="J480" s="2" t="s">
        <v>2767</v>
      </c>
      <c r="K480" s="2" t="s">
        <v>2768</v>
      </c>
      <c r="L480" s="4" t="n">
        <v>99</v>
      </c>
      <c r="M480" s="4" t="s">
        <v>54</v>
      </c>
      <c r="N480" s="5" t="n">
        <v>99</v>
      </c>
      <c r="O480" s="6" t="n">
        <v>78</v>
      </c>
      <c r="P480" s="6" t="s">
        <v>43</v>
      </c>
      <c r="Q480" s="7" t="n">
        <v>78</v>
      </c>
      <c r="R480" s="8" t="n">
        <v>80</v>
      </c>
      <c r="S480" s="8" t="s">
        <v>42</v>
      </c>
      <c r="T480" s="9" t="n">
        <v>80</v>
      </c>
      <c r="U480" s="10" t="n">
        <v>65</v>
      </c>
      <c r="V480" s="10" t="s">
        <v>44</v>
      </c>
      <c r="W480" s="11" t="n">
        <v>65</v>
      </c>
      <c r="X480" s="12" t="n">
        <v>63</v>
      </c>
      <c r="Y480" s="12" t="s">
        <v>44</v>
      </c>
      <c r="Z480" s="13" t="n">
        <v>63</v>
      </c>
      <c r="AA480" s="14" t="n">
        <v>78</v>
      </c>
      <c r="AB480" s="14" t="s">
        <v>43</v>
      </c>
      <c r="AC480" s="15" t="n">
        <v>78</v>
      </c>
      <c r="AD480" s="2" t="n">
        <f aca="false">SUM(L480,O480,R480,U480,X480,AA480)</f>
        <v>463</v>
      </c>
      <c r="AE480" s="16" t="n">
        <f aca="false">AD480/6</f>
        <v>77.1666666666667</v>
      </c>
      <c r="AF480" s="2" t="str">
        <f aca="false">IF(SUM(COUNTIF(M480,"RA"),COUNTIF(P480,"RA"),COUNTIF(S480,"RA"),COUNTIF(V480,"RA"),COUNTIF(Y480,"RA"),COUNTIF(AB480,"RA"))&gt;0,"FAIL","PASS")</f>
        <v>PASS</v>
      </c>
    </row>
    <row r="481" customFormat="false" ht="15" hidden="false" customHeight="false" outlineLevel="0" collapsed="false">
      <c r="A481" s="2" t="n">
        <v>480</v>
      </c>
      <c r="B481" s="3" t="s">
        <v>2769</v>
      </c>
      <c r="C481" s="2" t="s">
        <v>757</v>
      </c>
      <c r="D481" s="2" t="s">
        <v>2770</v>
      </c>
      <c r="E481" s="2" t="s">
        <v>35</v>
      </c>
      <c r="F481" s="2" t="s">
        <v>36</v>
      </c>
      <c r="G481" s="2" t="s">
        <v>91</v>
      </c>
      <c r="H481" s="2" t="s">
        <v>2771</v>
      </c>
      <c r="I481" s="3" t="s">
        <v>2772</v>
      </c>
      <c r="J481" s="2" t="s">
        <v>2773</v>
      </c>
      <c r="K481" s="2" t="s">
        <v>2774</v>
      </c>
      <c r="L481" s="4" t="n">
        <v>64</v>
      </c>
      <c r="M481" s="4" t="s">
        <v>44</v>
      </c>
      <c r="N481" s="5" t="n">
        <v>64</v>
      </c>
      <c r="O481" s="6" t="n">
        <v>99</v>
      </c>
      <c r="P481" s="6" t="s">
        <v>54</v>
      </c>
      <c r="Q481" s="7" t="n">
        <v>99</v>
      </c>
      <c r="R481" s="8" t="n">
        <v>56</v>
      </c>
      <c r="S481" s="8" t="s">
        <v>53</v>
      </c>
      <c r="T481" s="9" t="n">
        <v>56</v>
      </c>
      <c r="U481" s="10" t="n">
        <v>84</v>
      </c>
      <c r="V481" s="10" t="s">
        <v>42</v>
      </c>
      <c r="W481" s="11" t="n">
        <v>84</v>
      </c>
      <c r="X481" s="12" t="n">
        <v>62</v>
      </c>
      <c r="Y481" s="12" t="s">
        <v>44</v>
      </c>
      <c r="Z481" s="13" t="n">
        <v>62</v>
      </c>
      <c r="AA481" s="14" t="n">
        <v>72</v>
      </c>
      <c r="AB481" s="14" t="s">
        <v>43</v>
      </c>
      <c r="AC481" s="15" t="n">
        <v>72</v>
      </c>
      <c r="AD481" s="2" t="n">
        <f aca="false">SUM(L481,O481,R481,U481,X481,AA481)</f>
        <v>437</v>
      </c>
      <c r="AE481" s="16" t="n">
        <f aca="false">AD481/6</f>
        <v>72.8333333333333</v>
      </c>
      <c r="AF481" s="2" t="str">
        <f aca="false">IF(SUM(COUNTIF(M481,"RA"),COUNTIF(P481,"RA"),COUNTIF(S481,"RA"),COUNTIF(V481,"RA"),COUNTIF(Y481,"RA"),COUNTIF(AB481,"RA"))&gt;0,"FAIL","PASS")</f>
        <v>PASS</v>
      </c>
    </row>
    <row r="482" customFormat="false" ht="15" hidden="false" customHeight="false" outlineLevel="0" collapsed="false">
      <c r="A482" s="2" t="n">
        <v>481</v>
      </c>
      <c r="B482" s="3" t="s">
        <v>2775</v>
      </c>
      <c r="C482" s="2" t="s">
        <v>770</v>
      </c>
      <c r="D482" s="2" t="s">
        <v>2776</v>
      </c>
      <c r="E482" s="2" t="s">
        <v>35</v>
      </c>
      <c r="F482" s="2" t="s">
        <v>36</v>
      </c>
      <c r="G482" s="2" t="s">
        <v>48</v>
      </c>
      <c r="H482" s="2" t="s">
        <v>2777</v>
      </c>
      <c r="I482" s="3" t="s">
        <v>2778</v>
      </c>
      <c r="J482" s="2" t="s">
        <v>2779</v>
      </c>
      <c r="K482" s="2" t="s">
        <v>2780</v>
      </c>
      <c r="L482" s="4" t="n">
        <v>97</v>
      </c>
      <c r="M482" s="4" t="s">
        <v>54</v>
      </c>
      <c r="N482" s="5" t="n">
        <v>97</v>
      </c>
      <c r="O482" s="6" t="n">
        <v>45</v>
      </c>
      <c r="P482" s="6" t="s">
        <v>45</v>
      </c>
      <c r="Q482" s="7" t="n">
        <v>45</v>
      </c>
      <c r="R482" s="8" t="n">
        <v>85</v>
      </c>
      <c r="S482" s="8" t="s">
        <v>42</v>
      </c>
      <c r="T482" s="9" t="n">
        <v>85</v>
      </c>
      <c r="U482" s="10" t="n">
        <v>86</v>
      </c>
      <c r="V482" s="10" t="s">
        <v>42</v>
      </c>
      <c r="W482" s="11" t="n">
        <v>86</v>
      </c>
      <c r="X482" s="12" t="n">
        <v>64</v>
      </c>
      <c r="Y482" s="12" t="s">
        <v>44</v>
      </c>
      <c r="Z482" s="13" t="n">
        <v>64</v>
      </c>
      <c r="AA482" s="14" t="n">
        <v>78</v>
      </c>
      <c r="AB482" s="14" t="s">
        <v>43</v>
      </c>
      <c r="AC482" s="15" t="n">
        <v>78</v>
      </c>
      <c r="AD482" s="2" t="n">
        <f aca="false">SUM(L482,O482,R482,U482,X482,AA482)</f>
        <v>455</v>
      </c>
      <c r="AE482" s="16" t="n">
        <f aca="false">AD482/6</f>
        <v>75.8333333333333</v>
      </c>
      <c r="AF482" s="2" t="str">
        <f aca="false">IF(SUM(COUNTIF(M482,"RA"),COUNTIF(P482,"RA"),COUNTIF(S482,"RA"),COUNTIF(V482,"RA"),COUNTIF(Y482,"RA"),COUNTIF(AB482,"RA"))&gt;0,"FAIL","PASS")</f>
        <v>FAIL</v>
      </c>
    </row>
    <row r="483" customFormat="false" ht="15" hidden="false" customHeight="false" outlineLevel="0" collapsed="false">
      <c r="A483" s="2" t="n">
        <v>482</v>
      </c>
      <c r="B483" s="3" t="s">
        <v>2781</v>
      </c>
      <c r="C483" s="2" t="s">
        <v>770</v>
      </c>
      <c r="D483" s="2" t="s">
        <v>2782</v>
      </c>
      <c r="E483" s="2" t="s">
        <v>57</v>
      </c>
      <c r="F483" s="2" t="s">
        <v>36</v>
      </c>
      <c r="G483" s="2" t="s">
        <v>37</v>
      </c>
      <c r="H483" s="2" t="s">
        <v>2783</v>
      </c>
      <c r="I483" s="3" t="s">
        <v>2784</v>
      </c>
      <c r="J483" s="2" t="s">
        <v>2785</v>
      </c>
      <c r="K483" s="2" t="s">
        <v>2786</v>
      </c>
      <c r="L483" s="4" t="n">
        <v>89</v>
      </c>
      <c r="M483" s="4" t="s">
        <v>42</v>
      </c>
      <c r="N483" s="5" t="n">
        <v>89</v>
      </c>
      <c r="O483" s="6" t="n">
        <v>94</v>
      </c>
      <c r="P483" s="6" t="s">
        <v>54</v>
      </c>
      <c r="Q483" s="7" t="n">
        <v>94</v>
      </c>
      <c r="R483" s="8" t="n">
        <v>78</v>
      </c>
      <c r="S483" s="8" t="s">
        <v>43</v>
      </c>
      <c r="T483" s="9" t="n">
        <v>78</v>
      </c>
      <c r="U483" s="10" t="n">
        <v>81</v>
      </c>
      <c r="V483" s="10" t="s">
        <v>42</v>
      </c>
      <c r="W483" s="11" t="n">
        <v>81</v>
      </c>
      <c r="X483" s="12" t="n">
        <v>86</v>
      </c>
      <c r="Y483" s="12" t="s">
        <v>42</v>
      </c>
      <c r="Z483" s="13" t="n">
        <v>86</v>
      </c>
      <c r="AA483" s="14" t="n">
        <v>67</v>
      </c>
      <c r="AB483" s="14" t="s">
        <v>44</v>
      </c>
      <c r="AC483" s="15" t="n">
        <v>67</v>
      </c>
      <c r="AD483" s="2" t="n">
        <f aca="false">SUM(L483,O483,R483,U483,X483,AA483)</f>
        <v>495</v>
      </c>
      <c r="AE483" s="16" t="n">
        <f aca="false">AD483/6</f>
        <v>82.5</v>
      </c>
      <c r="AF483" s="2" t="str">
        <f aca="false">IF(SUM(COUNTIF(M483,"RA"),COUNTIF(P483,"RA"),COUNTIF(S483,"RA"),COUNTIF(V483,"RA"),COUNTIF(Y483,"RA"),COUNTIF(AB483,"RA"))&gt;0,"FAIL","PASS")</f>
        <v>PASS</v>
      </c>
    </row>
    <row r="484" customFormat="false" ht="15" hidden="false" customHeight="false" outlineLevel="0" collapsed="false">
      <c r="A484" s="2" t="n">
        <v>483</v>
      </c>
      <c r="B484" s="3" t="s">
        <v>2787</v>
      </c>
      <c r="C484" s="2" t="s">
        <v>783</v>
      </c>
      <c r="D484" s="2" t="s">
        <v>2788</v>
      </c>
      <c r="E484" s="2" t="s">
        <v>35</v>
      </c>
      <c r="F484" s="2" t="s">
        <v>36</v>
      </c>
      <c r="G484" s="2" t="s">
        <v>78</v>
      </c>
      <c r="H484" s="2" t="s">
        <v>2789</v>
      </c>
      <c r="I484" s="3" t="s">
        <v>2790</v>
      </c>
      <c r="J484" s="2" t="s">
        <v>2791</v>
      </c>
      <c r="K484" s="2" t="s">
        <v>2792</v>
      </c>
      <c r="L484" s="4" t="n">
        <v>85</v>
      </c>
      <c r="M484" s="4" t="s">
        <v>42</v>
      </c>
      <c r="N484" s="5" t="n">
        <v>85</v>
      </c>
      <c r="O484" s="6" t="n">
        <v>75</v>
      </c>
      <c r="P484" s="6" t="s">
        <v>43</v>
      </c>
      <c r="Q484" s="7" t="n">
        <v>75</v>
      </c>
      <c r="R484" s="8" t="n">
        <v>95</v>
      </c>
      <c r="S484" s="8" t="s">
        <v>54</v>
      </c>
      <c r="T484" s="9" t="n">
        <v>95</v>
      </c>
      <c r="U484" s="10" t="n">
        <v>77</v>
      </c>
      <c r="V484" s="10" t="s">
        <v>43</v>
      </c>
      <c r="W484" s="11" t="n">
        <v>77</v>
      </c>
      <c r="X484" s="12" t="n">
        <v>84</v>
      </c>
      <c r="Y484" s="12" t="s">
        <v>42</v>
      </c>
      <c r="Z484" s="13" t="n">
        <v>84</v>
      </c>
      <c r="AA484" s="14" t="n">
        <v>83</v>
      </c>
      <c r="AB484" s="14" t="s">
        <v>42</v>
      </c>
      <c r="AC484" s="15" t="n">
        <v>83</v>
      </c>
      <c r="AD484" s="2" t="n">
        <f aca="false">SUM(L484,O484,R484,U484,X484,AA484)</f>
        <v>499</v>
      </c>
      <c r="AE484" s="16" t="n">
        <f aca="false">AD484/6</f>
        <v>83.1666666666667</v>
      </c>
      <c r="AF484" s="2" t="str">
        <f aca="false">IF(SUM(COUNTIF(M484,"RA"),COUNTIF(P484,"RA"),COUNTIF(S484,"RA"),COUNTIF(V484,"RA"),COUNTIF(Y484,"RA"),COUNTIF(AB484,"RA"))&gt;0,"FAIL","PASS")</f>
        <v>PASS</v>
      </c>
    </row>
    <row r="485" customFormat="false" ht="15" hidden="false" customHeight="false" outlineLevel="0" collapsed="false">
      <c r="A485" s="2" t="n">
        <v>484</v>
      </c>
      <c r="B485" s="3" t="s">
        <v>2793</v>
      </c>
      <c r="C485" s="2" t="s">
        <v>816</v>
      </c>
      <c r="D485" s="2" t="s">
        <v>2794</v>
      </c>
      <c r="E485" s="2" t="s">
        <v>35</v>
      </c>
      <c r="F485" s="2" t="s">
        <v>36</v>
      </c>
      <c r="G485" s="2" t="s">
        <v>48</v>
      </c>
      <c r="H485" s="2" t="s">
        <v>2795</v>
      </c>
      <c r="I485" s="3" t="s">
        <v>1512</v>
      </c>
      <c r="J485" s="2" t="s">
        <v>2796</v>
      </c>
      <c r="K485" s="2" t="s">
        <v>2797</v>
      </c>
      <c r="L485" s="4" t="n">
        <v>77</v>
      </c>
      <c r="M485" s="4" t="s">
        <v>43</v>
      </c>
      <c r="N485" s="5" t="n">
        <v>77</v>
      </c>
      <c r="O485" s="6" t="n">
        <v>81</v>
      </c>
      <c r="P485" s="6" t="s">
        <v>42</v>
      </c>
      <c r="Q485" s="7" t="n">
        <v>81</v>
      </c>
      <c r="R485" s="8" t="n">
        <v>73</v>
      </c>
      <c r="S485" s="8" t="s">
        <v>43</v>
      </c>
      <c r="T485" s="9" t="n">
        <v>73</v>
      </c>
      <c r="U485" s="10" t="n">
        <v>77</v>
      </c>
      <c r="V485" s="10" t="s">
        <v>43</v>
      </c>
      <c r="W485" s="11" t="n">
        <v>77</v>
      </c>
      <c r="X485" s="12" t="n">
        <v>68</v>
      </c>
      <c r="Y485" s="12" t="s">
        <v>44</v>
      </c>
      <c r="Z485" s="13" t="n">
        <v>68</v>
      </c>
      <c r="AA485" s="14" t="n">
        <v>41</v>
      </c>
      <c r="AB485" s="14" t="s">
        <v>45</v>
      </c>
      <c r="AC485" s="15" t="n">
        <v>41</v>
      </c>
      <c r="AD485" s="2" t="n">
        <f aca="false">SUM(L485,O485,R485,U485,X485,AA485)</f>
        <v>417</v>
      </c>
      <c r="AE485" s="16" t="n">
        <f aca="false">AD485/6</f>
        <v>69.5</v>
      </c>
      <c r="AF485" s="2" t="str">
        <f aca="false">IF(SUM(COUNTIF(M485,"RA"),COUNTIF(P485,"RA"),COUNTIF(S485,"RA"),COUNTIF(V485,"RA"),COUNTIF(Y485,"RA"),COUNTIF(AB485,"RA"))&gt;0,"FAIL","PASS")</f>
        <v>FAIL</v>
      </c>
    </row>
    <row r="486" customFormat="false" ht="15" hidden="false" customHeight="false" outlineLevel="0" collapsed="false">
      <c r="A486" s="2" t="n">
        <v>485</v>
      </c>
      <c r="B486" s="3" t="s">
        <v>2798</v>
      </c>
      <c r="C486" s="2" t="s">
        <v>841</v>
      </c>
      <c r="D486" s="2" t="s">
        <v>2799</v>
      </c>
      <c r="E486" s="2" t="s">
        <v>57</v>
      </c>
      <c r="F486" s="2" t="s">
        <v>36</v>
      </c>
      <c r="G486" s="2" t="s">
        <v>42</v>
      </c>
      <c r="H486" s="2" t="s">
        <v>849</v>
      </c>
      <c r="I486" s="3" t="s">
        <v>2317</v>
      </c>
      <c r="J486" s="2" t="s">
        <v>2800</v>
      </c>
      <c r="K486" s="2" t="s">
        <v>2801</v>
      </c>
      <c r="L486" s="4" t="n">
        <v>96</v>
      </c>
      <c r="M486" s="4" t="s">
        <v>54</v>
      </c>
      <c r="N486" s="5" t="n">
        <v>96</v>
      </c>
      <c r="O486" s="6" t="n">
        <v>51</v>
      </c>
      <c r="P486" s="6" t="s">
        <v>53</v>
      </c>
      <c r="Q486" s="7" t="n">
        <v>51</v>
      </c>
      <c r="R486" s="8" t="n">
        <v>87</v>
      </c>
      <c r="S486" s="8" t="s">
        <v>42</v>
      </c>
      <c r="T486" s="9" t="n">
        <v>87</v>
      </c>
      <c r="U486" s="10" t="n">
        <v>97</v>
      </c>
      <c r="V486" s="10" t="s">
        <v>54</v>
      </c>
      <c r="W486" s="11" t="n">
        <v>97</v>
      </c>
      <c r="X486" s="12" t="n">
        <v>78</v>
      </c>
      <c r="Y486" s="12" t="s">
        <v>43</v>
      </c>
      <c r="Z486" s="13" t="n">
        <v>78</v>
      </c>
      <c r="AA486" s="14" t="n">
        <v>76</v>
      </c>
      <c r="AB486" s="14" t="s">
        <v>43</v>
      </c>
      <c r="AC486" s="15" t="n">
        <v>76</v>
      </c>
      <c r="AD486" s="2" t="n">
        <f aca="false">SUM(L486,O486,R486,U486,X486,AA486)</f>
        <v>485</v>
      </c>
      <c r="AE486" s="16" t="n">
        <f aca="false">AD486/6</f>
        <v>80.8333333333333</v>
      </c>
      <c r="AF486" s="2" t="str">
        <f aca="false">IF(SUM(COUNTIF(M486,"RA"),COUNTIF(P486,"RA"),COUNTIF(S486,"RA"),COUNTIF(V486,"RA"),COUNTIF(Y486,"RA"),COUNTIF(AB486,"RA"))&gt;0,"FAIL","PASS")</f>
        <v>PASS</v>
      </c>
    </row>
    <row r="487" customFormat="false" ht="15" hidden="false" customHeight="false" outlineLevel="0" collapsed="false">
      <c r="A487" s="2" t="n">
        <v>486</v>
      </c>
      <c r="B487" s="3" t="s">
        <v>2802</v>
      </c>
      <c r="C487" s="2" t="s">
        <v>841</v>
      </c>
      <c r="D487" s="2" t="s">
        <v>2803</v>
      </c>
      <c r="E487" s="2" t="s">
        <v>57</v>
      </c>
      <c r="F487" s="2" t="s">
        <v>36</v>
      </c>
      <c r="G487" s="2" t="s">
        <v>42</v>
      </c>
      <c r="H487" s="2" t="s">
        <v>2804</v>
      </c>
      <c r="I487" s="3" t="s">
        <v>1203</v>
      </c>
      <c r="J487" s="2" t="s">
        <v>2805</v>
      </c>
      <c r="K487" s="2" t="s">
        <v>2806</v>
      </c>
      <c r="L487" s="4" t="n">
        <v>96</v>
      </c>
      <c r="M487" s="4" t="s">
        <v>54</v>
      </c>
      <c r="N487" s="5" t="n">
        <v>96</v>
      </c>
      <c r="O487" s="6" t="n">
        <v>84</v>
      </c>
      <c r="P487" s="6" t="s">
        <v>42</v>
      </c>
      <c r="Q487" s="7" t="n">
        <v>84</v>
      </c>
      <c r="R487" s="8" t="n">
        <v>86</v>
      </c>
      <c r="S487" s="8" t="s">
        <v>42</v>
      </c>
      <c r="T487" s="9" t="n">
        <v>86</v>
      </c>
      <c r="U487" s="10" t="n">
        <v>97</v>
      </c>
      <c r="V487" s="10" t="s">
        <v>54</v>
      </c>
      <c r="W487" s="11" t="n">
        <v>97</v>
      </c>
      <c r="X487" s="12" t="n">
        <v>61</v>
      </c>
      <c r="Y487" s="12" t="s">
        <v>44</v>
      </c>
      <c r="Z487" s="13" t="n">
        <v>61</v>
      </c>
      <c r="AA487" s="14" t="n">
        <v>73</v>
      </c>
      <c r="AB487" s="14" t="s">
        <v>43</v>
      </c>
      <c r="AC487" s="15" t="n">
        <v>73</v>
      </c>
      <c r="AD487" s="2" t="n">
        <f aca="false">SUM(L487,O487,R487,U487,X487,AA487)</f>
        <v>497</v>
      </c>
      <c r="AE487" s="16" t="n">
        <f aca="false">AD487/6</f>
        <v>82.8333333333333</v>
      </c>
      <c r="AF487" s="2" t="str">
        <f aca="false">IF(SUM(COUNTIF(M487,"RA"),COUNTIF(P487,"RA"),COUNTIF(S487,"RA"),COUNTIF(V487,"RA"),COUNTIF(Y487,"RA"),COUNTIF(AB487,"RA"))&gt;0,"FAIL","PASS")</f>
        <v>PASS</v>
      </c>
    </row>
    <row r="488" customFormat="false" ht="15" hidden="false" customHeight="false" outlineLevel="0" collapsed="false">
      <c r="A488" s="2" t="n">
        <v>487</v>
      </c>
      <c r="B488" s="3" t="s">
        <v>2807</v>
      </c>
      <c r="C488" s="2" t="s">
        <v>803</v>
      </c>
      <c r="D488" s="2" t="s">
        <v>2808</v>
      </c>
      <c r="E488" s="2" t="s">
        <v>57</v>
      </c>
      <c r="F488" s="2" t="s">
        <v>36</v>
      </c>
      <c r="G488" s="2" t="s">
        <v>64</v>
      </c>
      <c r="H488" s="2" t="s">
        <v>2809</v>
      </c>
      <c r="I488" s="3" t="s">
        <v>2810</v>
      </c>
      <c r="J488" s="2" t="s">
        <v>2811</v>
      </c>
      <c r="K488" s="2" t="s">
        <v>2812</v>
      </c>
      <c r="L488" s="4" t="n">
        <v>73</v>
      </c>
      <c r="M488" s="4" t="s">
        <v>43</v>
      </c>
      <c r="N488" s="5" t="n">
        <v>73</v>
      </c>
      <c r="O488" s="6" t="n">
        <v>73</v>
      </c>
      <c r="P488" s="6" t="s">
        <v>43</v>
      </c>
      <c r="Q488" s="7" t="n">
        <v>73</v>
      </c>
      <c r="R488" s="8" t="n">
        <v>91</v>
      </c>
      <c r="S488" s="8" t="s">
        <v>54</v>
      </c>
      <c r="T488" s="9" t="n">
        <v>91</v>
      </c>
      <c r="U488" s="10" t="n">
        <v>64</v>
      </c>
      <c r="V488" s="10" t="s">
        <v>44</v>
      </c>
      <c r="W488" s="11" t="n">
        <v>64</v>
      </c>
      <c r="X488" s="12" t="n">
        <v>77</v>
      </c>
      <c r="Y488" s="12" t="s">
        <v>43</v>
      </c>
      <c r="Z488" s="13" t="n">
        <v>77</v>
      </c>
      <c r="AA488" s="14" t="n">
        <v>88</v>
      </c>
      <c r="AB488" s="14" t="s">
        <v>42</v>
      </c>
      <c r="AC488" s="15" t="n">
        <v>88</v>
      </c>
      <c r="AD488" s="2" t="n">
        <f aca="false">SUM(L488,O488,R488,U488,X488,AA488)</f>
        <v>466</v>
      </c>
      <c r="AE488" s="16" t="n">
        <f aca="false">AD488/6</f>
        <v>77.6666666666667</v>
      </c>
      <c r="AF488" s="2" t="str">
        <f aca="false">IF(SUM(COUNTIF(M488,"RA"),COUNTIF(P488,"RA"),COUNTIF(S488,"RA"),COUNTIF(V488,"RA"),COUNTIF(Y488,"RA"),COUNTIF(AB488,"RA"))&gt;0,"FAIL","PASS")</f>
        <v>PASS</v>
      </c>
    </row>
    <row r="489" customFormat="false" ht="15" hidden="false" customHeight="false" outlineLevel="0" collapsed="false">
      <c r="A489" s="2" t="n">
        <v>488</v>
      </c>
      <c r="B489" s="3" t="s">
        <v>2813</v>
      </c>
      <c r="C489" s="2" t="s">
        <v>790</v>
      </c>
      <c r="D489" s="2" t="s">
        <v>2814</v>
      </c>
      <c r="E489" s="2" t="s">
        <v>57</v>
      </c>
      <c r="F489" s="2" t="s">
        <v>36</v>
      </c>
      <c r="G489" s="2" t="s">
        <v>71</v>
      </c>
      <c r="H489" s="2" t="s">
        <v>2815</v>
      </c>
      <c r="I489" s="3" t="s">
        <v>2816</v>
      </c>
      <c r="J489" s="2" t="s">
        <v>2817</v>
      </c>
      <c r="K489" s="2" t="s">
        <v>2818</v>
      </c>
      <c r="L489" s="4" t="n">
        <v>63</v>
      </c>
      <c r="M489" s="4" t="s">
        <v>44</v>
      </c>
      <c r="N489" s="5" t="n">
        <v>63</v>
      </c>
      <c r="O489" s="6" t="n">
        <v>76</v>
      </c>
      <c r="P489" s="6" t="s">
        <v>43</v>
      </c>
      <c r="Q489" s="7" t="n">
        <v>76</v>
      </c>
      <c r="R489" s="8" t="n">
        <v>87</v>
      </c>
      <c r="S489" s="8" t="s">
        <v>42</v>
      </c>
      <c r="T489" s="9" t="n">
        <v>87</v>
      </c>
      <c r="U489" s="10" t="n">
        <v>85</v>
      </c>
      <c r="V489" s="10" t="s">
        <v>42</v>
      </c>
      <c r="W489" s="11" t="n">
        <v>85</v>
      </c>
      <c r="X489" s="12" t="n">
        <v>82</v>
      </c>
      <c r="Y489" s="12" t="s">
        <v>42</v>
      </c>
      <c r="Z489" s="13" t="n">
        <v>82</v>
      </c>
      <c r="AA489" s="14" t="n">
        <v>91</v>
      </c>
      <c r="AB489" s="14" t="s">
        <v>54</v>
      </c>
      <c r="AC489" s="15" t="n">
        <v>91</v>
      </c>
      <c r="AD489" s="2" t="n">
        <f aca="false">SUM(L489,O489,R489,U489,X489,AA489)</f>
        <v>484</v>
      </c>
      <c r="AE489" s="16" t="n">
        <f aca="false">AD489/6</f>
        <v>80.6666666666667</v>
      </c>
      <c r="AF489" s="2" t="str">
        <f aca="false">IF(SUM(COUNTIF(M489,"RA"),COUNTIF(P489,"RA"),COUNTIF(S489,"RA"),COUNTIF(V489,"RA"),COUNTIF(Y489,"RA"),COUNTIF(AB489,"RA"))&gt;0,"FAIL","PASS")</f>
        <v>PASS</v>
      </c>
    </row>
    <row r="490" customFormat="false" ht="15" hidden="false" customHeight="false" outlineLevel="0" collapsed="false">
      <c r="A490" s="2" t="n">
        <v>489</v>
      </c>
      <c r="B490" s="3" t="s">
        <v>2819</v>
      </c>
      <c r="C490" s="2" t="s">
        <v>790</v>
      </c>
      <c r="D490" s="2" t="s">
        <v>2820</v>
      </c>
      <c r="E490" s="2" t="s">
        <v>57</v>
      </c>
      <c r="F490" s="2" t="s">
        <v>36</v>
      </c>
      <c r="G490" s="2" t="s">
        <v>71</v>
      </c>
      <c r="H490" s="2" t="s">
        <v>2821</v>
      </c>
      <c r="I490" s="3" t="s">
        <v>2822</v>
      </c>
      <c r="J490" s="2" t="s">
        <v>2823</v>
      </c>
      <c r="K490" s="2" t="s">
        <v>2824</v>
      </c>
      <c r="L490" s="4" t="n">
        <v>77</v>
      </c>
      <c r="M490" s="4" t="s">
        <v>43</v>
      </c>
      <c r="N490" s="5" t="n">
        <v>77</v>
      </c>
      <c r="O490" s="6" t="n">
        <v>74</v>
      </c>
      <c r="P490" s="6" t="s">
        <v>43</v>
      </c>
      <c r="Q490" s="7" t="n">
        <v>74</v>
      </c>
      <c r="R490" s="8" t="n">
        <v>66</v>
      </c>
      <c r="S490" s="8" t="s">
        <v>44</v>
      </c>
      <c r="T490" s="9" t="n">
        <v>66</v>
      </c>
      <c r="U490" s="10" t="n">
        <v>96</v>
      </c>
      <c r="V490" s="10" t="s">
        <v>54</v>
      </c>
      <c r="W490" s="11" t="n">
        <v>96</v>
      </c>
      <c r="X490" s="12" t="n">
        <v>77</v>
      </c>
      <c r="Y490" s="12" t="s">
        <v>43</v>
      </c>
      <c r="Z490" s="13" t="n">
        <v>77</v>
      </c>
      <c r="AA490" s="14" t="n">
        <v>56</v>
      </c>
      <c r="AB490" s="14" t="s">
        <v>53</v>
      </c>
      <c r="AC490" s="15" t="n">
        <v>56</v>
      </c>
      <c r="AD490" s="2" t="n">
        <f aca="false">SUM(L490,O490,R490,U490,X490,AA490)</f>
        <v>446</v>
      </c>
      <c r="AE490" s="16" t="n">
        <f aca="false">AD490/6</f>
        <v>74.3333333333333</v>
      </c>
      <c r="AF490" s="2" t="str">
        <f aca="false">IF(SUM(COUNTIF(M490,"RA"),COUNTIF(P490,"RA"),COUNTIF(S490,"RA"),COUNTIF(V490,"RA"),COUNTIF(Y490,"RA"),COUNTIF(AB490,"RA"))&gt;0,"FAIL","PASS")</f>
        <v>PASS</v>
      </c>
    </row>
    <row r="491" customFormat="false" ht="15" hidden="false" customHeight="false" outlineLevel="0" collapsed="false">
      <c r="A491" s="2" t="n">
        <v>490</v>
      </c>
      <c r="B491" s="3" t="s">
        <v>2825</v>
      </c>
      <c r="C491" s="2" t="s">
        <v>783</v>
      </c>
      <c r="D491" s="2" t="s">
        <v>2826</v>
      </c>
      <c r="E491" s="2" t="s">
        <v>57</v>
      </c>
      <c r="F491" s="2" t="s">
        <v>36</v>
      </c>
      <c r="G491" s="2" t="s">
        <v>64</v>
      </c>
      <c r="H491" s="2" t="s">
        <v>2827</v>
      </c>
      <c r="I491" s="3" t="s">
        <v>2828</v>
      </c>
      <c r="J491" s="2" t="s">
        <v>2829</v>
      </c>
      <c r="K491" s="2" t="s">
        <v>2830</v>
      </c>
      <c r="L491" s="4" t="n">
        <v>57</v>
      </c>
      <c r="M491" s="4" t="s">
        <v>53</v>
      </c>
      <c r="N491" s="5" t="n">
        <v>57</v>
      </c>
      <c r="O491" s="6" t="n">
        <v>92</v>
      </c>
      <c r="P491" s="6" t="s">
        <v>54</v>
      </c>
      <c r="Q491" s="7" t="n">
        <v>92</v>
      </c>
      <c r="R491" s="8" t="n">
        <v>96</v>
      </c>
      <c r="S491" s="8" t="s">
        <v>54</v>
      </c>
      <c r="T491" s="9" t="n">
        <v>96</v>
      </c>
      <c r="U491" s="10" t="n">
        <v>71</v>
      </c>
      <c r="V491" s="10" t="s">
        <v>43</v>
      </c>
      <c r="W491" s="11" t="n">
        <v>71</v>
      </c>
      <c r="X491" s="12" t="n">
        <v>100</v>
      </c>
      <c r="Y491" s="12" t="s">
        <v>54</v>
      </c>
      <c r="Z491" s="13" t="n">
        <v>100</v>
      </c>
      <c r="AA491" s="14" t="n">
        <v>97</v>
      </c>
      <c r="AB491" s="14" t="s">
        <v>54</v>
      </c>
      <c r="AC491" s="15" t="n">
        <v>97</v>
      </c>
      <c r="AD491" s="2" t="n">
        <f aca="false">SUM(L491,O491,R491,U491,X491,AA491)</f>
        <v>513</v>
      </c>
      <c r="AE491" s="16" t="n">
        <f aca="false">AD491/6</f>
        <v>85.5</v>
      </c>
      <c r="AF491" s="2" t="str">
        <f aca="false">IF(SUM(COUNTIF(M491,"RA"),COUNTIF(P491,"RA"),COUNTIF(S491,"RA"),COUNTIF(V491,"RA"),COUNTIF(Y491,"RA"),COUNTIF(AB491,"RA"))&gt;0,"FAIL","PASS")</f>
        <v>PASS</v>
      </c>
    </row>
    <row r="492" customFormat="false" ht="15" hidden="false" customHeight="false" outlineLevel="0" collapsed="false">
      <c r="A492" s="2" t="n">
        <v>491</v>
      </c>
      <c r="B492" s="3" t="s">
        <v>2831</v>
      </c>
      <c r="C492" s="2" t="s">
        <v>783</v>
      </c>
      <c r="D492" s="2" t="s">
        <v>2832</v>
      </c>
      <c r="E492" s="2" t="s">
        <v>35</v>
      </c>
      <c r="F492" s="2" t="s">
        <v>36</v>
      </c>
      <c r="G492" s="2" t="s">
        <v>91</v>
      </c>
      <c r="H492" s="2" t="s">
        <v>502</v>
      </c>
      <c r="I492" s="3" t="s">
        <v>2833</v>
      </c>
      <c r="J492" s="2" t="s">
        <v>2834</v>
      </c>
      <c r="K492" s="2" t="s">
        <v>2835</v>
      </c>
      <c r="L492" s="4" t="n">
        <v>98</v>
      </c>
      <c r="M492" s="4" t="s">
        <v>54</v>
      </c>
      <c r="N492" s="5" t="n">
        <v>98</v>
      </c>
      <c r="O492" s="6" t="n">
        <v>72</v>
      </c>
      <c r="P492" s="6" t="s">
        <v>43</v>
      </c>
      <c r="Q492" s="7" t="n">
        <v>72</v>
      </c>
      <c r="R492" s="8" t="n">
        <v>94</v>
      </c>
      <c r="S492" s="8" t="s">
        <v>54</v>
      </c>
      <c r="T492" s="9" t="n">
        <v>94</v>
      </c>
      <c r="U492" s="10" t="n">
        <v>90</v>
      </c>
      <c r="V492" s="10" t="s">
        <v>54</v>
      </c>
      <c r="W492" s="11" t="n">
        <v>90</v>
      </c>
      <c r="X492" s="12" t="n">
        <v>44</v>
      </c>
      <c r="Y492" s="12" t="s">
        <v>45</v>
      </c>
      <c r="Z492" s="13" t="n">
        <v>44</v>
      </c>
      <c r="AA492" s="14" t="n">
        <v>69</v>
      </c>
      <c r="AB492" s="14" t="s">
        <v>44</v>
      </c>
      <c r="AC492" s="15" t="n">
        <v>69</v>
      </c>
      <c r="AD492" s="2" t="n">
        <f aca="false">SUM(L492,O492,R492,U492,X492,AA492)</f>
        <v>467</v>
      </c>
      <c r="AE492" s="16" t="n">
        <f aca="false">AD492/6</f>
        <v>77.8333333333333</v>
      </c>
      <c r="AF492" s="2" t="str">
        <f aca="false">IF(SUM(COUNTIF(M492,"RA"),COUNTIF(P492,"RA"),COUNTIF(S492,"RA"),COUNTIF(V492,"RA"),COUNTIF(Y492,"RA"),COUNTIF(AB492,"RA"))&gt;0,"FAIL","PASS")</f>
        <v>FAIL</v>
      </c>
    </row>
    <row r="493" customFormat="false" ht="15" hidden="false" customHeight="false" outlineLevel="0" collapsed="false">
      <c r="A493" s="2" t="n">
        <v>492</v>
      </c>
      <c r="B493" s="3" t="s">
        <v>2836</v>
      </c>
      <c r="C493" s="2" t="s">
        <v>803</v>
      </c>
      <c r="D493" s="2" t="s">
        <v>2837</v>
      </c>
      <c r="E493" s="2" t="s">
        <v>57</v>
      </c>
      <c r="F493" s="2" t="s">
        <v>36</v>
      </c>
      <c r="G493" s="2" t="s">
        <v>64</v>
      </c>
      <c r="H493" s="2" t="s">
        <v>2606</v>
      </c>
      <c r="I493" s="3" t="s">
        <v>432</v>
      </c>
      <c r="J493" s="2" t="s">
        <v>2838</v>
      </c>
      <c r="K493" s="2" t="s">
        <v>2839</v>
      </c>
      <c r="L493" s="4" t="n">
        <v>84</v>
      </c>
      <c r="M493" s="4" t="s">
        <v>42</v>
      </c>
      <c r="N493" s="5" t="n">
        <v>84</v>
      </c>
      <c r="O493" s="6" t="n">
        <v>81</v>
      </c>
      <c r="P493" s="6" t="s">
        <v>42</v>
      </c>
      <c r="Q493" s="7" t="n">
        <v>81</v>
      </c>
      <c r="R493" s="8" t="n">
        <v>91</v>
      </c>
      <c r="S493" s="8" t="s">
        <v>54</v>
      </c>
      <c r="T493" s="9" t="n">
        <v>91</v>
      </c>
      <c r="U493" s="10" t="n">
        <v>82</v>
      </c>
      <c r="V493" s="10" t="s">
        <v>42</v>
      </c>
      <c r="W493" s="11" t="n">
        <v>82</v>
      </c>
      <c r="X493" s="12" t="n">
        <v>96</v>
      </c>
      <c r="Y493" s="12" t="s">
        <v>54</v>
      </c>
      <c r="Z493" s="13" t="n">
        <v>96</v>
      </c>
      <c r="AA493" s="14" t="n">
        <v>62</v>
      </c>
      <c r="AB493" s="14" t="s">
        <v>44</v>
      </c>
      <c r="AC493" s="15" t="n">
        <v>62</v>
      </c>
      <c r="AD493" s="2" t="n">
        <f aca="false">SUM(L493,O493,R493,U493,X493,AA493)</f>
        <v>496</v>
      </c>
      <c r="AE493" s="16" t="n">
        <f aca="false">AD493/6</f>
        <v>82.6666666666667</v>
      </c>
      <c r="AF493" s="2" t="str">
        <f aca="false">IF(SUM(COUNTIF(M493,"RA"),COUNTIF(P493,"RA"),COUNTIF(S493,"RA"),COUNTIF(V493,"RA"),COUNTIF(Y493,"RA"),COUNTIF(AB493,"RA"))&gt;0,"FAIL","PASS")</f>
        <v>PASS</v>
      </c>
    </row>
    <row r="494" customFormat="false" ht="15" hidden="false" customHeight="false" outlineLevel="0" collapsed="false">
      <c r="A494" s="2" t="n">
        <v>493</v>
      </c>
      <c r="B494" s="3" t="s">
        <v>2840</v>
      </c>
      <c r="C494" s="2" t="s">
        <v>783</v>
      </c>
      <c r="D494" s="2" t="s">
        <v>2841</v>
      </c>
      <c r="E494" s="2" t="s">
        <v>35</v>
      </c>
      <c r="F494" s="2" t="s">
        <v>36</v>
      </c>
      <c r="G494" s="2" t="s">
        <v>42</v>
      </c>
      <c r="H494" s="2" t="s">
        <v>2842</v>
      </c>
      <c r="I494" s="3" t="s">
        <v>2843</v>
      </c>
      <c r="J494" s="2" t="s">
        <v>2844</v>
      </c>
      <c r="K494" s="2" t="s">
        <v>2845</v>
      </c>
      <c r="L494" s="4" t="n">
        <v>79</v>
      </c>
      <c r="M494" s="4" t="s">
        <v>43</v>
      </c>
      <c r="N494" s="5" t="n">
        <v>79</v>
      </c>
      <c r="O494" s="6" t="n">
        <v>64</v>
      </c>
      <c r="P494" s="6" t="s">
        <v>44</v>
      </c>
      <c r="Q494" s="7" t="n">
        <v>64</v>
      </c>
      <c r="R494" s="8" t="n">
        <v>44</v>
      </c>
      <c r="S494" s="8" t="s">
        <v>45</v>
      </c>
      <c r="T494" s="9" t="n">
        <v>44</v>
      </c>
      <c r="U494" s="10" t="n">
        <v>80</v>
      </c>
      <c r="V494" s="10" t="s">
        <v>42</v>
      </c>
      <c r="W494" s="11" t="n">
        <v>80</v>
      </c>
      <c r="X494" s="12" t="n">
        <v>63</v>
      </c>
      <c r="Y494" s="12" t="s">
        <v>44</v>
      </c>
      <c r="Z494" s="13" t="n">
        <v>63</v>
      </c>
      <c r="AA494" s="14" t="n">
        <v>66</v>
      </c>
      <c r="AB494" s="14" t="s">
        <v>44</v>
      </c>
      <c r="AC494" s="15" t="n">
        <v>66</v>
      </c>
      <c r="AD494" s="2" t="n">
        <f aca="false">SUM(L494,O494,R494,U494,X494,AA494)</f>
        <v>396</v>
      </c>
      <c r="AE494" s="16" t="n">
        <f aca="false">AD494/6</f>
        <v>66</v>
      </c>
      <c r="AF494" s="2" t="str">
        <f aca="false">IF(SUM(COUNTIF(M494,"RA"),COUNTIF(P494,"RA"),COUNTIF(S494,"RA"),COUNTIF(V494,"RA"),COUNTIF(Y494,"RA"),COUNTIF(AB494,"RA"))&gt;0,"FAIL","PASS")</f>
        <v>FAIL</v>
      </c>
    </row>
    <row r="495" customFormat="false" ht="15" hidden="false" customHeight="false" outlineLevel="0" collapsed="false">
      <c r="A495" s="2" t="n">
        <v>494</v>
      </c>
      <c r="B495" s="3" t="s">
        <v>2846</v>
      </c>
      <c r="C495" s="2" t="s">
        <v>859</v>
      </c>
      <c r="D495" s="2" t="s">
        <v>2847</v>
      </c>
      <c r="E495" s="2" t="s">
        <v>57</v>
      </c>
      <c r="F495" s="2" t="s">
        <v>36</v>
      </c>
      <c r="G495" s="2" t="s">
        <v>48</v>
      </c>
      <c r="H495" s="2" t="s">
        <v>2848</v>
      </c>
      <c r="I495" s="3" t="s">
        <v>642</v>
      </c>
      <c r="J495" s="2" t="s">
        <v>2849</v>
      </c>
      <c r="K495" s="2" t="s">
        <v>2850</v>
      </c>
      <c r="L495" s="4" t="n">
        <v>84</v>
      </c>
      <c r="M495" s="4" t="s">
        <v>42</v>
      </c>
      <c r="N495" s="5" t="n">
        <v>84</v>
      </c>
      <c r="O495" s="6" t="n">
        <v>94</v>
      </c>
      <c r="P495" s="6" t="s">
        <v>54</v>
      </c>
      <c r="Q495" s="7" t="n">
        <v>94</v>
      </c>
      <c r="R495" s="8" t="n">
        <v>96</v>
      </c>
      <c r="S495" s="8" t="s">
        <v>54</v>
      </c>
      <c r="T495" s="9" t="n">
        <v>96</v>
      </c>
      <c r="U495" s="10" t="n">
        <v>91</v>
      </c>
      <c r="V495" s="10" t="s">
        <v>54</v>
      </c>
      <c r="W495" s="11" t="n">
        <v>91</v>
      </c>
      <c r="X495" s="12" t="n">
        <v>77</v>
      </c>
      <c r="Y495" s="12" t="s">
        <v>43</v>
      </c>
      <c r="Z495" s="13" t="n">
        <v>77</v>
      </c>
      <c r="AA495" s="14" t="n">
        <v>54</v>
      </c>
      <c r="AB495" s="14" t="s">
        <v>53</v>
      </c>
      <c r="AC495" s="15" t="n">
        <v>54</v>
      </c>
      <c r="AD495" s="2" t="n">
        <f aca="false">SUM(L495,O495,R495,U495,X495,AA495)</f>
        <v>496</v>
      </c>
      <c r="AE495" s="16" t="n">
        <f aca="false">AD495/6</f>
        <v>82.6666666666667</v>
      </c>
      <c r="AF495" s="2" t="str">
        <f aca="false">IF(SUM(COUNTIF(M495,"RA"),COUNTIF(P495,"RA"),COUNTIF(S495,"RA"),COUNTIF(V495,"RA"),COUNTIF(Y495,"RA"),COUNTIF(AB495,"RA"))&gt;0,"FAIL","PASS")</f>
        <v>PASS</v>
      </c>
    </row>
    <row r="496" customFormat="false" ht="15" hidden="false" customHeight="false" outlineLevel="0" collapsed="false">
      <c r="A496" s="2" t="n">
        <v>495</v>
      </c>
      <c r="B496" s="3" t="s">
        <v>2851</v>
      </c>
      <c r="C496" s="2" t="s">
        <v>859</v>
      </c>
      <c r="D496" s="2" t="s">
        <v>2852</v>
      </c>
      <c r="E496" s="2" t="s">
        <v>57</v>
      </c>
      <c r="F496" s="2" t="s">
        <v>36</v>
      </c>
      <c r="G496" s="2" t="s">
        <v>44</v>
      </c>
      <c r="H496" s="2" t="s">
        <v>2853</v>
      </c>
      <c r="I496" s="3" t="s">
        <v>2854</v>
      </c>
      <c r="J496" s="2" t="s">
        <v>2855</v>
      </c>
      <c r="K496" s="2" t="s">
        <v>2856</v>
      </c>
      <c r="L496" s="4" t="n">
        <v>67</v>
      </c>
      <c r="M496" s="4" t="s">
        <v>44</v>
      </c>
      <c r="N496" s="5" t="n">
        <v>67</v>
      </c>
      <c r="O496" s="6" t="n">
        <v>86</v>
      </c>
      <c r="P496" s="6" t="s">
        <v>42</v>
      </c>
      <c r="Q496" s="7" t="n">
        <v>86</v>
      </c>
      <c r="R496" s="8" t="n">
        <v>78</v>
      </c>
      <c r="S496" s="8" t="s">
        <v>43</v>
      </c>
      <c r="T496" s="9" t="n">
        <v>78</v>
      </c>
      <c r="U496" s="10" t="n">
        <v>83</v>
      </c>
      <c r="V496" s="10" t="s">
        <v>42</v>
      </c>
      <c r="W496" s="11" t="n">
        <v>83</v>
      </c>
      <c r="X496" s="12" t="n">
        <v>65</v>
      </c>
      <c r="Y496" s="12" t="s">
        <v>44</v>
      </c>
      <c r="Z496" s="13" t="n">
        <v>65</v>
      </c>
      <c r="AA496" s="14" t="n">
        <v>89</v>
      </c>
      <c r="AB496" s="14" t="s">
        <v>42</v>
      </c>
      <c r="AC496" s="15" t="n">
        <v>89</v>
      </c>
      <c r="AD496" s="2" t="n">
        <f aca="false">SUM(L496,O496,R496,U496,X496,AA496)</f>
        <v>468</v>
      </c>
      <c r="AE496" s="16" t="n">
        <f aca="false">AD496/6</f>
        <v>78</v>
      </c>
      <c r="AF496" s="2" t="str">
        <f aca="false">IF(SUM(COUNTIF(M496,"RA"),COUNTIF(P496,"RA"),COUNTIF(S496,"RA"),COUNTIF(V496,"RA"),COUNTIF(Y496,"RA"),COUNTIF(AB496,"RA"))&gt;0,"FAIL","PASS")</f>
        <v>PASS</v>
      </c>
    </row>
    <row r="497" customFormat="false" ht="15" hidden="false" customHeight="false" outlineLevel="0" collapsed="false">
      <c r="A497" s="2" t="n">
        <v>496</v>
      </c>
      <c r="B497" s="3" t="s">
        <v>2857</v>
      </c>
      <c r="C497" s="2" t="s">
        <v>841</v>
      </c>
      <c r="D497" s="2" t="s">
        <v>2858</v>
      </c>
      <c r="E497" s="2" t="s">
        <v>35</v>
      </c>
      <c r="F497" s="2" t="s">
        <v>36</v>
      </c>
      <c r="G497" s="2" t="s">
        <v>91</v>
      </c>
      <c r="H497" s="2" t="s">
        <v>2859</v>
      </c>
      <c r="I497" s="3" t="s">
        <v>373</v>
      </c>
      <c r="J497" s="2" t="s">
        <v>2860</v>
      </c>
      <c r="K497" s="2" t="s">
        <v>2861</v>
      </c>
      <c r="L497" s="4" t="n">
        <v>84</v>
      </c>
      <c r="M497" s="4" t="s">
        <v>42</v>
      </c>
      <c r="N497" s="5" t="n">
        <v>84</v>
      </c>
      <c r="O497" s="6" t="n">
        <v>94</v>
      </c>
      <c r="P497" s="6" t="s">
        <v>54</v>
      </c>
      <c r="Q497" s="7" t="n">
        <v>94</v>
      </c>
      <c r="R497" s="8" t="n">
        <v>82</v>
      </c>
      <c r="S497" s="8" t="s">
        <v>42</v>
      </c>
      <c r="T497" s="9" t="n">
        <v>82</v>
      </c>
      <c r="U497" s="10" t="n">
        <v>89</v>
      </c>
      <c r="V497" s="10" t="s">
        <v>42</v>
      </c>
      <c r="W497" s="11" t="n">
        <v>89</v>
      </c>
      <c r="X497" s="12" t="n">
        <v>66</v>
      </c>
      <c r="Y497" s="12" t="s">
        <v>44</v>
      </c>
      <c r="Z497" s="13" t="n">
        <v>66</v>
      </c>
      <c r="AA497" s="14" t="n">
        <v>85</v>
      </c>
      <c r="AB497" s="14" t="s">
        <v>42</v>
      </c>
      <c r="AC497" s="15" t="n">
        <v>85</v>
      </c>
      <c r="AD497" s="2" t="n">
        <f aca="false">SUM(L497,O497,R497,U497,X497,AA497)</f>
        <v>500</v>
      </c>
      <c r="AE497" s="16" t="n">
        <f aca="false">AD497/6</f>
        <v>83.3333333333333</v>
      </c>
      <c r="AF497" s="2" t="str">
        <f aca="false">IF(SUM(COUNTIF(M497,"RA"),COUNTIF(P497,"RA"),COUNTIF(S497,"RA"),COUNTIF(V497,"RA"),COUNTIF(Y497,"RA"),COUNTIF(AB497,"RA"))&gt;0,"FAIL","PASS")</f>
        <v>PASS</v>
      </c>
    </row>
    <row r="498" customFormat="false" ht="15" hidden="false" customHeight="false" outlineLevel="0" collapsed="false">
      <c r="A498" s="2" t="n">
        <v>497</v>
      </c>
      <c r="B498" s="3" t="s">
        <v>2862</v>
      </c>
      <c r="C498" s="2" t="s">
        <v>816</v>
      </c>
      <c r="D498" s="2" t="s">
        <v>2863</v>
      </c>
      <c r="E498" s="2" t="s">
        <v>57</v>
      </c>
      <c r="F498" s="2" t="s">
        <v>36</v>
      </c>
      <c r="G498" s="2" t="s">
        <v>91</v>
      </c>
      <c r="H498" s="2" t="s">
        <v>2864</v>
      </c>
      <c r="I498" s="3" t="s">
        <v>1341</v>
      </c>
      <c r="J498" s="2" t="s">
        <v>2865</v>
      </c>
      <c r="K498" s="2" t="s">
        <v>2866</v>
      </c>
      <c r="L498" s="4" t="n">
        <v>80</v>
      </c>
      <c r="M498" s="4" t="s">
        <v>42</v>
      </c>
      <c r="N498" s="5" t="n">
        <v>80</v>
      </c>
      <c r="O498" s="6" t="n">
        <v>42</v>
      </c>
      <c r="P498" s="6" t="s">
        <v>45</v>
      </c>
      <c r="Q498" s="7" t="n">
        <v>42</v>
      </c>
      <c r="R498" s="8" t="n">
        <v>79</v>
      </c>
      <c r="S498" s="8" t="s">
        <v>43</v>
      </c>
      <c r="T498" s="9" t="n">
        <v>79</v>
      </c>
      <c r="U498" s="10" t="n">
        <v>94</v>
      </c>
      <c r="V498" s="10" t="s">
        <v>54</v>
      </c>
      <c r="W498" s="11" t="n">
        <v>94</v>
      </c>
      <c r="X498" s="12" t="n">
        <v>72</v>
      </c>
      <c r="Y498" s="12" t="s">
        <v>43</v>
      </c>
      <c r="Z498" s="13" t="n">
        <v>72</v>
      </c>
      <c r="AA498" s="14" t="n">
        <v>78</v>
      </c>
      <c r="AB498" s="14" t="s">
        <v>43</v>
      </c>
      <c r="AC498" s="15" t="n">
        <v>78</v>
      </c>
      <c r="AD498" s="2" t="n">
        <f aca="false">SUM(L498,O498,R498,U498,X498,AA498)</f>
        <v>445</v>
      </c>
      <c r="AE498" s="16" t="n">
        <f aca="false">AD498/6</f>
        <v>74.1666666666667</v>
      </c>
      <c r="AF498" s="2" t="str">
        <f aca="false">IF(SUM(COUNTIF(M498,"RA"),COUNTIF(P498,"RA"),COUNTIF(S498,"RA"),COUNTIF(V498,"RA"),COUNTIF(Y498,"RA"),COUNTIF(AB498,"RA"))&gt;0,"FAIL","PASS")</f>
        <v>FAIL</v>
      </c>
    </row>
    <row r="499" customFormat="false" ht="15" hidden="false" customHeight="false" outlineLevel="0" collapsed="false">
      <c r="A499" s="2" t="n">
        <v>498</v>
      </c>
      <c r="B499" s="3" t="s">
        <v>2867</v>
      </c>
      <c r="C499" s="2" t="s">
        <v>750</v>
      </c>
      <c r="D499" s="2" t="s">
        <v>2868</v>
      </c>
      <c r="E499" s="2" t="s">
        <v>57</v>
      </c>
      <c r="F499" s="2" t="s">
        <v>36</v>
      </c>
      <c r="G499" s="2" t="s">
        <v>64</v>
      </c>
      <c r="H499" s="2" t="s">
        <v>2869</v>
      </c>
      <c r="I499" s="3" t="s">
        <v>249</v>
      </c>
      <c r="J499" s="2" t="s">
        <v>2870</v>
      </c>
      <c r="K499" s="2" t="s">
        <v>2871</v>
      </c>
      <c r="L499" s="4" t="n">
        <v>90</v>
      </c>
      <c r="M499" s="4" t="s">
        <v>54</v>
      </c>
      <c r="N499" s="5" t="n">
        <v>90</v>
      </c>
      <c r="O499" s="6" t="n">
        <v>100</v>
      </c>
      <c r="P499" s="6" t="s">
        <v>54</v>
      </c>
      <c r="Q499" s="7" t="n">
        <v>100</v>
      </c>
      <c r="R499" s="8" t="n">
        <v>85</v>
      </c>
      <c r="S499" s="8" t="s">
        <v>42</v>
      </c>
      <c r="T499" s="9" t="n">
        <v>85</v>
      </c>
      <c r="U499" s="10" t="n">
        <v>90</v>
      </c>
      <c r="V499" s="10" t="s">
        <v>54</v>
      </c>
      <c r="W499" s="11" t="n">
        <v>90</v>
      </c>
      <c r="X499" s="12" t="n">
        <v>81</v>
      </c>
      <c r="Y499" s="12" t="s">
        <v>42</v>
      </c>
      <c r="Z499" s="13" t="n">
        <v>81</v>
      </c>
      <c r="AA499" s="14" t="n">
        <v>99</v>
      </c>
      <c r="AB499" s="14" t="s">
        <v>54</v>
      </c>
      <c r="AC499" s="15" t="n">
        <v>99</v>
      </c>
      <c r="AD499" s="2" t="n">
        <f aca="false">SUM(L499,O499,R499,U499,X499,AA499)</f>
        <v>545</v>
      </c>
      <c r="AE499" s="16" t="n">
        <f aca="false">AD499/6</f>
        <v>90.8333333333333</v>
      </c>
      <c r="AF499" s="2" t="str">
        <f aca="false">IF(SUM(COUNTIF(M499,"RA"),COUNTIF(P499,"RA"),COUNTIF(S499,"RA"),COUNTIF(V499,"RA"),COUNTIF(Y499,"RA"),COUNTIF(AB499,"RA"))&gt;0,"FAIL","PASS")</f>
        <v>PASS</v>
      </c>
    </row>
    <row r="500" customFormat="false" ht="15" hidden="false" customHeight="false" outlineLevel="0" collapsed="false">
      <c r="A500" s="2" t="n">
        <v>499</v>
      </c>
      <c r="B500" s="3" t="s">
        <v>2872</v>
      </c>
      <c r="C500" s="2" t="s">
        <v>770</v>
      </c>
      <c r="D500" s="2" t="s">
        <v>2873</v>
      </c>
      <c r="E500" s="2" t="s">
        <v>57</v>
      </c>
      <c r="F500" s="2" t="s">
        <v>36</v>
      </c>
      <c r="G500" s="2" t="s">
        <v>48</v>
      </c>
      <c r="H500" s="2" t="s">
        <v>2874</v>
      </c>
      <c r="I500" s="3" t="s">
        <v>1324</v>
      </c>
      <c r="J500" s="2" t="s">
        <v>2875</v>
      </c>
      <c r="K500" s="2" t="s">
        <v>2876</v>
      </c>
      <c r="L500" s="4" t="n">
        <v>83</v>
      </c>
      <c r="M500" s="4" t="s">
        <v>42</v>
      </c>
      <c r="N500" s="5" t="n">
        <v>83</v>
      </c>
      <c r="O500" s="6" t="n">
        <v>76</v>
      </c>
      <c r="P500" s="6" t="s">
        <v>43</v>
      </c>
      <c r="Q500" s="7" t="n">
        <v>76</v>
      </c>
      <c r="R500" s="8" t="n">
        <v>60</v>
      </c>
      <c r="S500" s="8" t="s">
        <v>44</v>
      </c>
      <c r="T500" s="9" t="n">
        <v>60</v>
      </c>
      <c r="U500" s="10" t="n">
        <v>90</v>
      </c>
      <c r="V500" s="10" t="s">
        <v>54</v>
      </c>
      <c r="W500" s="11" t="n">
        <v>90</v>
      </c>
      <c r="X500" s="12" t="n">
        <v>68</v>
      </c>
      <c r="Y500" s="12" t="s">
        <v>44</v>
      </c>
      <c r="Z500" s="13" t="n">
        <v>68</v>
      </c>
      <c r="AA500" s="14" t="n">
        <v>90</v>
      </c>
      <c r="AB500" s="14" t="s">
        <v>54</v>
      </c>
      <c r="AC500" s="15" t="n">
        <v>90</v>
      </c>
      <c r="AD500" s="2" t="n">
        <f aca="false">SUM(L500,O500,R500,U500,X500,AA500)</f>
        <v>467</v>
      </c>
      <c r="AE500" s="16" t="n">
        <f aca="false">AD500/6</f>
        <v>77.8333333333333</v>
      </c>
      <c r="AF500" s="2" t="str">
        <f aca="false">IF(SUM(COUNTIF(M500,"RA"),COUNTIF(P500,"RA"),COUNTIF(S500,"RA"),COUNTIF(V500,"RA"),COUNTIF(Y500,"RA"),COUNTIF(AB500,"RA"))&gt;0,"FAIL","PASS")</f>
        <v>PASS</v>
      </c>
    </row>
    <row r="501" customFormat="false" ht="15" hidden="false" customHeight="false" outlineLevel="0" collapsed="false">
      <c r="A501" s="2" t="n">
        <v>500</v>
      </c>
      <c r="B501" s="3" t="s">
        <v>2877</v>
      </c>
      <c r="C501" s="2" t="s">
        <v>816</v>
      </c>
      <c r="D501" s="2" t="s">
        <v>2878</v>
      </c>
      <c r="E501" s="2" t="s">
        <v>57</v>
      </c>
      <c r="F501" s="2" t="s">
        <v>36</v>
      </c>
      <c r="G501" s="2" t="s">
        <v>44</v>
      </c>
      <c r="H501" s="2" t="s">
        <v>1449</v>
      </c>
      <c r="I501" s="3" t="s">
        <v>2879</v>
      </c>
      <c r="J501" s="2" t="s">
        <v>2880</v>
      </c>
      <c r="K501" s="2" t="s">
        <v>2881</v>
      </c>
      <c r="L501" s="4" t="n">
        <v>90</v>
      </c>
      <c r="M501" s="4" t="s">
        <v>54</v>
      </c>
      <c r="N501" s="5" t="n">
        <v>90</v>
      </c>
      <c r="O501" s="6" t="n">
        <v>57</v>
      </c>
      <c r="P501" s="6" t="s">
        <v>53</v>
      </c>
      <c r="Q501" s="7" t="n">
        <v>57</v>
      </c>
      <c r="R501" s="8" t="n">
        <v>80</v>
      </c>
      <c r="S501" s="8" t="s">
        <v>42</v>
      </c>
      <c r="T501" s="9" t="n">
        <v>80</v>
      </c>
      <c r="U501" s="10" t="n">
        <v>97</v>
      </c>
      <c r="V501" s="10" t="s">
        <v>54</v>
      </c>
      <c r="W501" s="11" t="n">
        <v>97</v>
      </c>
      <c r="X501" s="12" t="n">
        <v>73</v>
      </c>
      <c r="Y501" s="12" t="s">
        <v>43</v>
      </c>
      <c r="Z501" s="13" t="n">
        <v>73</v>
      </c>
      <c r="AA501" s="14" t="n">
        <v>63</v>
      </c>
      <c r="AB501" s="14" t="s">
        <v>44</v>
      </c>
      <c r="AC501" s="15" t="n">
        <v>63</v>
      </c>
      <c r="AD501" s="2" t="n">
        <f aca="false">SUM(L501,O501,R501,U501,X501,AA501)</f>
        <v>460</v>
      </c>
      <c r="AE501" s="16" t="n">
        <f aca="false">AD501/6</f>
        <v>76.6666666666667</v>
      </c>
      <c r="AF501" s="2" t="str">
        <f aca="false">IF(SUM(COUNTIF(M501,"RA"),COUNTIF(P501,"RA"),COUNTIF(S501,"RA"),COUNTIF(V501,"RA"),COUNTIF(Y501,"RA"),COUNTIF(AB501,"RA"))&gt;0,"FAIL","PASS")</f>
        <v>PASS</v>
      </c>
    </row>
    <row r="502" customFormat="false" ht="15" hidden="false" customHeight="false" outlineLevel="0" collapsed="false">
      <c r="A502" s="2" t="n">
        <v>501</v>
      </c>
      <c r="B502" s="3" t="s">
        <v>2882</v>
      </c>
      <c r="C502" s="2" t="s">
        <v>770</v>
      </c>
      <c r="D502" s="2" t="s">
        <v>2883</v>
      </c>
      <c r="E502" s="2" t="s">
        <v>35</v>
      </c>
      <c r="F502" s="2" t="s">
        <v>36</v>
      </c>
      <c r="G502" s="2" t="s">
        <v>37</v>
      </c>
      <c r="H502" s="2" t="s">
        <v>2884</v>
      </c>
      <c r="I502" s="3" t="s">
        <v>2885</v>
      </c>
      <c r="J502" s="2" t="s">
        <v>2886</v>
      </c>
      <c r="K502" s="2" t="s">
        <v>2887</v>
      </c>
      <c r="L502" s="4" t="n">
        <v>95</v>
      </c>
      <c r="M502" s="4" t="s">
        <v>54</v>
      </c>
      <c r="N502" s="5" t="n">
        <v>95</v>
      </c>
      <c r="O502" s="6" t="n">
        <v>64</v>
      </c>
      <c r="P502" s="6" t="s">
        <v>44</v>
      </c>
      <c r="Q502" s="7" t="n">
        <v>64</v>
      </c>
      <c r="R502" s="8" t="n">
        <v>74</v>
      </c>
      <c r="S502" s="8" t="s">
        <v>43</v>
      </c>
      <c r="T502" s="9" t="n">
        <v>74</v>
      </c>
      <c r="U502" s="10" t="n">
        <v>75</v>
      </c>
      <c r="V502" s="10" t="s">
        <v>43</v>
      </c>
      <c r="W502" s="11" t="n">
        <v>75</v>
      </c>
      <c r="X502" s="12" t="n">
        <v>64</v>
      </c>
      <c r="Y502" s="12" t="s">
        <v>44</v>
      </c>
      <c r="Z502" s="13" t="n">
        <v>64</v>
      </c>
      <c r="AA502" s="14" t="n">
        <v>71</v>
      </c>
      <c r="AB502" s="14" t="s">
        <v>43</v>
      </c>
      <c r="AC502" s="15" t="n">
        <v>71</v>
      </c>
      <c r="AD502" s="2" t="n">
        <f aca="false">SUM(L502,O502,R502,U502,X502,AA502)</f>
        <v>443</v>
      </c>
      <c r="AE502" s="16" t="n">
        <f aca="false">AD502/6</f>
        <v>73.8333333333333</v>
      </c>
      <c r="AF502" s="2" t="str">
        <f aca="false">IF(SUM(COUNTIF(M502,"RA"),COUNTIF(P502,"RA"),COUNTIF(S502,"RA"),COUNTIF(V502,"RA"),COUNTIF(Y502,"RA"),COUNTIF(AB502,"RA"))&gt;0,"FAIL","PASS")</f>
        <v>PASS</v>
      </c>
    </row>
    <row r="503" customFormat="false" ht="15" hidden="false" customHeight="false" outlineLevel="0" collapsed="false">
      <c r="A503" s="2" t="n">
        <v>502</v>
      </c>
      <c r="B503" s="3" t="s">
        <v>2888</v>
      </c>
      <c r="C503" s="2" t="s">
        <v>757</v>
      </c>
      <c r="D503" s="2" t="s">
        <v>2889</v>
      </c>
      <c r="E503" s="2" t="s">
        <v>35</v>
      </c>
      <c r="F503" s="2" t="s">
        <v>36</v>
      </c>
      <c r="G503" s="2" t="s">
        <v>64</v>
      </c>
      <c r="H503" s="2" t="s">
        <v>2890</v>
      </c>
      <c r="I503" s="3" t="s">
        <v>2891</v>
      </c>
      <c r="J503" s="2" t="s">
        <v>2892</v>
      </c>
      <c r="K503" s="2" t="s">
        <v>2893</v>
      </c>
      <c r="L503" s="4" t="n">
        <v>61</v>
      </c>
      <c r="M503" s="4" t="s">
        <v>44</v>
      </c>
      <c r="N503" s="5" t="n">
        <v>61</v>
      </c>
      <c r="O503" s="6" t="n">
        <v>66</v>
      </c>
      <c r="P503" s="6" t="s">
        <v>44</v>
      </c>
      <c r="Q503" s="7" t="n">
        <v>66</v>
      </c>
      <c r="R503" s="8" t="n">
        <v>68</v>
      </c>
      <c r="S503" s="8" t="s">
        <v>44</v>
      </c>
      <c r="T503" s="9" t="n">
        <v>68</v>
      </c>
      <c r="U503" s="10" t="n">
        <v>87</v>
      </c>
      <c r="V503" s="10" t="s">
        <v>42</v>
      </c>
      <c r="W503" s="11" t="n">
        <v>87</v>
      </c>
      <c r="X503" s="12" t="n">
        <v>70</v>
      </c>
      <c r="Y503" s="12" t="s">
        <v>43</v>
      </c>
      <c r="Z503" s="13" t="n">
        <v>70</v>
      </c>
      <c r="AA503" s="14" t="n">
        <v>60</v>
      </c>
      <c r="AB503" s="14" t="s">
        <v>44</v>
      </c>
      <c r="AC503" s="15" t="n">
        <v>60</v>
      </c>
      <c r="AD503" s="2" t="n">
        <f aca="false">SUM(L503,O503,R503,U503,X503,AA503)</f>
        <v>412</v>
      </c>
      <c r="AE503" s="16" t="n">
        <f aca="false">AD503/6</f>
        <v>68.6666666666667</v>
      </c>
      <c r="AF503" s="2" t="str">
        <f aca="false">IF(SUM(COUNTIF(M503,"RA"),COUNTIF(P503,"RA"),COUNTIF(S503,"RA"),COUNTIF(V503,"RA"),COUNTIF(Y503,"RA"),COUNTIF(AB503,"RA"))&gt;0,"FAIL","PASS")</f>
        <v>PASS</v>
      </c>
    </row>
    <row r="504" customFormat="false" ht="15" hidden="false" customHeight="false" outlineLevel="0" collapsed="false">
      <c r="A504" s="2" t="n">
        <v>503</v>
      </c>
      <c r="B504" s="3" t="s">
        <v>2894</v>
      </c>
      <c r="C504" s="2" t="s">
        <v>757</v>
      </c>
      <c r="D504" s="2" t="s">
        <v>2895</v>
      </c>
      <c r="E504" s="2" t="s">
        <v>57</v>
      </c>
      <c r="F504" s="2" t="s">
        <v>36</v>
      </c>
      <c r="G504" s="2" t="s">
        <v>78</v>
      </c>
      <c r="H504" s="2" t="s">
        <v>1208</v>
      </c>
      <c r="I504" s="3" t="s">
        <v>1780</v>
      </c>
      <c r="J504" s="2" t="s">
        <v>2896</v>
      </c>
      <c r="K504" s="2" t="s">
        <v>2897</v>
      </c>
      <c r="L504" s="4" t="n">
        <v>78</v>
      </c>
      <c r="M504" s="4" t="s">
        <v>43</v>
      </c>
      <c r="N504" s="5" t="n">
        <v>78</v>
      </c>
      <c r="O504" s="6" t="n">
        <v>53</v>
      </c>
      <c r="P504" s="6" t="s">
        <v>53</v>
      </c>
      <c r="Q504" s="7" t="n">
        <v>53</v>
      </c>
      <c r="R504" s="8" t="n">
        <v>93</v>
      </c>
      <c r="S504" s="8" t="s">
        <v>54</v>
      </c>
      <c r="T504" s="9" t="n">
        <v>93</v>
      </c>
      <c r="U504" s="10" t="n">
        <v>71</v>
      </c>
      <c r="V504" s="10" t="s">
        <v>43</v>
      </c>
      <c r="W504" s="11" t="n">
        <v>71</v>
      </c>
      <c r="X504" s="12" t="n">
        <v>92</v>
      </c>
      <c r="Y504" s="12" t="s">
        <v>54</v>
      </c>
      <c r="Z504" s="13" t="n">
        <v>92</v>
      </c>
      <c r="AA504" s="14" t="n">
        <v>96</v>
      </c>
      <c r="AB504" s="14" t="s">
        <v>54</v>
      </c>
      <c r="AC504" s="15" t="n">
        <v>96</v>
      </c>
      <c r="AD504" s="2" t="n">
        <f aca="false">SUM(L504,O504,R504,U504,X504,AA504)</f>
        <v>483</v>
      </c>
      <c r="AE504" s="16" t="n">
        <f aca="false">AD504/6</f>
        <v>80.5</v>
      </c>
      <c r="AF504" s="2" t="str">
        <f aca="false">IF(SUM(COUNTIF(M504,"RA"),COUNTIF(P504,"RA"),COUNTIF(S504,"RA"),COUNTIF(V504,"RA"),COUNTIF(Y504,"RA"),COUNTIF(AB504,"RA"))&gt;0,"FAIL","PASS")</f>
        <v>PASS</v>
      </c>
    </row>
    <row r="505" customFormat="false" ht="15" hidden="false" customHeight="false" outlineLevel="0" collapsed="false">
      <c r="A505" s="2" t="n">
        <v>504</v>
      </c>
      <c r="B505" s="3" t="s">
        <v>2898</v>
      </c>
      <c r="C505" s="2" t="s">
        <v>816</v>
      </c>
      <c r="D505" s="2" t="s">
        <v>2899</v>
      </c>
      <c r="E505" s="2" t="s">
        <v>57</v>
      </c>
      <c r="F505" s="2" t="s">
        <v>36</v>
      </c>
      <c r="G505" s="2" t="s">
        <v>78</v>
      </c>
      <c r="H505" s="2" t="s">
        <v>1410</v>
      </c>
      <c r="I505" s="3" t="s">
        <v>2900</v>
      </c>
      <c r="J505" s="2" t="s">
        <v>2901</v>
      </c>
      <c r="K505" s="2" t="s">
        <v>2902</v>
      </c>
      <c r="L505" s="4" t="n">
        <v>90</v>
      </c>
      <c r="M505" s="4" t="s">
        <v>54</v>
      </c>
      <c r="N505" s="5" t="n">
        <v>90</v>
      </c>
      <c r="O505" s="6" t="n">
        <v>68</v>
      </c>
      <c r="P505" s="6" t="s">
        <v>44</v>
      </c>
      <c r="Q505" s="7" t="n">
        <v>68</v>
      </c>
      <c r="R505" s="8" t="n">
        <v>64</v>
      </c>
      <c r="S505" s="8" t="s">
        <v>44</v>
      </c>
      <c r="T505" s="9" t="n">
        <v>64</v>
      </c>
      <c r="U505" s="10" t="n">
        <v>96</v>
      </c>
      <c r="V505" s="10" t="s">
        <v>54</v>
      </c>
      <c r="W505" s="11" t="n">
        <v>96</v>
      </c>
      <c r="X505" s="12" t="n">
        <v>67</v>
      </c>
      <c r="Y505" s="12" t="s">
        <v>44</v>
      </c>
      <c r="Z505" s="13" t="n">
        <v>67</v>
      </c>
      <c r="AA505" s="14" t="n">
        <v>54</v>
      </c>
      <c r="AB505" s="14" t="s">
        <v>53</v>
      </c>
      <c r="AC505" s="15" t="n">
        <v>54</v>
      </c>
      <c r="AD505" s="2" t="n">
        <f aca="false">SUM(L505,O505,R505,U505,X505,AA505)</f>
        <v>439</v>
      </c>
      <c r="AE505" s="16" t="n">
        <f aca="false">AD505/6</f>
        <v>73.1666666666667</v>
      </c>
      <c r="AF505" s="2" t="str">
        <f aca="false">IF(SUM(COUNTIF(M505,"RA"),COUNTIF(P505,"RA"),COUNTIF(S505,"RA"),COUNTIF(V505,"RA"),COUNTIF(Y505,"RA"),COUNTIF(AB505,"RA"))&gt;0,"FAIL","PASS")</f>
        <v>PASS</v>
      </c>
    </row>
    <row r="506" customFormat="false" ht="15" hidden="false" customHeight="false" outlineLevel="0" collapsed="false">
      <c r="A506" s="2" t="n">
        <v>505</v>
      </c>
      <c r="B506" s="3" t="s">
        <v>2903</v>
      </c>
      <c r="C506" s="2" t="s">
        <v>912</v>
      </c>
      <c r="D506" s="2" t="s">
        <v>2904</v>
      </c>
      <c r="E506" s="2" t="s">
        <v>57</v>
      </c>
      <c r="F506" s="2" t="s">
        <v>36</v>
      </c>
      <c r="G506" s="2" t="s">
        <v>71</v>
      </c>
      <c r="H506" s="2" t="s">
        <v>2905</v>
      </c>
      <c r="I506" s="3" t="s">
        <v>2906</v>
      </c>
      <c r="J506" s="2" t="s">
        <v>2907</v>
      </c>
      <c r="K506" s="2" t="s">
        <v>2908</v>
      </c>
      <c r="L506" s="4" t="n">
        <v>91</v>
      </c>
      <c r="M506" s="4" t="s">
        <v>54</v>
      </c>
      <c r="N506" s="5" t="n">
        <v>91</v>
      </c>
      <c r="O506" s="6" t="n">
        <v>94</v>
      </c>
      <c r="P506" s="6" t="s">
        <v>54</v>
      </c>
      <c r="Q506" s="7" t="n">
        <v>94</v>
      </c>
      <c r="R506" s="8" t="n">
        <v>58</v>
      </c>
      <c r="S506" s="8" t="s">
        <v>53</v>
      </c>
      <c r="T506" s="9" t="n">
        <v>58</v>
      </c>
      <c r="U506" s="10" t="n">
        <v>44</v>
      </c>
      <c r="V506" s="10" t="s">
        <v>45</v>
      </c>
      <c r="W506" s="11" t="n">
        <v>44</v>
      </c>
      <c r="X506" s="12" t="n">
        <v>80</v>
      </c>
      <c r="Y506" s="12" t="s">
        <v>42</v>
      </c>
      <c r="Z506" s="13" t="n">
        <v>80</v>
      </c>
      <c r="AA506" s="14" t="n">
        <v>82</v>
      </c>
      <c r="AB506" s="14" t="s">
        <v>42</v>
      </c>
      <c r="AC506" s="15" t="n">
        <v>82</v>
      </c>
      <c r="AD506" s="2" t="n">
        <f aca="false">SUM(L506,O506,R506,U506,X506,AA506)</f>
        <v>449</v>
      </c>
      <c r="AE506" s="16" t="n">
        <f aca="false">AD506/6</f>
        <v>74.8333333333333</v>
      </c>
      <c r="AF506" s="2" t="str">
        <f aca="false">IF(SUM(COUNTIF(M506,"RA"),COUNTIF(P506,"RA"),COUNTIF(S506,"RA"),COUNTIF(V506,"RA"),COUNTIF(Y506,"RA"),COUNTIF(AB506,"RA"))&gt;0,"FAIL","PASS")</f>
        <v>FAIL</v>
      </c>
    </row>
    <row r="507" customFormat="false" ht="15" hidden="false" customHeight="false" outlineLevel="0" collapsed="false">
      <c r="A507" s="2" t="n">
        <v>506</v>
      </c>
      <c r="B507" s="3" t="s">
        <v>2909</v>
      </c>
      <c r="C507" s="2" t="s">
        <v>750</v>
      </c>
      <c r="D507" s="2" t="s">
        <v>2910</v>
      </c>
      <c r="E507" s="2" t="s">
        <v>35</v>
      </c>
      <c r="F507" s="2" t="s">
        <v>36</v>
      </c>
      <c r="G507" s="2" t="s">
        <v>37</v>
      </c>
      <c r="H507" s="2" t="s">
        <v>170</v>
      </c>
      <c r="I507" s="3" t="s">
        <v>2911</v>
      </c>
      <c r="J507" s="2" t="s">
        <v>2912</v>
      </c>
      <c r="K507" s="2" t="s">
        <v>2913</v>
      </c>
      <c r="L507" s="4" t="n">
        <v>72</v>
      </c>
      <c r="M507" s="4" t="s">
        <v>43</v>
      </c>
      <c r="N507" s="5" t="n">
        <v>72</v>
      </c>
      <c r="O507" s="6" t="n">
        <v>59</v>
      </c>
      <c r="P507" s="6" t="s">
        <v>53</v>
      </c>
      <c r="Q507" s="7" t="n">
        <v>59</v>
      </c>
      <c r="R507" s="8" t="n">
        <v>89</v>
      </c>
      <c r="S507" s="8" t="s">
        <v>42</v>
      </c>
      <c r="T507" s="9" t="n">
        <v>89</v>
      </c>
      <c r="U507" s="10" t="n">
        <v>73</v>
      </c>
      <c r="V507" s="10" t="s">
        <v>43</v>
      </c>
      <c r="W507" s="11" t="n">
        <v>73</v>
      </c>
      <c r="X507" s="12" t="n">
        <v>63</v>
      </c>
      <c r="Y507" s="12" t="s">
        <v>44</v>
      </c>
      <c r="Z507" s="13" t="n">
        <v>63</v>
      </c>
      <c r="AA507" s="14" t="n">
        <v>68</v>
      </c>
      <c r="AB507" s="14" t="s">
        <v>44</v>
      </c>
      <c r="AC507" s="15" t="n">
        <v>68</v>
      </c>
      <c r="AD507" s="2" t="n">
        <f aca="false">SUM(L507,O507,R507,U507,X507,AA507)</f>
        <v>424</v>
      </c>
      <c r="AE507" s="16" t="n">
        <f aca="false">AD507/6</f>
        <v>70.6666666666667</v>
      </c>
      <c r="AF507" s="2" t="str">
        <f aca="false">IF(SUM(COUNTIF(M507,"RA"),COUNTIF(P507,"RA"),COUNTIF(S507,"RA"),COUNTIF(V507,"RA"),COUNTIF(Y507,"RA"),COUNTIF(AB507,"RA"))&gt;0,"FAIL","PASS")</f>
        <v>PASS</v>
      </c>
    </row>
    <row r="508" customFormat="false" ht="15" hidden="false" customHeight="false" outlineLevel="0" collapsed="false">
      <c r="A508" s="2" t="n">
        <v>507</v>
      </c>
      <c r="B508" s="3" t="s">
        <v>2914</v>
      </c>
      <c r="C508" s="2" t="s">
        <v>757</v>
      </c>
      <c r="D508" s="2" t="s">
        <v>2915</v>
      </c>
      <c r="E508" s="2" t="s">
        <v>57</v>
      </c>
      <c r="F508" s="2" t="s">
        <v>36</v>
      </c>
      <c r="G508" s="2" t="s">
        <v>48</v>
      </c>
      <c r="H508" s="2" t="s">
        <v>2916</v>
      </c>
      <c r="I508" s="3" t="s">
        <v>2917</v>
      </c>
      <c r="J508" s="2" t="s">
        <v>2918</v>
      </c>
      <c r="K508" s="2" t="s">
        <v>2919</v>
      </c>
      <c r="L508" s="4" t="n">
        <v>67</v>
      </c>
      <c r="M508" s="4" t="s">
        <v>44</v>
      </c>
      <c r="N508" s="5" t="n">
        <v>67</v>
      </c>
      <c r="O508" s="6" t="n">
        <v>93</v>
      </c>
      <c r="P508" s="6" t="s">
        <v>54</v>
      </c>
      <c r="Q508" s="7" t="n">
        <v>93</v>
      </c>
      <c r="R508" s="8" t="n">
        <v>72</v>
      </c>
      <c r="S508" s="8" t="s">
        <v>43</v>
      </c>
      <c r="T508" s="9" t="n">
        <v>72</v>
      </c>
      <c r="U508" s="10" t="n">
        <v>53</v>
      </c>
      <c r="V508" s="10" t="s">
        <v>53</v>
      </c>
      <c r="W508" s="11" t="n">
        <v>53</v>
      </c>
      <c r="X508" s="12" t="n">
        <v>66</v>
      </c>
      <c r="Y508" s="12" t="s">
        <v>44</v>
      </c>
      <c r="Z508" s="13" t="n">
        <v>66</v>
      </c>
      <c r="AA508" s="14" t="n">
        <v>85</v>
      </c>
      <c r="AB508" s="14" t="s">
        <v>42</v>
      </c>
      <c r="AC508" s="15" t="n">
        <v>85</v>
      </c>
      <c r="AD508" s="2" t="n">
        <f aca="false">SUM(L508,O508,R508,U508,X508,AA508)</f>
        <v>436</v>
      </c>
      <c r="AE508" s="16" t="n">
        <f aca="false">AD508/6</f>
        <v>72.6666666666667</v>
      </c>
      <c r="AF508" s="2" t="str">
        <f aca="false">IF(SUM(COUNTIF(M508,"RA"),COUNTIF(P508,"RA"),COUNTIF(S508,"RA"),COUNTIF(V508,"RA"),COUNTIF(Y508,"RA"),COUNTIF(AB508,"RA"))&gt;0,"FAIL","PASS")</f>
        <v>PASS</v>
      </c>
    </row>
    <row r="509" customFormat="false" ht="15" hidden="false" customHeight="false" outlineLevel="0" collapsed="false">
      <c r="A509" s="2" t="n">
        <v>508</v>
      </c>
      <c r="B509" s="3" t="s">
        <v>2920</v>
      </c>
      <c r="C509" s="2" t="s">
        <v>803</v>
      </c>
      <c r="D509" s="2" t="s">
        <v>2921</v>
      </c>
      <c r="E509" s="2" t="s">
        <v>57</v>
      </c>
      <c r="F509" s="2" t="s">
        <v>36</v>
      </c>
      <c r="G509" s="2" t="s">
        <v>91</v>
      </c>
      <c r="H509" s="2" t="s">
        <v>2922</v>
      </c>
      <c r="I509" s="3" t="s">
        <v>2923</v>
      </c>
      <c r="J509" s="2" t="s">
        <v>2924</v>
      </c>
      <c r="K509" s="2" t="s">
        <v>2925</v>
      </c>
      <c r="L509" s="4" t="n">
        <v>98</v>
      </c>
      <c r="M509" s="4" t="s">
        <v>54</v>
      </c>
      <c r="N509" s="5" t="n">
        <v>98</v>
      </c>
      <c r="O509" s="6" t="n">
        <v>98</v>
      </c>
      <c r="P509" s="6" t="s">
        <v>54</v>
      </c>
      <c r="Q509" s="7" t="n">
        <v>98</v>
      </c>
      <c r="R509" s="8" t="n">
        <v>66</v>
      </c>
      <c r="S509" s="8" t="s">
        <v>44</v>
      </c>
      <c r="T509" s="9" t="n">
        <v>66</v>
      </c>
      <c r="U509" s="10" t="n">
        <v>83</v>
      </c>
      <c r="V509" s="10" t="s">
        <v>42</v>
      </c>
      <c r="W509" s="11" t="n">
        <v>83</v>
      </c>
      <c r="X509" s="12" t="n">
        <v>55</v>
      </c>
      <c r="Y509" s="12" t="s">
        <v>53</v>
      </c>
      <c r="Z509" s="13" t="n">
        <v>55</v>
      </c>
      <c r="AA509" s="14" t="n">
        <v>86</v>
      </c>
      <c r="AB509" s="14" t="s">
        <v>42</v>
      </c>
      <c r="AC509" s="15" t="n">
        <v>86</v>
      </c>
      <c r="AD509" s="2" t="n">
        <f aca="false">SUM(L509,O509,R509,U509,X509,AA509)</f>
        <v>486</v>
      </c>
      <c r="AE509" s="16" t="n">
        <f aca="false">AD509/6</f>
        <v>81</v>
      </c>
      <c r="AF509" s="2" t="str">
        <f aca="false">IF(SUM(COUNTIF(M509,"RA"),COUNTIF(P509,"RA"),COUNTIF(S509,"RA"),COUNTIF(V509,"RA"),COUNTIF(Y509,"RA"),COUNTIF(AB509,"RA"))&gt;0,"FAIL","PASS")</f>
        <v>PASS</v>
      </c>
    </row>
    <row r="510" customFormat="false" ht="15" hidden="false" customHeight="false" outlineLevel="0" collapsed="false">
      <c r="A510" s="2" t="n">
        <v>509</v>
      </c>
      <c r="B510" s="3" t="s">
        <v>2926</v>
      </c>
      <c r="C510" s="2" t="s">
        <v>816</v>
      </c>
      <c r="D510" s="2" t="s">
        <v>2927</v>
      </c>
      <c r="E510" s="2" t="s">
        <v>57</v>
      </c>
      <c r="F510" s="2" t="s">
        <v>36</v>
      </c>
      <c r="G510" s="2" t="s">
        <v>44</v>
      </c>
      <c r="H510" s="2" t="s">
        <v>2694</v>
      </c>
      <c r="I510" s="3" t="s">
        <v>1169</v>
      </c>
      <c r="J510" s="2" t="s">
        <v>2928</v>
      </c>
      <c r="K510" s="2" t="s">
        <v>2929</v>
      </c>
      <c r="L510" s="4" t="n">
        <v>82</v>
      </c>
      <c r="M510" s="4" t="s">
        <v>42</v>
      </c>
      <c r="N510" s="5" t="n">
        <v>82</v>
      </c>
      <c r="O510" s="6" t="n">
        <v>70</v>
      </c>
      <c r="P510" s="6" t="s">
        <v>43</v>
      </c>
      <c r="Q510" s="7" t="n">
        <v>70</v>
      </c>
      <c r="R510" s="8" t="n">
        <v>98</v>
      </c>
      <c r="S510" s="8" t="s">
        <v>54</v>
      </c>
      <c r="T510" s="9" t="n">
        <v>98</v>
      </c>
      <c r="U510" s="10" t="n">
        <v>48</v>
      </c>
      <c r="V510" s="10" t="s">
        <v>45</v>
      </c>
      <c r="W510" s="11" t="n">
        <v>48</v>
      </c>
      <c r="X510" s="12" t="n">
        <v>74</v>
      </c>
      <c r="Y510" s="12" t="s">
        <v>43</v>
      </c>
      <c r="Z510" s="13" t="n">
        <v>74</v>
      </c>
      <c r="AA510" s="14" t="n">
        <v>65</v>
      </c>
      <c r="AB510" s="14" t="s">
        <v>44</v>
      </c>
      <c r="AC510" s="15" t="n">
        <v>65</v>
      </c>
      <c r="AD510" s="2" t="n">
        <f aca="false">SUM(L510,O510,R510,U510,X510,AA510)</f>
        <v>437</v>
      </c>
      <c r="AE510" s="16" t="n">
        <f aca="false">AD510/6</f>
        <v>72.8333333333333</v>
      </c>
      <c r="AF510" s="2" t="str">
        <f aca="false">IF(SUM(COUNTIF(M510,"RA"),COUNTIF(P510,"RA"),COUNTIF(S510,"RA"),COUNTIF(V510,"RA"),COUNTIF(Y510,"RA"),COUNTIF(AB510,"RA"))&gt;0,"FAIL","PASS")</f>
        <v>FAIL</v>
      </c>
    </row>
    <row r="511" customFormat="false" ht="15" hidden="false" customHeight="false" outlineLevel="0" collapsed="false">
      <c r="A511" s="2" t="n">
        <v>510</v>
      </c>
      <c r="B511" s="3" t="s">
        <v>2930</v>
      </c>
      <c r="C511" s="2" t="s">
        <v>816</v>
      </c>
      <c r="D511" s="2" t="s">
        <v>2931</v>
      </c>
      <c r="E511" s="2" t="s">
        <v>57</v>
      </c>
      <c r="F511" s="2" t="s">
        <v>36</v>
      </c>
      <c r="G511" s="2" t="s">
        <v>37</v>
      </c>
      <c r="H511" s="2" t="s">
        <v>2932</v>
      </c>
      <c r="I511" s="3" t="s">
        <v>2933</v>
      </c>
      <c r="J511" s="2" t="s">
        <v>2934</v>
      </c>
      <c r="K511" s="2" t="s">
        <v>2935</v>
      </c>
      <c r="L511" s="4" t="n">
        <v>76</v>
      </c>
      <c r="M511" s="4" t="s">
        <v>43</v>
      </c>
      <c r="N511" s="5" t="n">
        <v>76</v>
      </c>
      <c r="O511" s="6" t="n">
        <v>65</v>
      </c>
      <c r="P511" s="6" t="s">
        <v>44</v>
      </c>
      <c r="Q511" s="7" t="n">
        <v>65</v>
      </c>
      <c r="R511" s="8" t="n">
        <v>73</v>
      </c>
      <c r="S511" s="8" t="s">
        <v>43</v>
      </c>
      <c r="T511" s="9" t="n">
        <v>73</v>
      </c>
      <c r="U511" s="10" t="n">
        <v>97</v>
      </c>
      <c r="V511" s="10" t="s">
        <v>54</v>
      </c>
      <c r="W511" s="11" t="n">
        <v>97</v>
      </c>
      <c r="X511" s="12" t="n">
        <v>80</v>
      </c>
      <c r="Y511" s="12" t="s">
        <v>42</v>
      </c>
      <c r="Z511" s="13" t="n">
        <v>80</v>
      </c>
      <c r="AA511" s="14" t="n">
        <v>94</v>
      </c>
      <c r="AB511" s="14" t="s">
        <v>54</v>
      </c>
      <c r="AC511" s="15" t="n">
        <v>94</v>
      </c>
      <c r="AD511" s="2" t="n">
        <f aca="false">SUM(L511,O511,R511,U511,X511,AA511)</f>
        <v>485</v>
      </c>
      <c r="AE511" s="16" t="n">
        <f aca="false">AD511/6</f>
        <v>80.8333333333333</v>
      </c>
      <c r="AF511" s="2" t="str">
        <f aca="false">IF(SUM(COUNTIF(M511,"RA"),COUNTIF(P511,"RA"),COUNTIF(S511,"RA"),COUNTIF(V511,"RA"),COUNTIF(Y511,"RA"),COUNTIF(AB511,"RA"))&gt;0,"FAIL","PASS")</f>
        <v>PASS</v>
      </c>
    </row>
    <row r="512" customFormat="false" ht="15" hidden="false" customHeight="false" outlineLevel="0" collapsed="false">
      <c r="A512" s="2" t="n">
        <v>511</v>
      </c>
      <c r="B512" s="3" t="s">
        <v>2936</v>
      </c>
      <c r="C512" s="2" t="s">
        <v>912</v>
      </c>
      <c r="D512" s="2" t="s">
        <v>2937</v>
      </c>
      <c r="E512" s="2" t="s">
        <v>57</v>
      </c>
      <c r="F512" s="2" t="s">
        <v>36</v>
      </c>
      <c r="G512" s="2" t="s">
        <v>78</v>
      </c>
      <c r="H512" s="2" t="s">
        <v>2938</v>
      </c>
      <c r="I512" s="3" t="s">
        <v>2939</v>
      </c>
      <c r="J512" s="2" t="s">
        <v>2940</v>
      </c>
      <c r="K512" s="2" t="s">
        <v>2941</v>
      </c>
      <c r="L512" s="4" t="n">
        <v>75</v>
      </c>
      <c r="M512" s="4" t="s">
        <v>43</v>
      </c>
      <c r="N512" s="5" t="n">
        <v>75</v>
      </c>
      <c r="O512" s="6" t="n">
        <v>74</v>
      </c>
      <c r="P512" s="6" t="s">
        <v>43</v>
      </c>
      <c r="Q512" s="7" t="n">
        <v>74</v>
      </c>
      <c r="R512" s="8" t="n">
        <v>69</v>
      </c>
      <c r="S512" s="8" t="s">
        <v>44</v>
      </c>
      <c r="T512" s="9" t="n">
        <v>69</v>
      </c>
      <c r="U512" s="10" t="n">
        <v>42</v>
      </c>
      <c r="V512" s="10" t="s">
        <v>45</v>
      </c>
      <c r="W512" s="11" t="n">
        <v>42</v>
      </c>
      <c r="X512" s="12" t="n">
        <v>82</v>
      </c>
      <c r="Y512" s="12" t="s">
        <v>42</v>
      </c>
      <c r="Z512" s="13" t="n">
        <v>82</v>
      </c>
      <c r="AA512" s="14" t="n">
        <v>75</v>
      </c>
      <c r="AB512" s="14" t="s">
        <v>43</v>
      </c>
      <c r="AC512" s="15" t="n">
        <v>75</v>
      </c>
      <c r="AD512" s="2" t="n">
        <f aca="false">SUM(L512,O512,R512,U512,X512,AA512)</f>
        <v>417</v>
      </c>
      <c r="AE512" s="16" t="n">
        <f aca="false">AD512/6</f>
        <v>69.5</v>
      </c>
      <c r="AF512" s="2" t="str">
        <f aca="false">IF(SUM(COUNTIF(M512,"RA"),COUNTIF(P512,"RA"),COUNTIF(S512,"RA"),COUNTIF(V512,"RA"),COUNTIF(Y512,"RA"),COUNTIF(AB512,"RA"))&gt;0,"FAIL","PASS")</f>
        <v>FAIL</v>
      </c>
    </row>
    <row r="513" customFormat="false" ht="15" hidden="false" customHeight="false" outlineLevel="0" collapsed="false">
      <c r="A513" s="2" t="n">
        <v>512</v>
      </c>
      <c r="B513" s="3" t="s">
        <v>2942</v>
      </c>
      <c r="C513" s="2" t="s">
        <v>859</v>
      </c>
      <c r="D513" s="2" t="s">
        <v>2943</v>
      </c>
      <c r="E513" s="2" t="s">
        <v>35</v>
      </c>
      <c r="F513" s="2" t="s">
        <v>36</v>
      </c>
      <c r="G513" s="2" t="s">
        <v>71</v>
      </c>
      <c r="H513" s="2" t="s">
        <v>2944</v>
      </c>
      <c r="I513" s="3" t="s">
        <v>2945</v>
      </c>
      <c r="J513" s="2" t="s">
        <v>2946</v>
      </c>
      <c r="K513" s="2" t="s">
        <v>2947</v>
      </c>
      <c r="L513" s="4" t="n">
        <v>81</v>
      </c>
      <c r="M513" s="4" t="s">
        <v>42</v>
      </c>
      <c r="N513" s="5" t="n">
        <v>81</v>
      </c>
      <c r="O513" s="6" t="n">
        <v>62</v>
      </c>
      <c r="P513" s="6" t="s">
        <v>44</v>
      </c>
      <c r="Q513" s="7" t="n">
        <v>62</v>
      </c>
      <c r="R513" s="8" t="n">
        <v>81</v>
      </c>
      <c r="S513" s="8" t="s">
        <v>42</v>
      </c>
      <c r="T513" s="9" t="n">
        <v>81</v>
      </c>
      <c r="U513" s="10" t="n">
        <v>75</v>
      </c>
      <c r="V513" s="10" t="s">
        <v>43</v>
      </c>
      <c r="W513" s="11" t="n">
        <v>75</v>
      </c>
      <c r="X513" s="12" t="n">
        <v>47</v>
      </c>
      <c r="Y513" s="12" t="s">
        <v>45</v>
      </c>
      <c r="Z513" s="13" t="n">
        <v>47</v>
      </c>
      <c r="AA513" s="14" t="n">
        <v>85</v>
      </c>
      <c r="AB513" s="14" t="s">
        <v>42</v>
      </c>
      <c r="AC513" s="15" t="n">
        <v>85</v>
      </c>
      <c r="AD513" s="2" t="n">
        <f aca="false">SUM(L513,O513,R513,U513,X513,AA513)</f>
        <v>431</v>
      </c>
      <c r="AE513" s="16" t="n">
        <f aca="false">AD513/6</f>
        <v>71.8333333333333</v>
      </c>
      <c r="AF513" s="2" t="str">
        <f aca="false">IF(SUM(COUNTIF(M513,"RA"),COUNTIF(P513,"RA"),COUNTIF(S513,"RA"),COUNTIF(V513,"RA"),COUNTIF(Y513,"RA"),COUNTIF(AB513,"RA"))&gt;0,"FAIL","PASS")</f>
        <v>FAIL</v>
      </c>
    </row>
    <row r="514" customFormat="false" ht="15" hidden="false" customHeight="false" outlineLevel="0" collapsed="false">
      <c r="A514" s="2" t="n">
        <v>513</v>
      </c>
      <c r="B514" s="3" t="s">
        <v>2948</v>
      </c>
      <c r="C514" s="2" t="s">
        <v>803</v>
      </c>
      <c r="D514" s="2" t="s">
        <v>2949</v>
      </c>
      <c r="E514" s="2" t="s">
        <v>35</v>
      </c>
      <c r="F514" s="2" t="s">
        <v>36</v>
      </c>
      <c r="G514" s="2" t="s">
        <v>91</v>
      </c>
      <c r="H514" s="2" t="s">
        <v>2950</v>
      </c>
      <c r="I514" s="3" t="s">
        <v>2951</v>
      </c>
      <c r="J514" s="2" t="s">
        <v>2952</v>
      </c>
      <c r="K514" s="2" t="s">
        <v>2953</v>
      </c>
      <c r="L514" s="4" t="n">
        <v>95</v>
      </c>
      <c r="M514" s="4" t="s">
        <v>54</v>
      </c>
      <c r="N514" s="5" t="n">
        <v>95</v>
      </c>
      <c r="O514" s="6" t="n">
        <v>88</v>
      </c>
      <c r="P514" s="6" t="s">
        <v>42</v>
      </c>
      <c r="Q514" s="7" t="n">
        <v>88</v>
      </c>
      <c r="R514" s="8" t="n">
        <v>72</v>
      </c>
      <c r="S514" s="8" t="s">
        <v>43</v>
      </c>
      <c r="T514" s="9" t="n">
        <v>72</v>
      </c>
      <c r="U514" s="10" t="n">
        <v>67</v>
      </c>
      <c r="V514" s="10" t="s">
        <v>44</v>
      </c>
      <c r="W514" s="11" t="n">
        <v>67</v>
      </c>
      <c r="X514" s="12" t="n">
        <v>84</v>
      </c>
      <c r="Y514" s="12" t="s">
        <v>42</v>
      </c>
      <c r="Z514" s="13" t="n">
        <v>84</v>
      </c>
      <c r="AA514" s="14" t="n">
        <v>81</v>
      </c>
      <c r="AB514" s="14" t="s">
        <v>42</v>
      </c>
      <c r="AC514" s="15" t="n">
        <v>81</v>
      </c>
      <c r="AD514" s="2" t="n">
        <f aca="false">SUM(L514,O514,R514,U514,X514,AA514)</f>
        <v>487</v>
      </c>
      <c r="AE514" s="16" t="n">
        <f aca="false">AD514/6</f>
        <v>81.1666666666667</v>
      </c>
      <c r="AF514" s="2" t="str">
        <f aca="false">IF(SUM(COUNTIF(M514,"RA"),COUNTIF(P514,"RA"),COUNTIF(S514,"RA"),COUNTIF(V514,"RA"),COUNTIF(Y514,"RA"),COUNTIF(AB514,"RA"))&gt;0,"FAIL","PASS")</f>
        <v>PASS</v>
      </c>
    </row>
    <row r="515" customFormat="false" ht="15" hidden="false" customHeight="false" outlineLevel="0" collapsed="false">
      <c r="A515" s="2" t="n">
        <v>514</v>
      </c>
      <c r="B515" s="3" t="s">
        <v>2954</v>
      </c>
      <c r="C515" s="2" t="s">
        <v>816</v>
      </c>
      <c r="D515" s="2" t="s">
        <v>2955</v>
      </c>
      <c r="E515" s="2" t="s">
        <v>57</v>
      </c>
      <c r="F515" s="2" t="s">
        <v>36</v>
      </c>
      <c r="G515" s="2" t="s">
        <v>71</v>
      </c>
      <c r="H515" s="2" t="s">
        <v>2956</v>
      </c>
      <c r="I515" s="3" t="s">
        <v>2854</v>
      </c>
      <c r="J515" s="2" t="s">
        <v>2957</v>
      </c>
      <c r="K515" s="2" t="s">
        <v>2958</v>
      </c>
      <c r="L515" s="4" t="n">
        <v>89</v>
      </c>
      <c r="M515" s="4" t="s">
        <v>42</v>
      </c>
      <c r="N515" s="5" t="n">
        <v>89</v>
      </c>
      <c r="O515" s="6" t="n">
        <v>67</v>
      </c>
      <c r="P515" s="6" t="s">
        <v>44</v>
      </c>
      <c r="Q515" s="7" t="n">
        <v>67</v>
      </c>
      <c r="R515" s="8" t="n">
        <v>73</v>
      </c>
      <c r="S515" s="8" t="s">
        <v>43</v>
      </c>
      <c r="T515" s="9" t="n">
        <v>73</v>
      </c>
      <c r="U515" s="10" t="n">
        <v>77</v>
      </c>
      <c r="V515" s="10" t="s">
        <v>43</v>
      </c>
      <c r="W515" s="11" t="n">
        <v>77</v>
      </c>
      <c r="X515" s="12" t="n">
        <v>87</v>
      </c>
      <c r="Y515" s="12" t="s">
        <v>42</v>
      </c>
      <c r="Z515" s="13" t="n">
        <v>87</v>
      </c>
      <c r="AA515" s="14" t="n">
        <v>99</v>
      </c>
      <c r="AB515" s="14" t="s">
        <v>54</v>
      </c>
      <c r="AC515" s="15" t="n">
        <v>99</v>
      </c>
      <c r="AD515" s="2" t="n">
        <f aca="false">SUM(L515,O515,R515,U515,X515,AA515)</f>
        <v>492</v>
      </c>
      <c r="AE515" s="16" t="n">
        <f aca="false">AD515/6</f>
        <v>82</v>
      </c>
      <c r="AF515" s="2" t="str">
        <f aca="false">IF(SUM(COUNTIF(M515,"RA"),COUNTIF(P515,"RA"),COUNTIF(S515,"RA"),COUNTIF(V515,"RA"),COUNTIF(Y515,"RA"),COUNTIF(AB515,"RA"))&gt;0,"FAIL","PASS")</f>
        <v>PASS</v>
      </c>
    </row>
    <row r="516" customFormat="false" ht="15" hidden="false" customHeight="false" outlineLevel="0" collapsed="false">
      <c r="A516" s="2" t="n">
        <v>515</v>
      </c>
      <c r="B516" s="3" t="s">
        <v>2959</v>
      </c>
      <c r="C516" s="2" t="s">
        <v>859</v>
      </c>
      <c r="D516" s="2" t="s">
        <v>2960</v>
      </c>
      <c r="E516" s="2" t="s">
        <v>35</v>
      </c>
      <c r="F516" s="2" t="s">
        <v>36</v>
      </c>
      <c r="G516" s="2" t="s">
        <v>42</v>
      </c>
      <c r="H516" s="2" t="s">
        <v>2961</v>
      </c>
      <c r="I516" s="3" t="s">
        <v>2209</v>
      </c>
      <c r="J516" s="2" t="s">
        <v>2962</v>
      </c>
      <c r="K516" s="2" t="s">
        <v>2963</v>
      </c>
      <c r="L516" s="4" t="n">
        <v>97</v>
      </c>
      <c r="M516" s="4" t="s">
        <v>54</v>
      </c>
      <c r="N516" s="5" t="n">
        <v>97</v>
      </c>
      <c r="O516" s="6" t="n">
        <v>96</v>
      </c>
      <c r="P516" s="6" t="s">
        <v>54</v>
      </c>
      <c r="Q516" s="7" t="n">
        <v>96</v>
      </c>
      <c r="R516" s="8" t="n">
        <v>78</v>
      </c>
      <c r="S516" s="8" t="s">
        <v>43</v>
      </c>
      <c r="T516" s="9" t="n">
        <v>78</v>
      </c>
      <c r="U516" s="10" t="n">
        <v>97</v>
      </c>
      <c r="V516" s="10" t="s">
        <v>54</v>
      </c>
      <c r="W516" s="11" t="n">
        <v>97</v>
      </c>
      <c r="X516" s="12" t="n">
        <v>100</v>
      </c>
      <c r="Y516" s="12" t="s">
        <v>54</v>
      </c>
      <c r="Z516" s="13" t="n">
        <v>100</v>
      </c>
      <c r="AA516" s="14" t="n">
        <v>66</v>
      </c>
      <c r="AB516" s="14" t="s">
        <v>44</v>
      </c>
      <c r="AC516" s="15" t="n">
        <v>66</v>
      </c>
      <c r="AD516" s="2" t="n">
        <f aca="false">SUM(L516,O516,R516,U516,X516,AA516)</f>
        <v>534</v>
      </c>
      <c r="AE516" s="16" t="n">
        <f aca="false">AD516/6</f>
        <v>89</v>
      </c>
      <c r="AF516" s="2" t="str">
        <f aca="false">IF(SUM(COUNTIF(M516,"RA"),COUNTIF(P516,"RA"),COUNTIF(S516,"RA"),COUNTIF(V516,"RA"),COUNTIF(Y516,"RA"),COUNTIF(AB516,"RA"))&gt;0,"FAIL","PASS")</f>
        <v>PASS</v>
      </c>
    </row>
    <row r="517" customFormat="false" ht="15" hidden="false" customHeight="false" outlineLevel="0" collapsed="false">
      <c r="A517" s="2" t="n">
        <v>516</v>
      </c>
      <c r="B517" s="3" t="s">
        <v>2964</v>
      </c>
      <c r="C517" s="2" t="s">
        <v>912</v>
      </c>
      <c r="D517" s="2" t="s">
        <v>2965</v>
      </c>
      <c r="E517" s="2" t="s">
        <v>57</v>
      </c>
      <c r="F517" s="2" t="s">
        <v>36</v>
      </c>
      <c r="G517" s="2" t="s">
        <v>91</v>
      </c>
      <c r="H517" s="2" t="s">
        <v>2966</v>
      </c>
      <c r="I517" s="3" t="s">
        <v>2555</v>
      </c>
      <c r="J517" s="2" t="s">
        <v>2967</v>
      </c>
      <c r="K517" s="2" t="s">
        <v>2968</v>
      </c>
      <c r="L517" s="4" t="n">
        <v>78</v>
      </c>
      <c r="M517" s="4" t="s">
        <v>43</v>
      </c>
      <c r="N517" s="5" t="n">
        <v>78</v>
      </c>
      <c r="O517" s="6" t="n">
        <v>67</v>
      </c>
      <c r="P517" s="6" t="s">
        <v>44</v>
      </c>
      <c r="Q517" s="7" t="n">
        <v>67</v>
      </c>
      <c r="R517" s="8" t="n">
        <v>73</v>
      </c>
      <c r="S517" s="8" t="s">
        <v>43</v>
      </c>
      <c r="T517" s="9" t="n">
        <v>73</v>
      </c>
      <c r="U517" s="10" t="n">
        <v>62</v>
      </c>
      <c r="V517" s="10" t="s">
        <v>44</v>
      </c>
      <c r="W517" s="11" t="n">
        <v>62</v>
      </c>
      <c r="X517" s="12" t="n">
        <v>99</v>
      </c>
      <c r="Y517" s="12" t="s">
        <v>54</v>
      </c>
      <c r="Z517" s="13" t="n">
        <v>99</v>
      </c>
      <c r="AA517" s="14" t="n">
        <v>88</v>
      </c>
      <c r="AB517" s="14" t="s">
        <v>42</v>
      </c>
      <c r="AC517" s="15" t="n">
        <v>88</v>
      </c>
      <c r="AD517" s="2" t="n">
        <f aca="false">SUM(L517,O517,R517,U517,X517,AA517)</f>
        <v>467</v>
      </c>
      <c r="AE517" s="16" t="n">
        <f aca="false">AD517/6</f>
        <v>77.8333333333333</v>
      </c>
      <c r="AF517" s="2" t="str">
        <f aca="false">IF(SUM(COUNTIF(M517,"RA"),COUNTIF(P517,"RA"),COUNTIF(S517,"RA"),COUNTIF(V517,"RA"),COUNTIF(Y517,"RA"),COUNTIF(AB517,"RA"))&gt;0,"FAIL","PASS")</f>
        <v>PASS</v>
      </c>
    </row>
    <row r="518" customFormat="false" ht="15" hidden="false" customHeight="false" outlineLevel="0" collapsed="false">
      <c r="A518" s="2" t="n">
        <v>517</v>
      </c>
      <c r="B518" s="3" t="s">
        <v>2969</v>
      </c>
      <c r="C518" s="2" t="s">
        <v>816</v>
      </c>
      <c r="D518" s="2" t="s">
        <v>2970</v>
      </c>
      <c r="E518" s="2" t="s">
        <v>35</v>
      </c>
      <c r="F518" s="2" t="s">
        <v>36</v>
      </c>
      <c r="G518" s="2" t="s">
        <v>48</v>
      </c>
      <c r="H518" s="2" t="s">
        <v>2971</v>
      </c>
      <c r="I518" s="3" t="s">
        <v>2972</v>
      </c>
      <c r="J518" s="2" t="s">
        <v>2973</v>
      </c>
      <c r="K518" s="2" t="s">
        <v>2974</v>
      </c>
      <c r="L518" s="4" t="n">
        <v>69</v>
      </c>
      <c r="M518" s="4" t="s">
        <v>44</v>
      </c>
      <c r="N518" s="5" t="n">
        <v>69</v>
      </c>
      <c r="O518" s="6" t="n">
        <v>80</v>
      </c>
      <c r="P518" s="6" t="s">
        <v>42</v>
      </c>
      <c r="Q518" s="7" t="n">
        <v>80</v>
      </c>
      <c r="R518" s="8" t="n">
        <v>100</v>
      </c>
      <c r="S518" s="8" t="s">
        <v>54</v>
      </c>
      <c r="T518" s="9" t="n">
        <v>100</v>
      </c>
      <c r="U518" s="10" t="n">
        <v>60</v>
      </c>
      <c r="V518" s="10" t="s">
        <v>44</v>
      </c>
      <c r="W518" s="11" t="n">
        <v>60</v>
      </c>
      <c r="X518" s="12" t="n">
        <v>65</v>
      </c>
      <c r="Y518" s="12" t="s">
        <v>44</v>
      </c>
      <c r="Z518" s="13" t="n">
        <v>65</v>
      </c>
      <c r="AA518" s="14" t="n">
        <v>81</v>
      </c>
      <c r="AB518" s="14" t="s">
        <v>42</v>
      </c>
      <c r="AC518" s="15" t="n">
        <v>81</v>
      </c>
      <c r="AD518" s="2" t="n">
        <f aca="false">SUM(L518,O518,R518,U518,X518,AA518)</f>
        <v>455</v>
      </c>
      <c r="AE518" s="16" t="n">
        <f aca="false">AD518/6</f>
        <v>75.8333333333333</v>
      </c>
      <c r="AF518" s="2" t="str">
        <f aca="false">IF(SUM(COUNTIF(M518,"RA"),COUNTIF(P518,"RA"),COUNTIF(S518,"RA"),COUNTIF(V518,"RA"),COUNTIF(Y518,"RA"),COUNTIF(AB518,"RA"))&gt;0,"FAIL","PASS")</f>
        <v>PASS</v>
      </c>
    </row>
    <row r="519" customFormat="false" ht="15" hidden="false" customHeight="false" outlineLevel="0" collapsed="false">
      <c r="A519" s="2" t="n">
        <v>518</v>
      </c>
      <c r="B519" s="3" t="s">
        <v>2975</v>
      </c>
      <c r="C519" s="2" t="s">
        <v>816</v>
      </c>
      <c r="D519" s="2" t="s">
        <v>2976</v>
      </c>
      <c r="E519" s="2" t="s">
        <v>35</v>
      </c>
      <c r="F519" s="2" t="s">
        <v>36</v>
      </c>
      <c r="G519" s="2" t="s">
        <v>64</v>
      </c>
      <c r="H519" s="2" t="s">
        <v>2977</v>
      </c>
      <c r="I519" s="3" t="s">
        <v>2978</v>
      </c>
      <c r="J519" s="2" t="s">
        <v>2979</v>
      </c>
      <c r="K519" s="2" t="s">
        <v>2980</v>
      </c>
      <c r="L519" s="4" t="n">
        <v>61</v>
      </c>
      <c r="M519" s="4" t="s">
        <v>44</v>
      </c>
      <c r="N519" s="5" t="n">
        <v>61</v>
      </c>
      <c r="O519" s="6" t="n">
        <v>46</v>
      </c>
      <c r="P519" s="6" t="s">
        <v>45</v>
      </c>
      <c r="Q519" s="7" t="n">
        <v>46</v>
      </c>
      <c r="R519" s="8" t="n">
        <v>59</v>
      </c>
      <c r="S519" s="8" t="s">
        <v>53</v>
      </c>
      <c r="T519" s="9" t="n">
        <v>59</v>
      </c>
      <c r="U519" s="10" t="n">
        <v>97</v>
      </c>
      <c r="V519" s="10" t="s">
        <v>54</v>
      </c>
      <c r="W519" s="11" t="n">
        <v>97</v>
      </c>
      <c r="X519" s="12" t="n">
        <v>100</v>
      </c>
      <c r="Y519" s="12" t="s">
        <v>54</v>
      </c>
      <c r="Z519" s="13" t="n">
        <v>100</v>
      </c>
      <c r="AA519" s="14" t="n">
        <v>76</v>
      </c>
      <c r="AB519" s="14" t="s">
        <v>43</v>
      </c>
      <c r="AC519" s="15" t="n">
        <v>76</v>
      </c>
      <c r="AD519" s="2" t="n">
        <f aca="false">SUM(L519,O519,R519,U519,X519,AA519)</f>
        <v>439</v>
      </c>
      <c r="AE519" s="16" t="n">
        <f aca="false">AD519/6</f>
        <v>73.1666666666667</v>
      </c>
      <c r="AF519" s="2" t="str">
        <f aca="false">IF(SUM(COUNTIF(M519,"RA"),COUNTIF(P519,"RA"),COUNTIF(S519,"RA"),COUNTIF(V519,"RA"),COUNTIF(Y519,"RA"),COUNTIF(AB519,"RA"))&gt;0,"FAIL","PASS")</f>
        <v>FAIL</v>
      </c>
    </row>
    <row r="520" customFormat="false" ht="15" hidden="false" customHeight="false" outlineLevel="0" collapsed="false">
      <c r="A520" s="2" t="n">
        <v>519</v>
      </c>
      <c r="B520" s="3" t="s">
        <v>2981</v>
      </c>
      <c r="C520" s="2" t="s">
        <v>816</v>
      </c>
      <c r="D520" s="2" t="s">
        <v>2982</v>
      </c>
      <c r="E520" s="2" t="s">
        <v>57</v>
      </c>
      <c r="F520" s="2" t="s">
        <v>36</v>
      </c>
      <c r="G520" s="2" t="s">
        <v>37</v>
      </c>
      <c r="H520" s="2" t="s">
        <v>2983</v>
      </c>
      <c r="I520" s="3" t="s">
        <v>105</v>
      </c>
      <c r="J520" s="2" t="s">
        <v>2984</v>
      </c>
      <c r="K520" s="2" t="s">
        <v>2985</v>
      </c>
      <c r="L520" s="4" t="n">
        <v>57</v>
      </c>
      <c r="M520" s="4" t="s">
        <v>53</v>
      </c>
      <c r="N520" s="5" t="n">
        <v>57</v>
      </c>
      <c r="O520" s="6" t="n">
        <v>53</v>
      </c>
      <c r="P520" s="6" t="s">
        <v>53</v>
      </c>
      <c r="Q520" s="7" t="n">
        <v>53</v>
      </c>
      <c r="R520" s="8" t="n">
        <v>86</v>
      </c>
      <c r="S520" s="8" t="s">
        <v>42</v>
      </c>
      <c r="T520" s="9" t="n">
        <v>86</v>
      </c>
      <c r="U520" s="10" t="n">
        <v>41</v>
      </c>
      <c r="V520" s="10" t="s">
        <v>45</v>
      </c>
      <c r="W520" s="11" t="n">
        <v>41</v>
      </c>
      <c r="X520" s="12" t="n">
        <v>86</v>
      </c>
      <c r="Y520" s="12" t="s">
        <v>42</v>
      </c>
      <c r="Z520" s="13" t="n">
        <v>86</v>
      </c>
      <c r="AA520" s="14" t="n">
        <v>62</v>
      </c>
      <c r="AB520" s="14" t="s">
        <v>44</v>
      </c>
      <c r="AC520" s="15" t="n">
        <v>62</v>
      </c>
      <c r="AD520" s="2" t="n">
        <f aca="false">SUM(L520,O520,R520,U520,X520,AA520)</f>
        <v>385</v>
      </c>
      <c r="AE520" s="16" t="n">
        <f aca="false">AD520/6</f>
        <v>64.1666666666667</v>
      </c>
      <c r="AF520" s="2" t="str">
        <f aca="false">IF(SUM(COUNTIF(M520,"RA"),COUNTIF(P520,"RA"),COUNTIF(S520,"RA"),COUNTIF(V520,"RA"),COUNTIF(Y520,"RA"),COUNTIF(AB520,"RA"))&gt;0,"FAIL","PASS")</f>
        <v>FAIL</v>
      </c>
    </row>
    <row r="521" customFormat="false" ht="15" hidden="false" customHeight="false" outlineLevel="0" collapsed="false">
      <c r="A521" s="2" t="n">
        <v>520</v>
      </c>
      <c r="B521" s="3" t="s">
        <v>2986</v>
      </c>
      <c r="C521" s="2" t="s">
        <v>803</v>
      </c>
      <c r="D521" s="2" t="s">
        <v>2987</v>
      </c>
      <c r="E521" s="2" t="s">
        <v>57</v>
      </c>
      <c r="F521" s="2" t="s">
        <v>36</v>
      </c>
      <c r="G521" s="2" t="s">
        <v>44</v>
      </c>
      <c r="H521" s="2" t="s">
        <v>2988</v>
      </c>
      <c r="I521" s="3" t="s">
        <v>2989</v>
      </c>
      <c r="J521" s="2" t="s">
        <v>2990</v>
      </c>
      <c r="K521" s="2" t="s">
        <v>2991</v>
      </c>
      <c r="L521" s="4" t="n">
        <v>64</v>
      </c>
      <c r="M521" s="4" t="s">
        <v>44</v>
      </c>
      <c r="N521" s="5" t="n">
        <v>64</v>
      </c>
      <c r="O521" s="6" t="n">
        <v>66</v>
      </c>
      <c r="P521" s="6" t="s">
        <v>44</v>
      </c>
      <c r="Q521" s="7" t="n">
        <v>66</v>
      </c>
      <c r="R521" s="8" t="n">
        <v>66</v>
      </c>
      <c r="S521" s="8" t="s">
        <v>44</v>
      </c>
      <c r="T521" s="9" t="n">
        <v>66</v>
      </c>
      <c r="U521" s="10" t="n">
        <v>95</v>
      </c>
      <c r="V521" s="10" t="s">
        <v>54</v>
      </c>
      <c r="W521" s="11" t="n">
        <v>95</v>
      </c>
      <c r="X521" s="12" t="n">
        <v>97</v>
      </c>
      <c r="Y521" s="12" t="s">
        <v>54</v>
      </c>
      <c r="Z521" s="13" t="n">
        <v>97</v>
      </c>
      <c r="AA521" s="14" t="n">
        <v>95</v>
      </c>
      <c r="AB521" s="14" t="s">
        <v>54</v>
      </c>
      <c r="AC521" s="15" t="n">
        <v>95</v>
      </c>
      <c r="AD521" s="2" t="n">
        <f aca="false">SUM(L521,O521,R521,U521,X521,AA521)</f>
        <v>483</v>
      </c>
      <c r="AE521" s="16" t="n">
        <f aca="false">AD521/6</f>
        <v>80.5</v>
      </c>
      <c r="AF521" s="2" t="str">
        <f aca="false">IF(SUM(COUNTIF(M521,"RA"),COUNTIF(P521,"RA"),COUNTIF(S521,"RA"),COUNTIF(V521,"RA"),COUNTIF(Y521,"RA"),COUNTIF(AB521,"RA"))&gt;0,"FAIL","PASS")</f>
        <v>PASS</v>
      </c>
    </row>
    <row r="522" customFormat="false" ht="15" hidden="false" customHeight="false" outlineLevel="0" collapsed="false">
      <c r="A522" s="2" t="n">
        <v>521</v>
      </c>
      <c r="B522" s="3" t="s">
        <v>2992</v>
      </c>
      <c r="C522" s="2" t="s">
        <v>757</v>
      </c>
      <c r="D522" s="2" t="s">
        <v>2993</v>
      </c>
      <c r="E522" s="2" t="s">
        <v>35</v>
      </c>
      <c r="F522" s="2" t="s">
        <v>36</v>
      </c>
      <c r="G522" s="2" t="s">
        <v>91</v>
      </c>
      <c r="H522" s="2" t="s">
        <v>2994</v>
      </c>
      <c r="I522" s="3" t="s">
        <v>2833</v>
      </c>
      <c r="J522" s="2" t="s">
        <v>2995</v>
      </c>
      <c r="K522" s="2" t="s">
        <v>2996</v>
      </c>
      <c r="L522" s="4" t="n">
        <v>95</v>
      </c>
      <c r="M522" s="4" t="s">
        <v>54</v>
      </c>
      <c r="N522" s="5" t="n">
        <v>95</v>
      </c>
      <c r="O522" s="6" t="n">
        <v>89</v>
      </c>
      <c r="P522" s="6" t="s">
        <v>42</v>
      </c>
      <c r="Q522" s="7" t="n">
        <v>89</v>
      </c>
      <c r="R522" s="8" t="n">
        <v>63</v>
      </c>
      <c r="S522" s="8" t="s">
        <v>44</v>
      </c>
      <c r="T522" s="9" t="n">
        <v>63</v>
      </c>
      <c r="U522" s="10" t="n">
        <v>88</v>
      </c>
      <c r="V522" s="10" t="s">
        <v>42</v>
      </c>
      <c r="W522" s="11" t="n">
        <v>88</v>
      </c>
      <c r="X522" s="12" t="n">
        <v>61</v>
      </c>
      <c r="Y522" s="12" t="s">
        <v>44</v>
      </c>
      <c r="Z522" s="13" t="n">
        <v>61</v>
      </c>
      <c r="AA522" s="14" t="n">
        <v>60</v>
      </c>
      <c r="AB522" s="14" t="s">
        <v>44</v>
      </c>
      <c r="AC522" s="15" t="n">
        <v>60</v>
      </c>
      <c r="AD522" s="2" t="n">
        <f aca="false">SUM(L522,O522,R522,U522,X522,AA522)</f>
        <v>456</v>
      </c>
      <c r="AE522" s="16" t="n">
        <f aca="false">AD522/6</f>
        <v>76</v>
      </c>
      <c r="AF522" s="2" t="str">
        <f aca="false">IF(SUM(COUNTIF(M522,"RA"),COUNTIF(P522,"RA"),COUNTIF(S522,"RA"),COUNTIF(V522,"RA"),COUNTIF(Y522,"RA"),COUNTIF(AB522,"RA"))&gt;0,"FAIL","PASS")</f>
        <v>PASS</v>
      </c>
    </row>
    <row r="523" customFormat="false" ht="15" hidden="false" customHeight="false" outlineLevel="0" collapsed="false">
      <c r="A523" s="2" t="n">
        <v>522</v>
      </c>
      <c r="B523" s="3" t="s">
        <v>2997</v>
      </c>
      <c r="C523" s="2" t="s">
        <v>790</v>
      </c>
      <c r="D523" s="2" t="s">
        <v>2998</v>
      </c>
      <c r="E523" s="2" t="s">
        <v>57</v>
      </c>
      <c r="F523" s="2" t="s">
        <v>36</v>
      </c>
      <c r="G523" s="2" t="s">
        <v>48</v>
      </c>
      <c r="H523" s="2" t="s">
        <v>2999</v>
      </c>
      <c r="I523" s="3" t="s">
        <v>2348</v>
      </c>
      <c r="J523" s="2" t="s">
        <v>3000</v>
      </c>
      <c r="K523" s="2" t="s">
        <v>3001</v>
      </c>
      <c r="L523" s="4" t="n">
        <v>45</v>
      </c>
      <c r="M523" s="4" t="s">
        <v>45</v>
      </c>
      <c r="N523" s="5" t="n">
        <v>45</v>
      </c>
      <c r="O523" s="6" t="n">
        <v>69</v>
      </c>
      <c r="P523" s="6" t="s">
        <v>44</v>
      </c>
      <c r="Q523" s="7" t="n">
        <v>69</v>
      </c>
      <c r="R523" s="8" t="n">
        <v>63</v>
      </c>
      <c r="S523" s="8" t="s">
        <v>44</v>
      </c>
      <c r="T523" s="9" t="n">
        <v>63</v>
      </c>
      <c r="U523" s="10" t="n">
        <v>84</v>
      </c>
      <c r="V523" s="10" t="s">
        <v>42</v>
      </c>
      <c r="W523" s="11" t="n">
        <v>84</v>
      </c>
      <c r="X523" s="12" t="n">
        <v>79</v>
      </c>
      <c r="Y523" s="12" t="s">
        <v>43</v>
      </c>
      <c r="Z523" s="13" t="n">
        <v>79</v>
      </c>
      <c r="AA523" s="14" t="n">
        <v>44</v>
      </c>
      <c r="AB523" s="14" t="s">
        <v>45</v>
      </c>
      <c r="AC523" s="15" t="n">
        <v>44</v>
      </c>
      <c r="AD523" s="2" t="n">
        <f aca="false">SUM(L523,O523,R523,U523,X523,AA523)</f>
        <v>384</v>
      </c>
      <c r="AE523" s="16" t="n">
        <f aca="false">AD523/6</f>
        <v>64</v>
      </c>
      <c r="AF523" s="2" t="str">
        <f aca="false">IF(SUM(COUNTIF(M523,"RA"),COUNTIF(P523,"RA"),COUNTIF(S523,"RA"),COUNTIF(V523,"RA"),COUNTIF(Y523,"RA"),COUNTIF(AB523,"RA"))&gt;0,"FAIL","PASS")</f>
        <v>FAIL</v>
      </c>
    </row>
    <row r="524" customFormat="false" ht="15" hidden="false" customHeight="false" outlineLevel="0" collapsed="false">
      <c r="A524" s="2" t="n">
        <v>523</v>
      </c>
      <c r="B524" s="3" t="s">
        <v>3002</v>
      </c>
      <c r="C524" s="2" t="s">
        <v>770</v>
      </c>
      <c r="D524" s="2" t="s">
        <v>3003</v>
      </c>
      <c r="E524" s="2" t="s">
        <v>35</v>
      </c>
      <c r="F524" s="2" t="s">
        <v>36</v>
      </c>
      <c r="G524" s="2" t="s">
        <v>44</v>
      </c>
      <c r="H524" s="2" t="s">
        <v>3004</v>
      </c>
      <c r="I524" s="3" t="s">
        <v>3005</v>
      </c>
      <c r="J524" s="2" t="s">
        <v>3006</v>
      </c>
      <c r="K524" s="2" t="s">
        <v>3007</v>
      </c>
      <c r="L524" s="4" t="n">
        <v>91</v>
      </c>
      <c r="M524" s="4" t="s">
        <v>54</v>
      </c>
      <c r="N524" s="5" t="n">
        <v>91</v>
      </c>
      <c r="O524" s="6" t="n">
        <v>74</v>
      </c>
      <c r="P524" s="6" t="s">
        <v>43</v>
      </c>
      <c r="Q524" s="7" t="n">
        <v>74</v>
      </c>
      <c r="R524" s="8" t="n">
        <v>99</v>
      </c>
      <c r="S524" s="8" t="s">
        <v>54</v>
      </c>
      <c r="T524" s="9" t="n">
        <v>99</v>
      </c>
      <c r="U524" s="10" t="n">
        <v>66</v>
      </c>
      <c r="V524" s="10" t="s">
        <v>44</v>
      </c>
      <c r="W524" s="11" t="n">
        <v>66</v>
      </c>
      <c r="X524" s="12" t="n">
        <v>75</v>
      </c>
      <c r="Y524" s="12" t="s">
        <v>43</v>
      </c>
      <c r="Z524" s="13" t="n">
        <v>75</v>
      </c>
      <c r="AA524" s="14" t="n">
        <v>83</v>
      </c>
      <c r="AB524" s="14" t="s">
        <v>42</v>
      </c>
      <c r="AC524" s="15" t="n">
        <v>83</v>
      </c>
      <c r="AD524" s="2" t="n">
        <f aca="false">SUM(L524,O524,R524,U524,X524,AA524)</f>
        <v>488</v>
      </c>
      <c r="AE524" s="16" t="n">
        <f aca="false">AD524/6</f>
        <v>81.3333333333333</v>
      </c>
      <c r="AF524" s="2" t="str">
        <f aca="false">IF(SUM(COUNTIF(M524,"RA"),COUNTIF(P524,"RA"),COUNTIF(S524,"RA"),COUNTIF(V524,"RA"),COUNTIF(Y524,"RA"),COUNTIF(AB524,"RA"))&gt;0,"FAIL","PASS")</f>
        <v>PASS</v>
      </c>
    </row>
    <row r="525" customFormat="false" ht="15" hidden="false" customHeight="false" outlineLevel="0" collapsed="false">
      <c r="A525" s="2" t="n">
        <v>524</v>
      </c>
      <c r="B525" s="3" t="s">
        <v>3008</v>
      </c>
      <c r="C525" s="2" t="s">
        <v>783</v>
      </c>
      <c r="D525" s="2" t="s">
        <v>3009</v>
      </c>
      <c r="E525" s="2" t="s">
        <v>57</v>
      </c>
      <c r="F525" s="2" t="s">
        <v>36</v>
      </c>
      <c r="G525" s="2" t="s">
        <v>71</v>
      </c>
      <c r="H525" s="2" t="s">
        <v>3010</v>
      </c>
      <c r="I525" s="3" t="s">
        <v>1294</v>
      </c>
      <c r="J525" s="2" t="s">
        <v>3011</v>
      </c>
      <c r="K525" s="2" t="s">
        <v>3012</v>
      </c>
      <c r="L525" s="4" t="n">
        <v>80</v>
      </c>
      <c r="M525" s="4" t="s">
        <v>42</v>
      </c>
      <c r="N525" s="5" t="n">
        <v>80</v>
      </c>
      <c r="O525" s="6" t="n">
        <v>72</v>
      </c>
      <c r="P525" s="6" t="s">
        <v>43</v>
      </c>
      <c r="Q525" s="7" t="n">
        <v>72</v>
      </c>
      <c r="R525" s="8" t="n">
        <v>83</v>
      </c>
      <c r="S525" s="8" t="s">
        <v>42</v>
      </c>
      <c r="T525" s="9" t="n">
        <v>83</v>
      </c>
      <c r="U525" s="10" t="n">
        <v>49</v>
      </c>
      <c r="V525" s="10" t="s">
        <v>45</v>
      </c>
      <c r="W525" s="11" t="n">
        <v>49</v>
      </c>
      <c r="X525" s="12" t="n">
        <v>82</v>
      </c>
      <c r="Y525" s="12" t="s">
        <v>42</v>
      </c>
      <c r="Z525" s="13" t="n">
        <v>82</v>
      </c>
      <c r="AA525" s="14" t="n">
        <v>53</v>
      </c>
      <c r="AB525" s="14" t="s">
        <v>53</v>
      </c>
      <c r="AC525" s="15" t="n">
        <v>53</v>
      </c>
      <c r="AD525" s="2" t="n">
        <f aca="false">SUM(L525,O525,R525,U525,X525,AA525)</f>
        <v>419</v>
      </c>
      <c r="AE525" s="16" t="n">
        <f aca="false">AD525/6</f>
        <v>69.8333333333333</v>
      </c>
      <c r="AF525" s="2" t="str">
        <f aca="false">IF(SUM(COUNTIF(M525,"RA"),COUNTIF(P525,"RA"),COUNTIF(S525,"RA"),COUNTIF(V525,"RA"),COUNTIF(Y525,"RA"),COUNTIF(AB525,"RA"))&gt;0,"FAIL","PASS")</f>
        <v>FAIL</v>
      </c>
    </row>
    <row r="526" customFormat="false" ht="15" hidden="false" customHeight="false" outlineLevel="0" collapsed="false">
      <c r="A526" s="2" t="n">
        <v>525</v>
      </c>
      <c r="B526" s="3" t="s">
        <v>3013</v>
      </c>
      <c r="C526" s="2" t="s">
        <v>790</v>
      </c>
      <c r="D526" s="2" t="s">
        <v>3014</v>
      </c>
      <c r="E526" s="2" t="s">
        <v>57</v>
      </c>
      <c r="F526" s="2" t="s">
        <v>36</v>
      </c>
      <c r="G526" s="2" t="s">
        <v>48</v>
      </c>
      <c r="H526" s="2" t="s">
        <v>3015</v>
      </c>
      <c r="I526" s="3" t="s">
        <v>111</v>
      </c>
      <c r="J526" s="2" t="s">
        <v>3016</v>
      </c>
      <c r="K526" s="2" t="s">
        <v>3017</v>
      </c>
      <c r="L526" s="4" t="n">
        <v>60</v>
      </c>
      <c r="M526" s="4" t="s">
        <v>44</v>
      </c>
      <c r="N526" s="5" t="n">
        <v>60</v>
      </c>
      <c r="O526" s="6" t="n">
        <v>46</v>
      </c>
      <c r="P526" s="6" t="s">
        <v>45</v>
      </c>
      <c r="Q526" s="7" t="n">
        <v>46</v>
      </c>
      <c r="R526" s="8" t="n">
        <v>49</v>
      </c>
      <c r="S526" s="8" t="s">
        <v>45</v>
      </c>
      <c r="T526" s="9" t="n">
        <v>49</v>
      </c>
      <c r="U526" s="10" t="n">
        <v>84</v>
      </c>
      <c r="V526" s="10" t="s">
        <v>42</v>
      </c>
      <c r="W526" s="11" t="n">
        <v>84</v>
      </c>
      <c r="X526" s="12" t="n">
        <v>79</v>
      </c>
      <c r="Y526" s="12" t="s">
        <v>43</v>
      </c>
      <c r="Z526" s="13" t="n">
        <v>79</v>
      </c>
      <c r="AA526" s="14" t="n">
        <v>73</v>
      </c>
      <c r="AB526" s="14" t="s">
        <v>43</v>
      </c>
      <c r="AC526" s="15" t="n">
        <v>73</v>
      </c>
      <c r="AD526" s="2" t="n">
        <f aca="false">SUM(L526,O526,R526,U526,X526,AA526)</f>
        <v>391</v>
      </c>
      <c r="AE526" s="16" t="n">
        <f aca="false">AD526/6</f>
        <v>65.1666666666667</v>
      </c>
      <c r="AF526" s="2" t="str">
        <f aca="false">IF(SUM(COUNTIF(M526,"RA"),COUNTIF(P526,"RA"),COUNTIF(S526,"RA"),COUNTIF(V526,"RA"),COUNTIF(Y526,"RA"),COUNTIF(AB526,"RA"))&gt;0,"FAIL","PASS")</f>
        <v>FAIL</v>
      </c>
    </row>
    <row r="527" customFormat="false" ht="15" hidden="false" customHeight="false" outlineLevel="0" collapsed="false">
      <c r="A527" s="2" t="n">
        <v>526</v>
      </c>
      <c r="B527" s="3" t="s">
        <v>3018</v>
      </c>
      <c r="C527" s="2" t="s">
        <v>912</v>
      </c>
      <c r="D527" s="2" t="s">
        <v>3019</v>
      </c>
      <c r="E527" s="2" t="s">
        <v>57</v>
      </c>
      <c r="F527" s="2" t="s">
        <v>36</v>
      </c>
      <c r="G527" s="2" t="s">
        <v>91</v>
      </c>
      <c r="H527" s="2" t="s">
        <v>1283</v>
      </c>
      <c r="I527" s="3" t="s">
        <v>521</v>
      </c>
      <c r="J527" s="2" t="s">
        <v>3020</v>
      </c>
      <c r="K527" s="2" t="s">
        <v>3021</v>
      </c>
      <c r="L527" s="4" t="n">
        <v>87</v>
      </c>
      <c r="M527" s="4" t="s">
        <v>42</v>
      </c>
      <c r="N527" s="5" t="n">
        <v>87</v>
      </c>
      <c r="O527" s="6" t="n">
        <v>75</v>
      </c>
      <c r="P527" s="6" t="s">
        <v>43</v>
      </c>
      <c r="Q527" s="7" t="n">
        <v>75</v>
      </c>
      <c r="R527" s="8" t="n">
        <v>71</v>
      </c>
      <c r="S527" s="8" t="s">
        <v>43</v>
      </c>
      <c r="T527" s="9" t="n">
        <v>71</v>
      </c>
      <c r="U527" s="10" t="n">
        <v>88</v>
      </c>
      <c r="V527" s="10" t="s">
        <v>42</v>
      </c>
      <c r="W527" s="11" t="n">
        <v>88</v>
      </c>
      <c r="X527" s="12" t="n">
        <v>77</v>
      </c>
      <c r="Y527" s="12" t="s">
        <v>43</v>
      </c>
      <c r="Z527" s="13" t="n">
        <v>77</v>
      </c>
      <c r="AA527" s="14" t="n">
        <v>73</v>
      </c>
      <c r="AB527" s="14" t="s">
        <v>43</v>
      </c>
      <c r="AC527" s="15" t="n">
        <v>73</v>
      </c>
      <c r="AD527" s="2" t="n">
        <f aca="false">SUM(L527,O527,R527,U527,X527,AA527)</f>
        <v>471</v>
      </c>
      <c r="AE527" s="16" t="n">
        <f aca="false">AD527/6</f>
        <v>78.5</v>
      </c>
      <c r="AF527" s="2" t="str">
        <f aca="false">IF(SUM(COUNTIF(M527,"RA"),COUNTIF(P527,"RA"),COUNTIF(S527,"RA"),COUNTIF(V527,"RA"),COUNTIF(Y527,"RA"),COUNTIF(AB527,"RA"))&gt;0,"FAIL","PASS")</f>
        <v>PASS</v>
      </c>
    </row>
    <row r="528" customFormat="false" ht="15" hidden="false" customHeight="false" outlineLevel="0" collapsed="false">
      <c r="A528" s="2" t="n">
        <v>527</v>
      </c>
      <c r="B528" s="3" t="s">
        <v>3022</v>
      </c>
      <c r="C528" s="2" t="s">
        <v>790</v>
      </c>
      <c r="D528" s="2" t="s">
        <v>3023</v>
      </c>
      <c r="E528" s="2" t="s">
        <v>35</v>
      </c>
      <c r="F528" s="2" t="s">
        <v>36</v>
      </c>
      <c r="G528" s="2" t="s">
        <v>48</v>
      </c>
      <c r="H528" s="2" t="s">
        <v>1381</v>
      </c>
      <c r="I528" s="3" t="s">
        <v>3024</v>
      </c>
      <c r="J528" s="2" t="s">
        <v>3025</v>
      </c>
      <c r="K528" s="2" t="s">
        <v>3026</v>
      </c>
      <c r="L528" s="4" t="n">
        <v>75</v>
      </c>
      <c r="M528" s="4" t="s">
        <v>43</v>
      </c>
      <c r="N528" s="5" t="n">
        <v>75</v>
      </c>
      <c r="O528" s="6" t="n">
        <v>97</v>
      </c>
      <c r="P528" s="6" t="s">
        <v>54</v>
      </c>
      <c r="Q528" s="7" t="n">
        <v>97</v>
      </c>
      <c r="R528" s="8" t="n">
        <v>43</v>
      </c>
      <c r="S528" s="8" t="s">
        <v>45</v>
      </c>
      <c r="T528" s="9" t="n">
        <v>43</v>
      </c>
      <c r="U528" s="10" t="n">
        <v>93</v>
      </c>
      <c r="V528" s="10" t="s">
        <v>54</v>
      </c>
      <c r="W528" s="11" t="n">
        <v>93</v>
      </c>
      <c r="X528" s="12" t="n">
        <v>81</v>
      </c>
      <c r="Y528" s="12" t="s">
        <v>42</v>
      </c>
      <c r="Z528" s="13" t="n">
        <v>81</v>
      </c>
      <c r="AA528" s="14" t="n">
        <v>71</v>
      </c>
      <c r="AB528" s="14" t="s">
        <v>43</v>
      </c>
      <c r="AC528" s="15" t="n">
        <v>71</v>
      </c>
      <c r="AD528" s="2" t="n">
        <f aca="false">SUM(L528,O528,R528,U528,X528,AA528)</f>
        <v>460</v>
      </c>
      <c r="AE528" s="16" t="n">
        <f aca="false">AD528/6</f>
        <v>76.6666666666667</v>
      </c>
      <c r="AF528" s="2" t="str">
        <f aca="false">IF(SUM(COUNTIF(M528,"RA"),COUNTIF(P528,"RA"),COUNTIF(S528,"RA"),COUNTIF(V528,"RA"),COUNTIF(Y528,"RA"),COUNTIF(AB528,"RA"))&gt;0,"FAIL","PASS")</f>
        <v>FAIL</v>
      </c>
    </row>
    <row r="529" customFormat="false" ht="15" hidden="false" customHeight="false" outlineLevel="0" collapsed="false">
      <c r="A529" s="2" t="n">
        <v>528</v>
      </c>
      <c r="B529" s="3" t="s">
        <v>3027</v>
      </c>
      <c r="C529" s="2" t="s">
        <v>803</v>
      </c>
      <c r="D529" s="2" t="s">
        <v>3028</v>
      </c>
      <c r="E529" s="2" t="s">
        <v>57</v>
      </c>
      <c r="F529" s="2" t="s">
        <v>36</v>
      </c>
      <c r="G529" s="2" t="s">
        <v>71</v>
      </c>
      <c r="H529" s="2" t="s">
        <v>3029</v>
      </c>
      <c r="I529" s="3" t="s">
        <v>3030</v>
      </c>
      <c r="J529" s="2" t="s">
        <v>3031</v>
      </c>
      <c r="K529" s="2" t="s">
        <v>3032</v>
      </c>
      <c r="L529" s="4" t="n">
        <v>44</v>
      </c>
      <c r="M529" s="4" t="s">
        <v>45</v>
      </c>
      <c r="N529" s="5" t="n">
        <v>44</v>
      </c>
      <c r="O529" s="6" t="n">
        <v>98</v>
      </c>
      <c r="P529" s="6" t="s">
        <v>54</v>
      </c>
      <c r="Q529" s="7" t="n">
        <v>98</v>
      </c>
      <c r="R529" s="8" t="n">
        <v>55</v>
      </c>
      <c r="S529" s="8" t="s">
        <v>53</v>
      </c>
      <c r="T529" s="9" t="n">
        <v>55</v>
      </c>
      <c r="U529" s="10" t="n">
        <v>61</v>
      </c>
      <c r="V529" s="10" t="s">
        <v>44</v>
      </c>
      <c r="W529" s="11" t="n">
        <v>61</v>
      </c>
      <c r="X529" s="12" t="n">
        <v>89</v>
      </c>
      <c r="Y529" s="12" t="s">
        <v>42</v>
      </c>
      <c r="Z529" s="13" t="n">
        <v>89</v>
      </c>
      <c r="AA529" s="14" t="n">
        <v>69</v>
      </c>
      <c r="AB529" s="14" t="s">
        <v>44</v>
      </c>
      <c r="AC529" s="15" t="n">
        <v>69</v>
      </c>
      <c r="AD529" s="2" t="n">
        <f aca="false">SUM(L529,O529,R529,U529,X529,AA529)</f>
        <v>416</v>
      </c>
      <c r="AE529" s="16" t="n">
        <f aca="false">AD529/6</f>
        <v>69.3333333333333</v>
      </c>
      <c r="AF529" s="2" t="str">
        <f aca="false">IF(SUM(COUNTIF(M529,"RA"),COUNTIF(P529,"RA"),COUNTIF(S529,"RA"),COUNTIF(V529,"RA"),COUNTIF(Y529,"RA"),COUNTIF(AB529,"RA"))&gt;0,"FAIL","PASS")</f>
        <v>FAIL</v>
      </c>
    </row>
    <row r="530" customFormat="false" ht="15" hidden="false" customHeight="false" outlineLevel="0" collapsed="false">
      <c r="A530" s="2" t="n">
        <v>529</v>
      </c>
      <c r="B530" s="3" t="s">
        <v>3033</v>
      </c>
      <c r="C530" s="2" t="s">
        <v>859</v>
      </c>
      <c r="D530" s="2" t="s">
        <v>3034</v>
      </c>
      <c r="E530" s="2" t="s">
        <v>35</v>
      </c>
      <c r="F530" s="2" t="s">
        <v>36</v>
      </c>
      <c r="G530" s="2" t="s">
        <v>71</v>
      </c>
      <c r="H530" s="2" t="s">
        <v>3035</v>
      </c>
      <c r="I530" s="3" t="s">
        <v>3036</v>
      </c>
      <c r="J530" s="2" t="s">
        <v>3037</v>
      </c>
      <c r="K530" s="2" t="s">
        <v>3038</v>
      </c>
      <c r="L530" s="4" t="n">
        <v>53</v>
      </c>
      <c r="M530" s="4" t="s">
        <v>53</v>
      </c>
      <c r="N530" s="5" t="n">
        <v>53</v>
      </c>
      <c r="O530" s="6" t="n">
        <v>52</v>
      </c>
      <c r="P530" s="6" t="s">
        <v>53</v>
      </c>
      <c r="Q530" s="7" t="n">
        <v>52</v>
      </c>
      <c r="R530" s="8" t="n">
        <v>82</v>
      </c>
      <c r="S530" s="8" t="s">
        <v>42</v>
      </c>
      <c r="T530" s="9" t="n">
        <v>82</v>
      </c>
      <c r="U530" s="10" t="n">
        <v>73</v>
      </c>
      <c r="V530" s="10" t="s">
        <v>43</v>
      </c>
      <c r="W530" s="11" t="n">
        <v>73</v>
      </c>
      <c r="X530" s="12" t="n">
        <v>61</v>
      </c>
      <c r="Y530" s="12" t="s">
        <v>44</v>
      </c>
      <c r="Z530" s="13" t="n">
        <v>61</v>
      </c>
      <c r="AA530" s="14" t="n">
        <v>60</v>
      </c>
      <c r="AB530" s="14" t="s">
        <v>44</v>
      </c>
      <c r="AC530" s="15" t="n">
        <v>60</v>
      </c>
      <c r="AD530" s="2" t="n">
        <f aca="false">SUM(L530,O530,R530,U530,X530,AA530)</f>
        <v>381</v>
      </c>
      <c r="AE530" s="16" t="n">
        <f aca="false">AD530/6</f>
        <v>63.5</v>
      </c>
      <c r="AF530" s="2" t="str">
        <f aca="false">IF(SUM(COUNTIF(M530,"RA"),COUNTIF(P530,"RA"),COUNTIF(S530,"RA"),COUNTIF(V530,"RA"),COUNTIF(Y530,"RA"),COUNTIF(AB530,"RA"))&gt;0,"FAIL","PASS")</f>
        <v>PASS</v>
      </c>
    </row>
    <row r="531" customFormat="false" ht="15" hidden="false" customHeight="false" outlineLevel="0" collapsed="false">
      <c r="A531" s="2" t="n">
        <v>530</v>
      </c>
      <c r="B531" s="3" t="s">
        <v>3039</v>
      </c>
      <c r="C531" s="2" t="s">
        <v>859</v>
      </c>
      <c r="D531" s="2" t="s">
        <v>3040</v>
      </c>
      <c r="E531" s="2" t="s">
        <v>57</v>
      </c>
      <c r="F531" s="2" t="s">
        <v>36</v>
      </c>
      <c r="G531" s="2" t="s">
        <v>78</v>
      </c>
      <c r="H531" s="2" t="s">
        <v>2078</v>
      </c>
      <c r="I531" s="3" t="s">
        <v>932</v>
      </c>
      <c r="J531" s="2" t="s">
        <v>3041</v>
      </c>
      <c r="K531" s="2" t="s">
        <v>3042</v>
      </c>
      <c r="L531" s="4" t="n">
        <v>68</v>
      </c>
      <c r="M531" s="4" t="s">
        <v>44</v>
      </c>
      <c r="N531" s="5" t="n">
        <v>68</v>
      </c>
      <c r="O531" s="6" t="n">
        <v>85</v>
      </c>
      <c r="P531" s="6" t="s">
        <v>42</v>
      </c>
      <c r="Q531" s="7" t="n">
        <v>85</v>
      </c>
      <c r="R531" s="8" t="n">
        <v>74</v>
      </c>
      <c r="S531" s="8" t="s">
        <v>43</v>
      </c>
      <c r="T531" s="9" t="n">
        <v>74</v>
      </c>
      <c r="U531" s="10" t="n">
        <v>83</v>
      </c>
      <c r="V531" s="10" t="s">
        <v>42</v>
      </c>
      <c r="W531" s="11" t="n">
        <v>83</v>
      </c>
      <c r="X531" s="12" t="n">
        <v>96</v>
      </c>
      <c r="Y531" s="12" t="s">
        <v>54</v>
      </c>
      <c r="Z531" s="13" t="n">
        <v>96</v>
      </c>
      <c r="AA531" s="14" t="n">
        <v>83</v>
      </c>
      <c r="AB531" s="14" t="s">
        <v>42</v>
      </c>
      <c r="AC531" s="15" t="n">
        <v>83</v>
      </c>
      <c r="AD531" s="2" t="n">
        <f aca="false">SUM(L531,O531,R531,U531,X531,AA531)</f>
        <v>489</v>
      </c>
      <c r="AE531" s="16" t="n">
        <f aca="false">AD531/6</f>
        <v>81.5</v>
      </c>
      <c r="AF531" s="2" t="str">
        <f aca="false">IF(SUM(COUNTIF(M531,"RA"),COUNTIF(P531,"RA"),COUNTIF(S531,"RA"),COUNTIF(V531,"RA"),COUNTIF(Y531,"RA"),COUNTIF(AB531,"RA"))&gt;0,"FAIL","PASS")</f>
        <v>PASS</v>
      </c>
    </row>
    <row r="532" customFormat="false" ht="15" hidden="false" customHeight="false" outlineLevel="0" collapsed="false">
      <c r="A532" s="2" t="n">
        <v>531</v>
      </c>
      <c r="B532" s="3" t="s">
        <v>3043</v>
      </c>
      <c r="C532" s="2" t="s">
        <v>783</v>
      </c>
      <c r="D532" s="2" t="s">
        <v>3044</v>
      </c>
      <c r="E532" s="2" t="s">
        <v>57</v>
      </c>
      <c r="F532" s="2" t="s">
        <v>36</v>
      </c>
      <c r="G532" s="2" t="s">
        <v>71</v>
      </c>
      <c r="H532" s="2" t="s">
        <v>2051</v>
      </c>
      <c r="I532" s="3" t="s">
        <v>3045</v>
      </c>
      <c r="J532" s="2" t="s">
        <v>3046</v>
      </c>
      <c r="K532" s="2" t="s">
        <v>3047</v>
      </c>
      <c r="L532" s="4" t="n">
        <v>48</v>
      </c>
      <c r="M532" s="4" t="s">
        <v>45</v>
      </c>
      <c r="N532" s="5" t="n">
        <v>48</v>
      </c>
      <c r="O532" s="6" t="n">
        <v>48</v>
      </c>
      <c r="P532" s="6" t="s">
        <v>45</v>
      </c>
      <c r="Q532" s="7" t="n">
        <v>48</v>
      </c>
      <c r="R532" s="8" t="n">
        <v>79</v>
      </c>
      <c r="S532" s="8" t="s">
        <v>43</v>
      </c>
      <c r="T532" s="9" t="n">
        <v>79</v>
      </c>
      <c r="U532" s="10" t="n">
        <v>95</v>
      </c>
      <c r="V532" s="10" t="s">
        <v>54</v>
      </c>
      <c r="W532" s="11" t="n">
        <v>95</v>
      </c>
      <c r="X532" s="12" t="n">
        <v>62</v>
      </c>
      <c r="Y532" s="12" t="s">
        <v>44</v>
      </c>
      <c r="Z532" s="13" t="n">
        <v>62</v>
      </c>
      <c r="AA532" s="14" t="n">
        <v>90</v>
      </c>
      <c r="AB532" s="14" t="s">
        <v>54</v>
      </c>
      <c r="AC532" s="15" t="n">
        <v>90</v>
      </c>
      <c r="AD532" s="2" t="n">
        <f aca="false">SUM(L532,O532,R532,U532,X532,AA532)</f>
        <v>422</v>
      </c>
      <c r="AE532" s="16" t="n">
        <f aca="false">AD532/6</f>
        <v>70.3333333333333</v>
      </c>
      <c r="AF532" s="2" t="str">
        <f aca="false">IF(SUM(COUNTIF(M532,"RA"),COUNTIF(P532,"RA"),COUNTIF(S532,"RA"),COUNTIF(V532,"RA"),COUNTIF(Y532,"RA"),COUNTIF(AB532,"RA"))&gt;0,"FAIL","PASS")</f>
        <v>FAIL</v>
      </c>
    </row>
    <row r="533" customFormat="false" ht="15" hidden="false" customHeight="false" outlineLevel="0" collapsed="false">
      <c r="A533" s="2" t="n">
        <v>532</v>
      </c>
      <c r="B533" s="3" t="s">
        <v>3048</v>
      </c>
      <c r="C533" s="2" t="s">
        <v>770</v>
      </c>
      <c r="D533" s="2" t="s">
        <v>3049</v>
      </c>
      <c r="E533" s="2" t="s">
        <v>35</v>
      </c>
      <c r="F533" s="2" t="s">
        <v>36</v>
      </c>
      <c r="G533" s="2" t="s">
        <v>42</v>
      </c>
      <c r="H533" s="2" t="s">
        <v>65</v>
      </c>
      <c r="I533" s="3" t="s">
        <v>3050</v>
      </c>
      <c r="J533" s="2" t="s">
        <v>3051</v>
      </c>
      <c r="K533" s="2" t="s">
        <v>3052</v>
      </c>
      <c r="L533" s="4" t="n">
        <v>55</v>
      </c>
      <c r="M533" s="4" t="s">
        <v>53</v>
      </c>
      <c r="N533" s="5" t="n">
        <v>55</v>
      </c>
      <c r="O533" s="6" t="n">
        <v>62</v>
      </c>
      <c r="P533" s="6" t="s">
        <v>44</v>
      </c>
      <c r="Q533" s="7" t="n">
        <v>62</v>
      </c>
      <c r="R533" s="8" t="n">
        <v>77</v>
      </c>
      <c r="S533" s="8" t="s">
        <v>43</v>
      </c>
      <c r="T533" s="9" t="n">
        <v>77</v>
      </c>
      <c r="U533" s="10" t="n">
        <v>91</v>
      </c>
      <c r="V533" s="10" t="s">
        <v>54</v>
      </c>
      <c r="W533" s="11" t="n">
        <v>91</v>
      </c>
      <c r="X533" s="12" t="n">
        <v>97</v>
      </c>
      <c r="Y533" s="12" t="s">
        <v>54</v>
      </c>
      <c r="Z533" s="13" t="n">
        <v>97</v>
      </c>
      <c r="AA533" s="14" t="n">
        <v>78</v>
      </c>
      <c r="AB533" s="14" t="s">
        <v>43</v>
      </c>
      <c r="AC533" s="15" t="n">
        <v>78</v>
      </c>
      <c r="AD533" s="2" t="n">
        <f aca="false">SUM(L533,O533,R533,U533,X533,AA533)</f>
        <v>460</v>
      </c>
      <c r="AE533" s="16" t="n">
        <f aca="false">AD533/6</f>
        <v>76.6666666666667</v>
      </c>
      <c r="AF533" s="2" t="str">
        <f aca="false">IF(SUM(COUNTIF(M533,"RA"),COUNTIF(P533,"RA"),COUNTIF(S533,"RA"),COUNTIF(V533,"RA"),COUNTIF(Y533,"RA"),COUNTIF(AB533,"RA"))&gt;0,"FAIL","PASS")</f>
        <v>PASS</v>
      </c>
    </row>
    <row r="534" customFormat="false" ht="15" hidden="false" customHeight="false" outlineLevel="0" collapsed="false">
      <c r="A534" s="2" t="n">
        <v>533</v>
      </c>
      <c r="B534" s="3" t="s">
        <v>3053</v>
      </c>
      <c r="C534" s="2" t="s">
        <v>770</v>
      </c>
      <c r="D534" s="2" t="s">
        <v>3054</v>
      </c>
      <c r="E534" s="2" t="s">
        <v>35</v>
      </c>
      <c r="F534" s="2" t="s">
        <v>36</v>
      </c>
      <c r="G534" s="2" t="s">
        <v>37</v>
      </c>
      <c r="H534" s="2" t="s">
        <v>3055</v>
      </c>
      <c r="I534" s="3" t="s">
        <v>2650</v>
      </c>
      <c r="J534" s="2" t="s">
        <v>3056</v>
      </c>
      <c r="K534" s="2" t="s">
        <v>3057</v>
      </c>
      <c r="L534" s="4" t="n">
        <v>86</v>
      </c>
      <c r="M534" s="4" t="s">
        <v>42</v>
      </c>
      <c r="N534" s="5" t="n">
        <v>86</v>
      </c>
      <c r="O534" s="6" t="n">
        <v>71</v>
      </c>
      <c r="P534" s="6" t="s">
        <v>43</v>
      </c>
      <c r="Q534" s="7" t="n">
        <v>71</v>
      </c>
      <c r="R534" s="8" t="n">
        <v>74</v>
      </c>
      <c r="S534" s="8" t="s">
        <v>43</v>
      </c>
      <c r="T534" s="9" t="n">
        <v>74</v>
      </c>
      <c r="U534" s="10" t="n">
        <v>63</v>
      </c>
      <c r="V534" s="10" t="s">
        <v>44</v>
      </c>
      <c r="W534" s="11" t="n">
        <v>63</v>
      </c>
      <c r="X534" s="12" t="n">
        <v>84</v>
      </c>
      <c r="Y534" s="12" t="s">
        <v>42</v>
      </c>
      <c r="Z534" s="13" t="n">
        <v>84</v>
      </c>
      <c r="AA534" s="14" t="n">
        <v>88</v>
      </c>
      <c r="AB534" s="14" t="s">
        <v>42</v>
      </c>
      <c r="AC534" s="15" t="n">
        <v>88</v>
      </c>
      <c r="AD534" s="2" t="n">
        <f aca="false">SUM(L534,O534,R534,U534,X534,AA534)</f>
        <v>466</v>
      </c>
      <c r="AE534" s="16" t="n">
        <f aca="false">AD534/6</f>
        <v>77.6666666666667</v>
      </c>
      <c r="AF534" s="2" t="str">
        <f aca="false">IF(SUM(COUNTIF(M534,"RA"),COUNTIF(P534,"RA"),COUNTIF(S534,"RA"),COUNTIF(V534,"RA"),COUNTIF(Y534,"RA"),COUNTIF(AB534,"RA"))&gt;0,"FAIL","PASS")</f>
        <v>PASS</v>
      </c>
    </row>
    <row r="535" customFormat="false" ht="15" hidden="false" customHeight="false" outlineLevel="0" collapsed="false">
      <c r="A535" s="2" t="n">
        <v>534</v>
      </c>
      <c r="B535" s="3" t="s">
        <v>3058</v>
      </c>
      <c r="C535" s="2" t="s">
        <v>790</v>
      </c>
      <c r="D535" s="2" t="s">
        <v>3059</v>
      </c>
      <c r="E535" s="2" t="s">
        <v>57</v>
      </c>
      <c r="F535" s="2" t="s">
        <v>36</v>
      </c>
      <c r="G535" s="2" t="s">
        <v>44</v>
      </c>
      <c r="H535" s="2" t="s">
        <v>3060</v>
      </c>
      <c r="I535" s="3" t="s">
        <v>3061</v>
      </c>
      <c r="J535" s="2" t="s">
        <v>3062</v>
      </c>
      <c r="K535" s="2" t="s">
        <v>3063</v>
      </c>
      <c r="L535" s="4" t="n">
        <v>67</v>
      </c>
      <c r="M535" s="4" t="s">
        <v>44</v>
      </c>
      <c r="N535" s="5" t="n">
        <v>67</v>
      </c>
      <c r="O535" s="6" t="n">
        <v>79</v>
      </c>
      <c r="P535" s="6" t="s">
        <v>43</v>
      </c>
      <c r="Q535" s="7" t="n">
        <v>79</v>
      </c>
      <c r="R535" s="8" t="n">
        <v>78</v>
      </c>
      <c r="S535" s="8" t="s">
        <v>43</v>
      </c>
      <c r="T535" s="9" t="n">
        <v>78</v>
      </c>
      <c r="U535" s="10" t="n">
        <v>61</v>
      </c>
      <c r="V535" s="10" t="s">
        <v>44</v>
      </c>
      <c r="W535" s="11" t="n">
        <v>61</v>
      </c>
      <c r="X535" s="12" t="n">
        <v>76</v>
      </c>
      <c r="Y535" s="12" t="s">
        <v>43</v>
      </c>
      <c r="Z535" s="13" t="n">
        <v>76</v>
      </c>
      <c r="AA535" s="14" t="n">
        <v>89</v>
      </c>
      <c r="AB535" s="14" t="s">
        <v>42</v>
      </c>
      <c r="AC535" s="15" t="n">
        <v>89</v>
      </c>
      <c r="AD535" s="2" t="n">
        <f aca="false">SUM(L535,O535,R535,U535,X535,AA535)</f>
        <v>450</v>
      </c>
      <c r="AE535" s="16" t="n">
        <f aca="false">AD535/6</f>
        <v>75</v>
      </c>
      <c r="AF535" s="2" t="str">
        <f aca="false">IF(SUM(COUNTIF(M535,"RA"),COUNTIF(P535,"RA"),COUNTIF(S535,"RA"),COUNTIF(V535,"RA"),COUNTIF(Y535,"RA"),COUNTIF(AB535,"RA"))&gt;0,"FAIL","PASS")</f>
        <v>PASS</v>
      </c>
    </row>
    <row r="536" customFormat="false" ht="15" hidden="false" customHeight="false" outlineLevel="0" collapsed="false">
      <c r="A536" s="2" t="n">
        <v>535</v>
      </c>
      <c r="B536" s="3" t="s">
        <v>3064</v>
      </c>
      <c r="C536" s="2" t="s">
        <v>803</v>
      </c>
      <c r="D536" s="2" t="s">
        <v>3065</v>
      </c>
      <c r="E536" s="2" t="s">
        <v>35</v>
      </c>
      <c r="F536" s="2" t="s">
        <v>36</v>
      </c>
      <c r="G536" s="2" t="s">
        <v>64</v>
      </c>
      <c r="H536" s="2" t="s">
        <v>3066</v>
      </c>
      <c r="I536" s="3" t="s">
        <v>3067</v>
      </c>
      <c r="J536" s="2" t="s">
        <v>3068</v>
      </c>
      <c r="K536" s="2" t="s">
        <v>3069</v>
      </c>
      <c r="L536" s="4" t="n">
        <v>88</v>
      </c>
      <c r="M536" s="4" t="s">
        <v>42</v>
      </c>
      <c r="N536" s="5" t="n">
        <v>88</v>
      </c>
      <c r="O536" s="6" t="n">
        <v>66</v>
      </c>
      <c r="P536" s="6" t="s">
        <v>44</v>
      </c>
      <c r="Q536" s="7" t="n">
        <v>66</v>
      </c>
      <c r="R536" s="8" t="n">
        <v>77</v>
      </c>
      <c r="S536" s="8" t="s">
        <v>43</v>
      </c>
      <c r="T536" s="9" t="n">
        <v>77</v>
      </c>
      <c r="U536" s="10" t="n">
        <v>61</v>
      </c>
      <c r="V536" s="10" t="s">
        <v>44</v>
      </c>
      <c r="W536" s="11" t="n">
        <v>61</v>
      </c>
      <c r="X536" s="12" t="n">
        <v>84</v>
      </c>
      <c r="Y536" s="12" t="s">
        <v>42</v>
      </c>
      <c r="Z536" s="13" t="n">
        <v>84</v>
      </c>
      <c r="AA536" s="14" t="n">
        <v>56</v>
      </c>
      <c r="AB536" s="14" t="s">
        <v>53</v>
      </c>
      <c r="AC536" s="15" t="n">
        <v>56</v>
      </c>
      <c r="AD536" s="2" t="n">
        <f aca="false">SUM(L536,O536,R536,U536,X536,AA536)</f>
        <v>432</v>
      </c>
      <c r="AE536" s="16" t="n">
        <f aca="false">AD536/6</f>
        <v>72</v>
      </c>
      <c r="AF536" s="2" t="str">
        <f aca="false">IF(SUM(COUNTIF(M536,"RA"),COUNTIF(P536,"RA"),COUNTIF(S536,"RA"),COUNTIF(V536,"RA"),COUNTIF(Y536,"RA"),COUNTIF(AB536,"RA"))&gt;0,"FAIL","PASS")</f>
        <v>PASS</v>
      </c>
    </row>
    <row r="537" customFormat="false" ht="15" hidden="false" customHeight="false" outlineLevel="0" collapsed="false">
      <c r="A537" s="2" t="n">
        <v>536</v>
      </c>
      <c r="B537" s="3" t="s">
        <v>3070</v>
      </c>
      <c r="C537" s="2" t="s">
        <v>816</v>
      </c>
      <c r="D537" s="2" t="s">
        <v>3071</v>
      </c>
      <c r="E537" s="2" t="s">
        <v>57</v>
      </c>
      <c r="F537" s="2" t="s">
        <v>36</v>
      </c>
      <c r="G537" s="2" t="s">
        <v>71</v>
      </c>
      <c r="H537" s="2" t="s">
        <v>3072</v>
      </c>
      <c r="I537" s="3" t="s">
        <v>3073</v>
      </c>
      <c r="J537" s="2" t="s">
        <v>3074</v>
      </c>
      <c r="K537" s="2" t="s">
        <v>3075</v>
      </c>
      <c r="L537" s="4" t="n">
        <v>59</v>
      </c>
      <c r="M537" s="4" t="s">
        <v>53</v>
      </c>
      <c r="N537" s="5" t="n">
        <v>59</v>
      </c>
      <c r="O537" s="6" t="n">
        <v>59</v>
      </c>
      <c r="P537" s="6" t="s">
        <v>53</v>
      </c>
      <c r="Q537" s="7" t="n">
        <v>59</v>
      </c>
      <c r="R537" s="8" t="n">
        <v>61</v>
      </c>
      <c r="S537" s="8" t="s">
        <v>44</v>
      </c>
      <c r="T537" s="9" t="n">
        <v>61</v>
      </c>
      <c r="U537" s="10" t="n">
        <v>54</v>
      </c>
      <c r="V537" s="10" t="s">
        <v>53</v>
      </c>
      <c r="W537" s="11" t="n">
        <v>54</v>
      </c>
      <c r="X537" s="12" t="n">
        <v>89</v>
      </c>
      <c r="Y537" s="12" t="s">
        <v>42</v>
      </c>
      <c r="Z537" s="13" t="n">
        <v>89</v>
      </c>
      <c r="AA537" s="14" t="n">
        <v>62</v>
      </c>
      <c r="AB537" s="14" t="s">
        <v>44</v>
      </c>
      <c r="AC537" s="15" t="n">
        <v>62</v>
      </c>
      <c r="AD537" s="2" t="n">
        <f aca="false">SUM(L537,O537,R537,U537,X537,AA537)</f>
        <v>384</v>
      </c>
      <c r="AE537" s="16" t="n">
        <f aca="false">AD537/6</f>
        <v>64</v>
      </c>
      <c r="AF537" s="2" t="str">
        <f aca="false">IF(SUM(COUNTIF(M537,"RA"),COUNTIF(P537,"RA"),COUNTIF(S537,"RA"),COUNTIF(V537,"RA"),COUNTIF(Y537,"RA"),COUNTIF(AB537,"RA"))&gt;0,"FAIL","PASS")</f>
        <v>PASS</v>
      </c>
    </row>
    <row r="538" customFormat="false" ht="15" hidden="false" customHeight="false" outlineLevel="0" collapsed="false">
      <c r="A538" s="2" t="n">
        <v>537</v>
      </c>
      <c r="B538" s="3" t="s">
        <v>3076</v>
      </c>
      <c r="C538" s="2" t="s">
        <v>841</v>
      </c>
      <c r="D538" s="2" t="s">
        <v>3077</v>
      </c>
      <c r="E538" s="2" t="s">
        <v>57</v>
      </c>
      <c r="F538" s="2" t="s">
        <v>36</v>
      </c>
      <c r="G538" s="2" t="s">
        <v>64</v>
      </c>
      <c r="H538" s="2" t="s">
        <v>3078</v>
      </c>
      <c r="I538" s="3" t="s">
        <v>1455</v>
      </c>
      <c r="J538" s="2" t="s">
        <v>3079</v>
      </c>
      <c r="K538" s="2" t="s">
        <v>3080</v>
      </c>
      <c r="L538" s="4" t="n">
        <v>81</v>
      </c>
      <c r="M538" s="4" t="s">
        <v>42</v>
      </c>
      <c r="N538" s="5" t="n">
        <v>81</v>
      </c>
      <c r="O538" s="6" t="n">
        <v>80</v>
      </c>
      <c r="P538" s="6" t="s">
        <v>42</v>
      </c>
      <c r="Q538" s="7" t="n">
        <v>80</v>
      </c>
      <c r="R538" s="8" t="n">
        <v>62</v>
      </c>
      <c r="S538" s="8" t="s">
        <v>44</v>
      </c>
      <c r="T538" s="9" t="n">
        <v>62</v>
      </c>
      <c r="U538" s="10" t="n">
        <v>82</v>
      </c>
      <c r="V538" s="10" t="s">
        <v>42</v>
      </c>
      <c r="W538" s="11" t="n">
        <v>82</v>
      </c>
      <c r="X538" s="12" t="n">
        <v>71</v>
      </c>
      <c r="Y538" s="12" t="s">
        <v>43</v>
      </c>
      <c r="Z538" s="13" t="n">
        <v>71</v>
      </c>
      <c r="AA538" s="14" t="n">
        <v>75</v>
      </c>
      <c r="AB538" s="14" t="s">
        <v>43</v>
      </c>
      <c r="AC538" s="15" t="n">
        <v>75</v>
      </c>
      <c r="AD538" s="2" t="n">
        <f aca="false">SUM(L538,O538,R538,U538,X538,AA538)</f>
        <v>451</v>
      </c>
      <c r="AE538" s="16" t="n">
        <f aca="false">AD538/6</f>
        <v>75.1666666666667</v>
      </c>
      <c r="AF538" s="2" t="str">
        <f aca="false">IF(SUM(COUNTIF(M538,"RA"),COUNTIF(P538,"RA"),COUNTIF(S538,"RA"),COUNTIF(V538,"RA"),COUNTIF(Y538,"RA"),COUNTIF(AB538,"RA"))&gt;0,"FAIL","PASS")</f>
        <v>PASS</v>
      </c>
    </row>
    <row r="539" customFormat="false" ht="15" hidden="false" customHeight="false" outlineLevel="0" collapsed="false">
      <c r="A539" s="2" t="n">
        <v>538</v>
      </c>
      <c r="B539" s="3" t="s">
        <v>3081</v>
      </c>
      <c r="C539" s="2" t="s">
        <v>750</v>
      </c>
      <c r="D539" s="2" t="s">
        <v>3082</v>
      </c>
      <c r="E539" s="2" t="s">
        <v>57</v>
      </c>
      <c r="F539" s="2" t="s">
        <v>36</v>
      </c>
      <c r="G539" s="2" t="s">
        <v>64</v>
      </c>
      <c r="H539" s="2" t="s">
        <v>3083</v>
      </c>
      <c r="I539" s="3" t="s">
        <v>3084</v>
      </c>
      <c r="J539" s="2" t="s">
        <v>3085</v>
      </c>
      <c r="K539" s="2" t="s">
        <v>3086</v>
      </c>
      <c r="L539" s="4" t="n">
        <v>71</v>
      </c>
      <c r="M539" s="4" t="s">
        <v>43</v>
      </c>
      <c r="N539" s="5" t="n">
        <v>71</v>
      </c>
      <c r="O539" s="6" t="n">
        <v>87</v>
      </c>
      <c r="P539" s="6" t="s">
        <v>42</v>
      </c>
      <c r="Q539" s="7" t="n">
        <v>87</v>
      </c>
      <c r="R539" s="8" t="n">
        <v>47</v>
      </c>
      <c r="S539" s="8" t="s">
        <v>45</v>
      </c>
      <c r="T539" s="9" t="n">
        <v>47</v>
      </c>
      <c r="U539" s="10" t="n">
        <v>89</v>
      </c>
      <c r="V539" s="10" t="s">
        <v>42</v>
      </c>
      <c r="W539" s="11" t="n">
        <v>89</v>
      </c>
      <c r="X539" s="12" t="n">
        <v>79</v>
      </c>
      <c r="Y539" s="12" t="s">
        <v>43</v>
      </c>
      <c r="Z539" s="13" t="n">
        <v>79</v>
      </c>
      <c r="AA539" s="14" t="n">
        <v>83</v>
      </c>
      <c r="AB539" s="14" t="s">
        <v>42</v>
      </c>
      <c r="AC539" s="15" t="n">
        <v>83</v>
      </c>
      <c r="AD539" s="2" t="n">
        <f aca="false">SUM(L539,O539,R539,U539,X539,AA539)</f>
        <v>456</v>
      </c>
      <c r="AE539" s="16" t="n">
        <f aca="false">AD539/6</f>
        <v>76</v>
      </c>
      <c r="AF539" s="2" t="str">
        <f aca="false">IF(SUM(COUNTIF(M539,"RA"),COUNTIF(P539,"RA"),COUNTIF(S539,"RA"),COUNTIF(V539,"RA"),COUNTIF(Y539,"RA"),COUNTIF(AB539,"RA"))&gt;0,"FAIL","PASS")</f>
        <v>FAIL</v>
      </c>
    </row>
    <row r="540" customFormat="false" ht="15" hidden="false" customHeight="false" outlineLevel="0" collapsed="false">
      <c r="A540" s="2" t="n">
        <v>539</v>
      </c>
      <c r="B540" s="3" t="s">
        <v>3087</v>
      </c>
      <c r="C540" s="2" t="s">
        <v>803</v>
      </c>
      <c r="D540" s="2" t="s">
        <v>3088</v>
      </c>
      <c r="E540" s="2" t="s">
        <v>35</v>
      </c>
      <c r="F540" s="2" t="s">
        <v>36</v>
      </c>
      <c r="G540" s="2" t="s">
        <v>37</v>
      </c>
      <c r="H540" s="2" t="s">
        <v>3089</v>
      </c>
      <c r="I540" s="3" t="s">
        <v>3090</v>
      </c>
      <c r="J540" s="2" t="s">
        <v>3091</v>
      </c>
      <c r="K540" s="2" t="s">
        <v>3092</v>
      </c>
      <c r="L540" s="4" t="n">
        <v>76</v>
      </c>
      <c r="M540" s="4" t="s">
        <v>43</v>
      </c>
      <c r="N540" s="5" t="n">
        <v>76</v>
      </c>
      <c r="O540" s="6" t="n">
        <v>84</v>
      </c>
      <c r="P540" s="6" t="s">
        <v>42</v>
      </c>
      <c r="Q540" s="7" t="n">
        <v>84</v>
      </c>
      <c r="R540" s="8" t="n">
        <v>81</v>
      </c>
      <c r="S540" s="8" t="s">
        <v>42</v>
      </c>
      <c r="T540" s="9" t="n">
        <v>81</v>
      </c>
      <c r="U540" s="10" t="n">
        <v>77</v>
      </c>
      <c r="V540" s="10" t="s">
        <v>43</v>
      </c>
      <c r="W540" s="11" t="n">
        <v>77</v>
      </c>
      <c r="X540" s="12" t="n">
        <v>62</v>
      </c>
      <c r="Y540" s="12" t="s">
        <v>44</v>
      </c>
      <c r="Z540" s="13" t="n">
        <v>62</v>
      </c>
      <c r="AA540" s="14" t="n">
        <v>42</v>
      </c>
      <c r="AB540" s="14" t="s">
        <v>45</v>
      </c>
      <c r="AC540" s="15" t="n">
        <v>42</v>
      </c>
      <c r="AD540" s="2" t="n">
        <f aca="false">SUM(L540,O540,R540,U540,X540,AA540)</f>
        <v>422</v>
      </c>
      <c r="AE540" s="16" t="n">
        <f aca="false">AD540/6</f>
        <v>70.3333333333333</v>
      </c>
      <c r="AF540" s="2" t="str">
        <f aca="false">IF(SUM(COUNTIF(M540,"RA"),COUNTIF(P540,"RA"),COUNTIF(S540,"RA"),COUNTIF(V540,"RA"),COUNTIF(Y540,"RA"),COUNTIF(AB540,"RA"))&gt;0,"FAIL","PASS")</f>
        <v>FAIL</v>
      </c>
    </row>
    <row r="541" customFormat="false" ht="15" hidden="false" customHeight="false" outlineLevel="0" collapsed="false">
      <c r="A541" s="2" t="n">
        <v>540</v>
      </c>
      <c r="B541" s="3" t="s">
        <v>3093</v>
      </c>
      <c r="C541" s="2" t="s">
        <v>816</v>
      </c>
      <c r="D541" s="2" t="s">
        <v>3094</v>
      </c>
      <c r="E541" s="2" t="s">
        <v>35</v>
      </c>
      <c r="F541" s="2" t="s">
        <v>36</v>
      </c>
      <c r="G541" s="2" t="s">
        <v>78</v>
      </c>
      <c r="H541" s="2" t="s">
        <v>2760</v>
      </c>
      <c r="I541" s="3" t="s">
        <v>3095</v>
      </c>
      <c r="J541" s="2" t="s">
        <v>3096</v>
      </c>
      <c r="K541" s="2" t="s">
        <v>3097</v>
      </c>
      <c r="L541" s="4" t="n">
        <v>67</v>
      </c>
      <c r="M541" s="4" t="s">
        <v>44</v>
      </c>
      <c r="N541" s="5" t="n">
        <v>67</v>
      </c>
      <c r="O541" s="6" t="n">
        <v>100</v>
      </c>
      <c r="P541" s="6" t="s">
        <v>54</v>
      </c>
      <c r="Q541" s="7" t="n">
        <v>100</v>
      </c>
      <c r="R541" s="8" t="n">
        <v>80</v>
      </c>
      <c r="S541" s="8" t="s">
        <v>42</v>
      </c>
      <c r="T541" s="9" t="n">
        <v>80</v>
      </c>
      <c r="U541" s="10" t="n">
        <v>91</v>
      </c>
      <c r="V541" s="10" t="s">
        <v>54</v>
      </c>
      <c r="W541" s="11" t="n">
        <v>91</v>
      </c>
      <c r="X541" s="12" t="n">
        <v>55</v>
      </c>
      <c r="Y541" s="12" t="s">
        <v>53</v>
      </c>
      <c r="Z541" s="13" t="n">
        <v>55</v>
      </c>
      <c r="AA541" s="14" t="n">
        <v>83</v>
      </c>
      <c r="AB541" s="14" t="s">
        <v>42</v>
      </c>
      <c r="AC541" s="15" t="n">
        <v>83</v>
      </c>
      <c r="AD541" s="2" t="n">
        <f aca="false">SUM(L541,O541,R541,U541,X541,AA541)</f>
        <v>476</v>
      </c>
      <c r="AE541" s="16" t="n">
        <f aca="false">AD541/6</f>
        <v>79.3333333333333</v>
      </c>
      <c r="AF541" s="2" t="str">
        <f aca="false">IF(SUM(COUNTIF(M541,"RA"),COUNTIF(P541,"RA"),COUNTIF(S541,"RA"),COUNTIF(V541,"RA"),COUNTIF(Y541,"RA"),COUNTIF(AB541,"RA"))&gt;0,"FAIL","PASS")</f>
        <v>PASS</v>
      </c>
    </row>
    <row r="542" customFormat="false" ht="15" hidden="false" customHeight="false" outlineLevel="0" collapsed="false">
      <c r="A542" s="2" t="n">
        <v>541</v>
      </c>
      <c r="B542" s="3" t="s">
        <v>3098</v>
      </c>
      <c r="C542" s="2" t="s">
        <v>841</v>
      </c>
      <c r="D542" s="2" t="s">
        <v>3099</v>
      </c>
      <c r="E542" s="2" t="s">
        <v>57</v>
      </c>
      <c r="F542" s="2" t="s">
        <v>36</v>
      </c>
      <c r="G542" s="2" t="s">
        <v>64</v>
      </c>
      <c r="H542" s="2" t="s">
        <v>1432</v>
      </c>
      <c r="I542" s="3" t="s">
        <v>3100</v>
      </c>
      <c r="J542" s="2" t="s">
        <v>3101</v>
      </c>
      <c r="K542" s="2" t="s">
        <v>3102</v>
      </c>
      <c r="L542" s="4" t="n">
        <v>68</v>
      </c>
      <c r="M542" s="4" t="s">
        <v>44</v>
      </c>
      <c r="N542" s="5" t="n">
        <v>68</v>
      </c>
      <c r="O542" s="6" t="n">
        <v>99</v>
      </c>
      <c r="P542" s="6" t="s">
        <v>54</v>
      </c>
      <c r="Q542" s="7" t="n">
        <v>99</v>
      </c>
      <c r="R542" s="8" t="n">
        <v>67</v>
      </c>
      <c r="S542" s="8" t="s">
        <v>44</v>
      </c>
      <c r="T542" s="9" t="n">
        <v>67</v>
      </c>
      <c r="U542" s="10" t="n">
        <v>74</v>
      </c>
      <c r="V542" s="10" t="s">
        <v>43</v>
      </c>
      <c r="W542" s="11" t="n">
        <v>74</v>
      </c>
      <c r="X542" s="12" t="n">
        <v>54</v>
      </c>
      <c r="Y542" s="12" t="s">
        <v>53</v>
      </c>
      <c r="Z542" s="13" t="n">
        <v>54</v>
      </c>
      <c r="AA542" s="14" t="n">
        <v>81</v>
      </c>
      <c r="AB542" s="14" t="s">
        <v>42</v>
      </c>
      <c r="AC542" s="15" t="n">
        <v>81</v>
      </c>
      <c r="AD542" s="2" t="n">
        <f aca="false">SUM(L542,O542,R542,U542,X542,AA542)</f>
        <v>443</v>
      </c>
      <c r="AE542" s="16" t="n">
        <f aca="false">AD542/6</f>
        <v>73.8333333333333</v>
      </c>
      <c r="AF542" s="2" t="str">
        <f aca="false">IF(SUM(COUNTIF(M542,"RA"),COUNTIF(P542,"RA"),COUNTIF(S542,"RA"),COUNTIF(V542,"RA"),COUNTIF(Y542,"RA"),COUNTIF(AB542,"RA"))&gt;0,"FAIL","PASS")</f>
        <v>PASS</v>
      </c>
    </row>
    <row r="543" customFormat="false" ht="15" hidden="false" customHeight="false" outlineLevel="0" collapsed="false">
      <c r="A543" s="2" t="n">
        <v>542</v>
      </c>
      <c r="B543" s="3" t="s">
        <v>3103</v>
      </c>
      <c r="C543" s="2" t="s">
        <v>803</v>
      </c>
      <c r="D543" s="2" t="s">
        <v>3104</v>
      </c>
      <c r="E543" s="2" t="s">
        <v>57</v>
      </c>
      <c r="F543" s="2" t="s">
        <v>36</v>
      </c>
      <c r="G543" s="2" t="s">
        <v>37</v>
      </c>
      <c r="H543" s="2" t="s">
        <v>3105</v>
      </c>
      <c r="I543" s="3" t="s">
        <v>3106</v>
      </c>
      <c r="J543" s="2" t="s">
        <v>3107</v>
      </c>
      <c r="K543" s="2" t="s">
        <v>3108</v>
      </c>
      <c r="L543" s="4" t="n">
        <v>64</v>
      </c>
      <c r="M543" s="4" t="s">
        <v>44</v>
      </c>
      <c r="N543" s="5" t="n">
        <v>64</v>
      </c>
      <c r="O543" s="6" t="n">
        <v>68</v>
      </c>
      <c r="P543" s="6" t="s">
        <v>44</v>
      </c>
      <c r="Q543" s="7" t="n">
        <v>68</v>
      </c>
      <c r="R543" s="8" t="n">
        <v>76</v>
      </c>
      <c r="S543" s="8" t="s">
        <v>43</v>
      </c>
      <c r="T543" s="9" t="n">
        <v>76</v>
      </c>
      <c r="U543" s="10" t="n">
        <v>93</v>
      </c>
      <c r="V543" s="10" t="s">
        <v>54</v>
      </c>
      <c r="W543" s="11" t="n">
        <v>93</v>
      </c>
      <c r="X543" s="12" t="n">
        <v>59</v>
      </c>
      <c r="Y543" s="12" t="s">
        <v>53</v>
      </c>
      <c r="Z543" s="13" t="n">
        <v>59</v>
      </c>
      <c r="AA543" s="14" t="n">
        <v>83</v>
      </c>
      <c r="AB543" s="14" t="s">
        <v>42</v>
      </c>
      <c r="AC543" s="15" t="n">
        <v>83</v>
      </c>
      <c r="AD543" s="2" t="n">
        <f aca="false">SUM(L543,O543,R543,U543,X543,AA543)</f>
        <v>443</v>
      </c>
      <c r="AE543" s="16" t="n">
        <f aca="false">AD543/6</f>
        <v>73.8333333333333</v>
      </c>
      <c r="AF543" s="2" t="str">
        <f aca="false">IF(SUM(COUNTIF(M543,"RA"),COUNTIF(P543,"RA"),COUNTIF(S543,"RA"),COUNTIF(V543,"RA"),COUNTIF(Y543,"RA"),COUNTIF(AB543,"RA"))&gt;0,"FAIL","PASS")</f>
        <v>PASS</v>
      </c>
    </row>
    <row r="544" customFormat="false" ht="15" hidden="false" customHeight="false" outlineLevel="0" collapsed="false">
      <c r="A544" s="2" t="n">
        <v>543</v>
      </c>
      <c r="B544" s="3" t="s">
        <v>3109</v>
      </c>
      <c r="C544" s="2" t="s">
        <v>912</v>
      </c>
      <c r="D544" s="2" t="s">
        <v>3110</v>
      </c>
      <c r="E544" s="2" t="s">
        <v>57</v>
      </c>
      <c r="F544" s="2" t="s">
        <v>36</v>
      </c>
      <c r="G544" s="2" t="s">
        <v>91</v>
      </c>
      <c r="H544" s="2" t="s">
        <v>1454</v>
      </c>
      <c r="I544" s="3" t="s">
        <v>3111</v>
      </c>
      <c r="J544" s="2" t="s">
        <v>3112</v>
      </c>
      <c r="K544" s="2" t="s">
        <v>3113</v>
      </c>
      <c r="L544" s="4" t="n">
        <v>99</v>
      </c>
      <c r="M544" s="4" t="s">
        <v>54</v>
      </c>
      <c r="N544" s="5" t="n">
        <v>99</v>
      </c>
      <c r="O544" s="6" t="n">
        <v>60</v>
      </c>
      <c r="P544" s="6" t="s">
        <v>44</v>
      </c>
      <c r="Q544" s="7" t="n">
        <v>60</v>
      </c>
      <c r="R544" s="8" t="n">
        <v>91</v>
      </c>
      <c r="S544" s="8" t="s">
        <v>54</v>
      </c>
      <c r="T544" s="9" t="n">
        <v>91</v>
      </c>
      <c r="U544" s="10" t="n">
        <v>41</v>
      </c>
      <c r="V544" s="10" t="s">
        <v>45</v>
      </c>
      <c r="W544" s="11" t="n">
        <v>41</v>
      </c>
      <c r="X544" s="12" t="n">
        <v>92</v>
      </c>
      <c r="Y544" s="12" t="s">
        <v>54</v>
      </c>
      <c r="Z544" s="13" t="n">
        <v>92</v>
      </c>
      <c r="AA544" s="14" t="n">
        <v>87</v>
      </c>
      <c r="AB544" s="14" t="s">
        <v>42</v>
      </c>
      <c r="AC544" s="15" t="n">
        <v>87</v>
      </c>
      <c r="AD544" s="2" t="n">
        <f aca="false">SUM(L544,O544,R544,U544,X544,AA544)</f>
        <v>470</v>
      </c>
      <c r="AE544" s="16" t="n">
        <f aca="false">AD544/6</f>
        <v>78.3333333333333</v>
      </c>
      <c r="AF544" s="2" t="str">
        <f aca="false">IF(SUM(COUNTIF(M544,"RA"),COUNTIF(P544,"RA"),COUNTIF(S544,"RA"),COUNTIF(V544,"RA"),COUNTIF(Y544,"RA"),COUNTIF(AB544,"RA"))&gt;0,"FAIL","PASS")</f>
        <v>FAIL</v>
      </c>
    </row>
    <row r="545" customFormat="false" ht="15" hidden="false" customHeight="false" outlineLevel="0" collapsed="false">
      <c r="A545" s="2" t="n">
        <v>544</v>
      </c>
      <c r="B545" s="3" t="s">
        <v>3114</v>
      </c>
      <c r="C545" s="2" t="s">
        <v>816</v>
      </c>
      <c r="D545" s="2" t="s">
        <v>3115</v>
      </c>
      <c r="E545" s="2" t="s">
        <v>35</v>
      </c>
      <c r="F545" s="2" t="s">
        <v>36</v>
      </c>
      <c r="G545" s="2" t="s">
        <v>91</v>
      </c>
      <c r="H545" s="2" t="s">
        <v>1878</v>
      </c>
      <c r="I545" s="3" t="s">
        <v>2079</v>
      </c>
      <c r="J545" s="2" t="s">
        <v>3116</v>
      </c>
      <c r="K545" s="2" t="s">
        <v>3117</v>
      </c>
      <c r="L545" s="4" t="n">
        <v>89</v>
      </c>
      <c r="M545" s="4" t="s">
        <v>42</v>
      </c>
      <c r="N545" s="5" t="n">
        <v>89</v>
      </c>
      <c r="O545" s="6" t="n">
        <v>83</v>
      </c>
      <c r="P545" s="6" t="s">
        <v>42</v>
      </c>
      <c r="Q545" s="7" t="n">
        <v>83</v>
      </c>
      <c r="R545" s="8" t="n">
        <v>79</v>
      </c>
      <c r="S545" s="8" t="s">
        <v>43</v>
      </c>
      <c r="T545" s="9" t="n">
        <v>79</v>
      </c>
      <c r="U545" s="10" t="n">
        <v>91</v>
      </c>
      <c r="V545" s="10" t="s">
        <v>54</v>
      </c>
      <c r="W545" s="11" t="n">
        <v>91</v>
      </c>
      <c r="X545" s="12" t="n">
        <v>95</v>
      </c>
      <c r="Y545" s="12" t="s">
        <v>54</v>
      </c>
      <c r="Z545" s="13" t="n">
        <v>95</v>
      </c>
      <c r="AA545" s="14" t="n">
        <v>85</v>
      </c>
      <c r="AB545" s="14" t="s">
        <v>42</v>
      </c>
      <c r="AC545" s="15" t="n">
        <v>85</v>
      </c>
      <c r="AD545" s="2" t="n">
        <f aca="false">SUM(L545,O545,R545,U545,X545,AA545)</f>
        <v>522</v>
      </c>
      <c r="AE545" s="16" t="n">
        <f aca="false">AD545/6</f>
        <v>87</v>
      </c>
      <c r="AF545" s="2" t="str">
        <f aca="false">IF(SUM(COUNTIF(M545,"RA"),COUNTIF(P545,"RA"),COUNTIF(S545,"RA"),COUNTIF(V545,"RA"),COUNTIF(Y545,"RA"),COUNTIF(AB545,"RA"))&gt;0,"FAIL","PASS")</f>
        <v>PASS</v>
      </c>
    </row>
    <row r="546" customFormat="false" ht="15" hidden="false" customHeight="false" outlineLevel="0" collapsed="false">
      <c r="A546" s="2" t="n">
        <v>545</v>
      </c>
      <c r="B546" s="3" t="s">
        <v>3118</v>
      </c>
      <c r="C546" s="2" t="s">
        <v>803</v>
      </c>
      <c r="D546" s="2" t="s">
        <v>3119</v>
      </c>
      <c r="E546" s="2" t="s">
        <v>57</v>
      </c>
      <c r="F546" s="2" t="s">
        <v>36</v>
      </c>
      <c r="G546" s="2" t="s">
        <v>91</v>
      </c>
      <c r="H546" s="2" t="s">
        <v>3120</v>
      </c>
      <c r="I546" s="3" t="s">
        <v>3121</v>
      </c>
      <c r="J546" s="2" t="s">
        <v>3122</v>
      </c>
      <c r="K546" s="2" t="s">
        <v>3123</v>
      </c>
      <c r="L546" s="4" t="n">
        <v>72</v>
      </c>
      <c r="M546" s="4" t="s">
        <v>43</v>
      </c>
      <c r="N546" s="5" t="n">
        <v>72</v>
      </c>
      <c r="O546" s="6" t="n">
        <v>82</v>
      </c>
      <c r="P546" s="6" t="s">
        <v>42</v>
      </c>
      <c r="Q546" s="7" t="n">
        <v>82</v>
      </c>
      <c r="R546" s="8" t="n">
        <v>46</v>
      </c>
      <c r="S546" s="8" t="s">
        <v>45</v>
      </c>
      <c r="T546" s="9" t="n">
        <v>46</v>
      </c>
      <c r="U546" s="10" t="n">
        <v>82</v>
      </c>
      <c r="V546" s="10" t="s">
        <v>42</v>
      </c>
      <c r="W546" s="11" t="n">
        <v>82</v>
      </c>
      <c r="X546" s="12" t="n">
        <v>84</v>
      </c>
      <c r="Y546" s="12" t="s">
        <v>42</v>
      </c>
      <c r="Z546" s="13" t="n">
        <v>84</v>
      </c>
      <c r="AA546" s="14" t="n">
        <v>71</v>
      </c>
      <c r="AB546" s="14" t="s">
        <v>43</v>
      </c>
      <c r="AC546" s="15" t="n">
        <v>71</v>
      </c>
      <c r="AD546" s="2" t="n">
        <f aca="false">SUM(L546,O546,R546,U546,X546,AA546)</f>
        <v>437</v>
      </c>
      <c r="AE546" s="16" t="n">
        <f aca="false">AD546/6</f>
        <v>72.8333333333333</v>
      </c>
      <c r="AF546" s="2" t="str">
        <f aca="false">IF(SUM(COUNTIF(M546,"RA"),COUNTIF(P546,"RA"),COUNTIF(S546,"RA"),COUNTIF(V546,"RA"),COUNTIF(Y546,"RA"),COUNTIF(AB546,"RA"))&gt;0,"FAIL","PASS")</f>
        <v>FAIL</v>
      </c>
    </row>
    <row r="547" customFormat="false" ht="15" hidden="false" customHeight="false" outlineLevel="0" collapsed="false">
      <c r="A547" s="2" t="n">
        <v>546</v>
      </c>
      <c r="B547" s="3" t="s">
        <v>3124</v>
      </c>
      <c r="C547" s="2" t="s">
        <v>783</v>
      </c>
      <c r="D547" s="2" t="s">
        <v>3125</v>
      </c>
      <c r="E547" s="2" t="s">
        <v>57</v>
      </c>
      <c r="F547" s="2" t="s">
        <v>36</v>
      </c>
      <c r="G547" s="2" t="s">
        <v>78</v>
      </c>
      <c r="H547" s="2" t="s">
        <v>2524</v>
      </c>
      <c r="I547" s="3" t="s">
        <v>1045</v>
      </c>
      <c r="J547" s="2" t="s">
        <v>3126</v>
      </c>
      <c r="K547" s="2" t="s">
        <v>3127</v>
      </c>
      <c r="L547" s="4" t="n">
        <v>96</v>
      </c>
      <c r="M547" s="4" t="s">
        <v>54</v>
      </c>
      <c r="N547" s="5" t="n">
        <v>96</v>
      </c>
      <c r="O547" s="6" t="n">
        <v>44</v>
      </c>
      <c r="P547" s="6" t="s">
        <v>45</v>
      </c>
      <c r="Q547" s="7" t="n">
        <v>44</v>
      </c>
      <c r="R547" s="8" t="n">
        <v>67</v>
      </c>
      <c r="S547" s="8" t="s">
        <v>44</v>
      </c>
      <c r="T547" s="9" t="n">
        <v>67</v>
      </c>
      <c r="U547" s="10" t="n">
        <v>88</v>
      </c>
      <c r="V547" s="10" t="s">
        <v>42</v>
      </c>
      <c r="W547" s="11" t="n">
        <v>88</v>
      </c>
      <c r="X547" s="12" t="n">
        <v>49</v>
      </c>
      <c r="Y547" s="12" t="s">
        <v>45</v>
      </c>
      <c r="Z547" s="13" t="n">
        <v>49</v>
      </c>
      <c r="AA547" s="14" t="n">
        <v>65</v>
      </c>
      <c r="AB547" s="14" t="s">
        <v>44</v>
      </c>
      <c r="AC547" s="15" t="n">
        <v>65</v>
      </c>
      <c r="AD547" s="2" t="n">
        <f aca="false">SUM(L547,O547,R547,U547,X547,AA547)</f>
        <v>409</v>
      </c>
      <c r="AE547" s="16" t="n">
        <f aca="false">AD547/6</f>
        <v>68.1666666666667</v>
      </c>
      <c r="AF547" s="2" t="str">
        <f aca="false">IF(SUM(COUNTIF(M547,"RA"),COUNTIF(P547,"RA"),COUNTIF(S547,"RA"),COUNTIF(V547,"RA"),COUNTIF(Y547,"RA"),COUNTIF(AB547,"RA"))&gt;0,"FAIL","PASS")</f>
        <v>FAIL</v>
      </c>
    </row>
    <row r="548" customFormat="false" ht="15" hidden="false" customHeight="false" outlineLevel="0" collapsed="false">
      <c r="A548" s="2" t="n">
        <v>547</v>
      </c>
      <c r="B548" s="3" t="s">
        <v>3128</v>
      </c>
      <c r="C548" s="2" t="s">
        <v>859</v>
      </c>
      <c r="D548" s="2" t="s">
        <v>3129</v>
      </c>
      <c r="E548" s="2" t="s">
        <v>57</v>
      </c>
      <c r="F548" s="2" t="s">
        <v>36</v>
      </c>
      <c r="G548" s="2" t="s">
        <v>71</v>
      </c>
      <c r="H548" s="2" t="s">
        <v>3130</v>
      </c>
      <c r="I548" s="3" t="s">
        <v>3131</v>
      </c>
      <c r="J548" s="2" t="s">
        <v>3132</v>
      </c>
      <c r="K548" s="2" t="s">
        <v>3133</v>
      </c>
      <c r="L548" s="4" t="n">
        <v>67</v>
      </c>
      <c r="M548" s="4" t="s">
        <v>44</v>
      </c>
      <c r="N548" s="5" t="n">
        <v>67</v>
      </c>
      <c r="O548" s="6" t="n">
        <v>63</v>
      </c>
      <c r="P548" s="6" t="s">
        <v>44</v>
      </c>
      <c r="Q548" s="7" t="n">
        <v>63</v>
      </c>
      <c r="R548" s="8" t="n">
        <v>63</v>
      </c>
      <c r="S548" s="8" t="s">
        <v>44</v>
      </c>
      <c r="T548" s="9" t="n">
        <v>63</v>
      </c>
      <c r="U548" s="10" t="n">
        <v>71</v>
      </c>
      <c r="V548" s="10" t="s">
        <v>43</v>
      </c>
      <c r="W548" s="11" t="n">
        <v>71</v>
      </c>
      <c r="X548" s="12" t="n">
        <v>96</v>
      </c>
      <c r="Y548" s="12" t="s">
        <v>54</v>
      </c>
      <c r="Z548" s="13" t="n">
        <v>96</v>
      </c>
      <c r="AA548" s="14" t="n">
        <v>77</v>
      </c>
      <c r="AB548" s="14" t="s">
        <v>43</v>
      </c>
      <c r="AC548" s="15" t="n">
        <v>77</v>
      </c>
      <c r="AD548" s="2" t="n">
        <f aca="false">SUM(L548,O548,R548,U548,X548,AA548)</f>
        <v>437</v>
      </c>
      <c r="AE548" s="16" t="n">
        <f aca="false">AD548/6</f>
        <v>72.8333333333333</v>
      </c>
      <c r="AF548" s="2" t="str">
        <f aca="false">IF(SUM(COUNTIF(M548,"RA"),COUNTIF(P548,"RA"),COUNTIF(S548,"RA"),COUNTIF(V548,"RA"),COUNTIF(Y548,"RA"),COUNTIF(AB548,"RA"))&gt;0,"FAIL","PASS")</f>
        <v>PASS</v>
      </c>
    </row>
    <row r="549" customFormat="false" ht="15" hidden="false" customHeight="false" outlineLevel="0" collapsed="false">
      <c r="A549" s="2" t="n">
        <v>548</v>
      </c>
      <c r="B549" s="3" t="s">
        <v>3134</v>
      </c>
      <c r="C549" s="2" t="s">
        <v>859</v>
      </c>
      <c r="D549" s="2" t="s">
        <v>3135</v>
      </c>
      <c r="E549" s="2" t="s">
        <v>57</v>
      </c>
      <c r="F549" s="2" t="s">
        <v>36</v>
      </c>
      <c r="G549" s="2" t="s">
        <v>37</v>
      </c>
      <c r="H549" s="2" t="s">
        <v>3136</v>
      </c>
      <c r="I549" s="3" t="s">
        <v>1502</v>
      </c>
      <c r="J549" s="2" t="s">
        <v>3137</v>
      </c>
      <c r="K549" s="2" t="s">
        <v>3138</v>
      </c>
      <c r="L549" s="4" t="n">
        <v>98</v>
      </c>
      <c r="M549" s="4" t="s">
        <v>54</v>
      </c>
      <c r="N549" s="5" t="n">
        <v>98</v>
      </c>
      <c r="O549" s="6" t="n">
        <v>82</v>
      </c>
      <c r="P549" s="6" t="s">
        <v>42</v>
      </c>
      <c r="Q549" s="7" t="n">
        <v>82</v>
      </c>
      <c r="R549" s="8" t="n">
        <v>57</v>
      </c>
      <c r="S549" s="8" t="s">
        <v>53</v>
      </c>
      <c r="T549" s="9" t="n">
        <v>57</v>
      </c>
      <c r="U549" s="10" t="n">
        <v>73</v>
      </c>
      <c r="V549" s="10" t="s">
        <v>43</v>
      </c>
      <c r="W549" s="11" t="n">
        <v>73</v>
      </c>
      <c r="X549" s="12" t="n">
        <v>60</v>
      </c>
      <c r="Y549" s="12" t="s">
        <v>44</v>
      </c>
      <c r="Z549" s="13" t="n">
        <v>60</v>
      </c>
      <c r="AA549" s="14" t="n">
        <v>96</v>
      </c>
      <c r="AB549" s="14" t="s">
        <v>54</v>
      </c>
      <c r="AC549" s="15" t="n">
        <v>96</v>
      </c>
      <c r="AD549" s="2" t="n">
        <f aca="false">SUM(L549,O549,R549,U549,X549,AA549)</f>
        <v>466</v>
      </c>
      <c r="AE549" s="16" t="n">
        <f aca="false">AD549/6</f>
        <v>77.6666666666667</v>
      </c>
      <c r="AF549" s="2" t="str">
        <f aca="false">IF(SUM(COUNTIF(M549,"RA"),COUNTIF(P549,"RA"),COUNTIF(S549,"RA"),COUNTIF(V549,"RA"),COUNTIF(Y549,"RA"),COUNTIF(AB549,"RA"))&gt;0,"FAIL","PASS")</f>
        <v>PASS</v>
      </c>
    </row>
    <row r="550" customFormat="false" ht="15" hidden="false" customHeight="false" outlineLevel="0" collapsed="false">
      <c r="A550" s="2" t="n">
        <v>549</v>
      </c>
      <c r="B550" s="3" t="s">
        <v>3139</v>
      </c>
      <c r="C550" s="2" t="s">
        <v>841</v>
      </c>
      <c r="D550" s="2" t="s">
        <v>3140</v>
      </c>
      <c r="E550" s="2" t="s">
        <v>57</v>
      </c>
      <c r="F550" s="2" t="s">
        <v>36</v>
      </c>
      <c r="G550" s="2" t="s">
        <v>78</v>
      </c>
      <c r="H550" s="2" t="s">
        <v>3141</v>
      </c>
      <c r="I550" s="3" t="s">
        <v>3142</v>
      </c>
      <c r="J550" s="2" t="s">
        <v>3143</v>
      </c>
      <c r="K550" s="2" t="s">
        <v>3144</v>
      </c>
      <c r="L550" s="4" t="n">
        <v>87</v>
      </c>
      <c r="M550" s="4" t="s">
        <v>42</v>
      </c>
      <c r="N550" s="5" t="n">
        <v>87</v>
      </c>
      <c r="O550" s="6" t="n">
        <v>48</v>
      </c>
      <c r="P550" s="6" t="s">
        <v>45</v>
      </c>
      <c r="Q550" s="7" t="n">
        <v>48</v>
      </c>
      <c r="R550" s="8" t="n">
        <v>40</v>
      </c>
      <c r="S550" s="8" t="s">
        <v>45</v>
      </c>
      <c r="T550" s="9" t="n">
        <v>40</v>
      </c>
      <c r="U550" s="10" t="n">
        <v>46</v>
      </c>
      <c r="V550" s="10" t="s">
        <v>45</v>
      </c>
      <c r="W550" s="11" t="n">
        <v>46</v>
      </c>
      <c r="X550" s="12" t="n">
        <v>44</v>
      </c>
      <c r="Y550" s="12" t="s">
        <v>45</v>
      </c>
      <c r="Z550" s="13" t="n">
        <v>44</v>
      </c>
      <c r="AA550" s="14" t="n">
        <v>65</v>
      </c>
      <c r="AB550" s="14" t="s">
        <v>44</v>
      </c>
      <c r="AC550" s="15" t="n">
        <v>65</v>
      </c>
      <c r="AD550" s="2" t="n">
        <f aca="false">SUM(L550,O550,R550,U550,X550,AA550)</f>
        <v>330</v>
      </c>
      <c r="AE550" s="16" t="n">
        <f aca="false">AD550/6</f>
        <v>55</v>
      </c>
      <c r="AF550" s="2" t="str">
        <f aca="false">IF(SUM(COUNTIF(M550,"RA"),COUNTIF(P550,"RA"),COUNTIF(S550,"RA"),COUNTIF(V550,"RA"),COUNTIF(Y550,"RA"),COUNTIF(AB550,"RA"))&gt;0,"FAIL","PASS")</f>
        <v>FAIL</v>
      </c>
    </row>
    <row r="551" customFormat="false" ht="15" hidden="false" customHeight="false" outlineLevel="0" collapsed="false">
      <c r="A551" s="2" t="n">
        <v>550</v>
      </c>
      <c r="B551" s="3" t="s">
        <v>3145</v>
      </c>
      <c r="C551" s="2" t="s">
        <v>859</v>
      </c>
      <c r="D551" s="2" t="s">
        <v>3146</v>
      </c>
      <c r="E551" s="2" t="s">
        <v>57</v>
      </c>
      <c r="F551" s="2" t="s">
        <v>36</v>
      </c>
      <c r="G551" s="2" t="s">
        <v>91</v>
      </c>
      <c r="H551" s="2" t="s">
        <v>2804</v>
      </c>
      <c r="I551" s="3" t="s">
        <v>3121</v>
      </c>
      <c r="J551" s="2" t="s">
        <v>3147</v>
      </c>
      <c r="K551" s="2" t="s">
        <v>3148</v>
      </c>
      <c r="L551" s="4" t="n">
        <v>76</v>
      </c>
      <c r="M551" s="4" t="s">
        <v>43</v>
      </c>
      <c r="N551" s="5" t="n">
        <v>76</v>
      </c>
      <c r="O551" s="6" t="n">
        <v>72</v>
      </c>
      <c r="P551" s="6" t="s">
        <v>43</v>
      </c>
      <c r="Q551" s="7" t="n">
        <v>72</v>
      </c>
      <c r="R551" s="8" t="n">
        <v>85</v>
      </c>
      <c r="S551" s="8" t="s">
        <v>42</v>
      </c>
      <c r="T551" s="9" t="n">
        <v>85</v>
      </c>
      <c r="U551" s="10" t="n">
        <v>83</v>
      </c>
      <c r="V551" s="10" t="s">
        <v>42</v>
      </c>
      <c r="W551" s="11" t="n">
        <v>83</v>
      </c>
      <c r="X551" s="12" t="n">
        <v>58</v>
      </c>
      <c r="Y551" s="12" t="s">
        <v>53</v>
      </c>
      <c r="Z551" s="13" t="n">
        <v>58</v>
      </c>
      <c r="AA551" s="14" t="n">
        <v>81</v>
      </c>
      <c r="AB551" s="14" t="s">
        <v>42</v>
      </c>
      <c r="AC551" s="15" t="n">
        <v>81</v>
      </c>
      <c r="AD551" s="2" t="n">
        <f aca="false">SUM(L551,O551,R551,U551,X551,AA551)</f>
        <v>455</v>
      </c>
      <c r="AE551" s="16" t="n">
        <f aca="false">AD551/6</f>
        <v>75.8333333333333</v>
      </c>
      <c r="AF551" s="2" t="str">
        <f aca="false">IF(SUM(COUNTIF(M551,"RA"),COUNTIF(P551,"RA"),COUNTIF(S551,"RA"),COUNTIF(V551,"RA"),COUNTIF(Y551,"RA"),COUNTIF(AB551,"RA"))&gt;0,"FAIL","PASS")</f>
        <v>PASS</v>
      </c>
    </row>
    <row r="552" customFormat="false" ht="15" hidden="false" customHeight="false" outlineLevel="0" collapsed="false">
      <c r="A552" s="2" t="n">
        <v>551</v>
      </c>
      <c r="B552" s="3" t="s">
        <v>3149</v>
      </c>
      <c r="C552" s="2" t="s">
        <v>770</v>
      </c>
      <c r="D552" s="2" t="s">
        <v>3150</v>
      </c>
      <c r="E552" s="2" t="s">
        <v>57</v>
      </c>
      <c r="F552" s="2" t="s">
        <v>36</v>
      </c>
      <c r="G552" s="2" t="s">
        <v>78</v>
      </c>
      <c r="H552" s="2" t="s">
        <v>2864</v>
      </c>
      <c r="I552" s="3" t="s">
        <v>444</v>
      </c>
      <c r="J552" s="2" t="s">
        <v>3151</v>
      </c>
      <c r="K552" s="2" t="s">
        <v>3152</v>
      </c>
      <c r="L552" s="4" t="n">
        <v>62</v>
      </c>
      <c r="M552" s="4" t="s">
        <v>44</v>
      </c>
      <c r="N552" s="5" t="n">
        <v>62</v>
      </c>
      <c r="O552" s="6" t="n">
        <v>75</v>
      </c>
      <c r="P552" s="6" t="s">
        <v>43</v>
      </c>
      <c r="Q552" s="7" t="n">
        <v>75</v>
      </c>
      <c r="R552" s="8" t="n">
        <v>61</v>
      </c>
      <c r="S552" s="8" t="s">
        <v>44</v>
      </c>
      <c r="T552" s="9" t="n">
        <v>61</v>
      </c>
      <c r="U552" s="10" t="n">
        <v>78</v>
      </c>
      <c r="V552" s="10" t="s">
        <v>43</v>
      </c>
      <c r="W552" s="11" t="n">
        <v>78</v>
      </c>
      <c r="X552" s="12" t="n">
        <v>67</v>
      </c>
      <c r="Y552" s="12" t="s">
        <v>44</v>
      </c>
      <c r="Z552" s="13" t="n">
        <v>67</v>
      </c>
      <c r="AA552" s="14" t="n">
        <v>93</v>
      </c>
      <c r="AB552" s="14" t="s">
        <v>54</v>
      </c>
      <c r="AC552" s="15" t="n">
        <v>93</v>
      </c>
      <c r="AD552" s="2" t="n">
        <f aca="false">SUM(L552,O552,R552,U552,X552,AA552)</f>
        <v>436</v>
      </c>
      <c r="AE552" s="16" t="n">
        <f aca="false">AD552/6</f>
        <v>72.6666666666667</v>
      </c>
      <c r="AF552" s="2" t="str">
        <f aca="false">IF(SUM(COUNTIF(M552,"RA"),COUNTIF(P552,"RA"),COUNTIF(S552,"RA"),COUNTIF(V552,"RA"),COUNTIF(Y552,"RA"),COUNTIF(AB552,"RA"))&gt;0,"FAIL","PASS")</f>
        <v>PASS</v>
      </c>
    </row>
    <row r="553" customFormat="false" ht="15" hidden="false" customHeight="false" outlineLevel="0" collapsed="false">
      <c r="A553" s="2" t="n">
        <v>552</v>
      </c>
      <c r="B553" s="3" t="s">
        <v>3153</v>
      </c>
      <c r="C553" s="2" t="s">
        <v>770</v>
      </c>
      <c r="D553" s="2" t="s">
        <v>3154</v>
      </c>
      <c r="E553" s="2" t="s">
        <v>35</v>
      </c>
      <c r="F553" s="2" t="s">
        <v>36</v>
      </c>
      <c r="G553" s="2" t="s">
        <v>42</v>
      </c>
      <c r="H553" s="2" t="s">
        <v>3155</v>
      </c>
      <c r="I553" s="3" t="s">
        <v>3156</v>
      </c>
      <c r="J553" s="2" t="s">
        <v>3157</v>
      </c>
      <c r="K553" s="2" t="s">
        <v>3158</v>
      </c>
      <c r="L553" s="4" t="n">
        <v>84</v>
      </c>
      <c r="M553" s="4" t="s">
        <v>42</v>
      </c>
      <c r="N553" s="5" t="n">
        <v>84</v>
      </c>
      <c r="O553" s="6" t="n">
        <v>61</v>
      </c>
      <c r="P553" s="6" t="s">
        <v>44</v>
      </c>
      <c r="Q553" s="7" t="n">
        <v>61</v>
      </c>
      <c r="R553" s="8" t="n">
        <v>86</v>
      </c>
      <c r="S553" s="8" t="s">
        <v>42</v>
      </c>
      <c r="T553" s="9" t="n">
        <v>86</v>
      </c>
      <c r="U553" s="10" t="n">
        <v>85</v>
      </c>
      <c r="V553" s="10" t="s">
        <v>42</v>
      </c>
      <c r="W553" s="11" t="n">
        <v>85</v>
      </c>
      <c r="X553" s="12" t="n">
        <v>73</v>
      </c>
      <c r="Y553" s="12" t="s">
        <v>43</v>
      </c>
      <c r="Z553" s="13" t="n">
        <v>73</v>
      </c>
      <c r="AA553" s="14" t="n">
        <v>81</v>
      </c>
      <c r="AB553" s="14" t="s">
        <v>42</v>
      </c>
      <c r="AC553" s="15" t="n">
        <v>81</v>
      </c>
      <c r="AD553" s="2" t="n">
        <f aca="false">SUM(L553,O553,R553,U553,X553,AA553)</f>
        <v>470</v>
      </c>
      <c r="AE553" s="16" t="n">
        <f aca="false">AD553/6</f>
        <v>78.3333333333333</v>
      </c>
      <c r="AF553" s="2" t="str">
        <f aca="false">IF(SUM(COUNTIF(M553,"RA"),COUNTIF(P553,"RA"),COUNTIF(S553,"RA"),COUNTIF(V553,"RA"),COUNTIF(Y553,"RA"),COUNTIF(AB553,"RA"))&gt;0,"FAIL","PASS")</f>
        <v>PASS</v>
      </c>
    </row>
    <row r="554" customFormat="false" ht="15" hidden="false" customHeight="false" outlineLevel="0" collapsed="false">
      <c r="A554" s="2" t="n">
        <v>553</v>
      </c>
      <c r="B554" s="3" t="s">
        <v>3159</v>
      </c>
      <c r="C554" s="2" t="s">
        <v>912</v>
      </c>
      <c r="D554" s="2" t="s">
        <v>3160</v>
      </c>
      <c r="E554" s="2" t="s">
        <v>57</v>
      </c>
      <c r="F554" s="2" t="s">
        <v>36</v>
      </c>
      <c r="G554" s="2" t="s">
        <v>37</v>
      </c>
      <c r="H554" s="2" t="s">
        <v>1129</v>
      </c>
      <c r="I554" s="3" t="s">
        <v>3161</v>
      </c>
      <c r="J554" s="2" t="s">
        <v>3162</v>
      </c>
      <c r="K554" s="2" t="s">
        <v>3163</v>
      </c>
      <c r="L554" s="4" t="n">
        <v>76</v>
      </c>
      <c r="M554" s="4" t="s">
        <v>43</v>
      </c>
      <c r="N554" s="5" t="n">
        <v>76</v>
      </c>
      <c r="O554" s="6" t="n">
        <v>65</v>
      </c>
      <c r="P554" s="6" t="s">
        <v>44</v>
      </c>
      <c r="Q554" s="7" t="n">
        <v>65</v>
      </c>
      <c r="R554" s="8" t="n">
        <v>75</v>
      </c>
      <c r="S554" s="8" t="s">
        <v>43</v>
      </c>
      <c r="T554" s="9" t="n">
        <v>75</v>
      </c>
      <c r="U554" s="10" t="n">
        <v>87</v>
      </c>
      <c r="V554" s="10" t="s">
        <v>42</v>
      </c>
      <c r="W554" s="11" t="n">
        <v>87</v>
      </c>
      <c r="X554" s="12" t="n">
        <v>81</v>
      </c>
      <c r="Y554" s="12" t="s">
        <v>42</v>
      </c>
      <c r="Z554" s="13" t="n">
        <v>81</v>
      </c>
      <c r="AA554" s="14" t="n">
        <v>99</v>
      </c>
      <c r="AB554" s="14" t="s">
        <v>54</v>
      </c>
      <c r="AC554" s="15" t="n">
        <v>99</v>
      </c>
      <c r="AD554" s="2" t="n">
        <f aca="false">SUM(L554,O554,R554,U554,X554,AA554)</f>
        <v>483</v>
      </c>
      <c r="AE554" s="16" t="n">
        <f aca="false">AD554/6</f>
        <v>80.5</v>
      </c>
      <c r="AF554" s="2" t="str">
        <f aca="false">IF(SUM(COUNTIF(M554,"RA"),COUNTIF(P554,"RA"),COUNTIF(S554,"RA"),COUNTIF(V554,"RA"),COUNTIF(Y554,"RA"),COUNTIF(AB554,"RA"))&gt;0,"FAIL","PASS")</f>
        <v>PASS</v>
      </c>
    </row>
    <row r="555" customFormat="false" ht="15" hidden="false" customHeight="false" outlineLevel="0" collapsed="false">
      <c r="A555" s="2" t="n">
        <v>554</v>
      </c>
      <c r="B555" s="3" t="s">
        <v>3164</v>
      </c>
      <c r="C555" s="2" t="s">
        <v>757</v>
      </c>
      <c r="D555" s="2" t="s">
        <v>3165</v>
      </c>
      <c r="E555" s="2" t="s">
        <v>57</v>
      </c>
      <c r="F555" s="2" t="s">
        <v>36</v>
      </c>
      <c r="G555" s="2" t="s">
        <v>91</v>
      </c>
      <c r="H555" s="2" t="s">
        <v>3166</v>
      </c>
      <c r="I555" s="3" t="s">
        <v>3167</v>
      </c>
      <c r="J555" s="2" t="s">
        <v>3168</v>
      </c>
      <c r="K555" s="2" t="s">
        <v>3169</v>
      </c>
      <c r="L555" s="4" t="n">
        <v>54</v>
      </c>
      <c r="M555" s="4" t="s">
        <v>53</v>
      </c>
      <c r="N555" s="5" t="n">
        <v>54</v>
      </c>
      <c r="O555" s="6" t="n">
        <v>77</v>
      </c>
      <c r="P555" s="6" t="s">
        <v>43</v>
      </c>
      <c r="Q555" s="7" t="n">
        <v>77</v>
      </c>
      <c r="R555" s="8" t="n">
        <v>45</v>
      </c>
      <c r="S555" s="8" t="s">
        <v>45</v>
      </c>
      <c r="T555" s="9" t="n">
        <v>45</v>
      </c>
      <c r="U555" s="10" t="n">
        <v>72</v>
      </c>
      <c r="V555" s="10" t="s">
        <v>43</v>
      </c>
      <c r="W555" s="11" t="n">
        <v>72</v>
      </c>
      <c r="X555" s="12" t="n">
        <v>94</v>
      </c>
      <c r="Y555" s="12" t="s">
        <v>54</v>
      </c>
      <c r="Z555" s="13" t="n">
        <v>94</v>
      </c>
      <c r="AA555" s="14" t="n">
        <v>51</v>
      </c>
      <c r="AB555" s="14" t="s">
        <v>53</v>
      </c>
      <c r="AC555" s="15" t="n">
        <v>51</v>
      </c>
      <c r="AD555" s="2" t="n">
        <f aca="false">SUM(L555,O555,R555,U555,X555,AA555)</f>
        <v>393</v>
      </c>
      <c r="AE555" s="16" t="n">
        <f aca="false">AD555/6</f>
        <v>65.5</v>
      </c>
      <c r="AF555" s="2" t="str">
        <f aca="false">IF(SUM(COUNTIF(M555,"RA"),COUNTIF(P555,"RA"),COUNTIF(S555,"RA"),COUNTIF(V555,"RA"),COUNTIF(Y555,"RA"),COUNTIF(AB555,"RA"))&gt;0,"FAIL","PASS")</f>
        <v>FAIL</v>
      </c>
    </row>
    <row r="556" customFormat="false" ht="15" hidden="false" customHeight="false" outlineLevel="0" collapsed="false">
      <c r="A556" s="2" t="n">
        <v>555</v>
      </c>
      <c r="B556" s="3" t="s">
        <v>3170</v>
      </c>
      <c r="C556" s="2" t="s">
        <v>816</v>
      </c>
      <c r="D556" s="2" t="s">
        <v>3171</v>
      </c>
      <c r="E556" s="2" t="s">
        <v>35</v>
      </c>
      <c r="F556" s="2" t="s">
        <v>36</v>
      </c>
      <c r="G556" s="2" t="s">
        <v>71</v>
      </c>
      <c r="H556" s="2" t="s">
        <v>3172</v>
      </c>
      <c r="I556" s="3" t="s">
        <v>3173</v>
      </c>
      <c r="J556" s="2" t="s">
        <v>3174</v>
      </c>
      <c r="K556" s="2" t="s">
        <v>3175</v>
      </c>
      <c r="L556" s="4" t="n">
        <v>72</v>
      </c>
      <c r="M556" s="4" t="s">
        <v>43</v>
      </c>
      <c r="N556" s="5" t="n">
        <v>72</v>
      </c>
      <c r="O556" s="6" t="n">
        <v>95</v>
      </c>
      <c r="P556" s="6" t="s">
        <v>54</v>
      </c>
      <c r="Q556" s="7" t="n">
        <v>95</v>
      </c>
      <c r="R556" s="8" t="n">
        <v>98</v>
      </c>
      <c r="S556" s="8" t="s">
        <v>54</v>
      </c>
      <c r="T556" s="9" t="n">
        <v>98</v>
      </c>
      <c r="U556" s="10" t="n">
        <v>44</v>
      </c>
      <c r="V556" s="10" t="s">
        <v>45</v>
      </c>
      <c r="W556" s="11" t="n">
        <v>44</v>
      </c>
      <c r="X556" s="12" t="n">
        <v>88</v>
      </c>
      <c r="Y556" s="12" t="s">
        <v>42</v>
      </c>
      <c r="Z556" s="13" t="n">
        <v>88</v>
      </c>
      <c r="AA556" s="14" t="n">
        <v>100</v>
      </c>
      <c r="AB556" s="14" t="s">
        <v>54</v>
      </c>
      <c r="AC556" s="15" t="n">
        <v>100</v>
      </c>
      <c r="AD556" s="2" t="n">
        <f aca="false">SUM(L556,O556,R556,U556,X556,AA556)</f>
        <v>497</v>
      </c>
      <c r="AE556" s="16" t="n">
        <f aca="false">AD556/6</f>
        <v>82.8333333333333</v>
      </c>
      <c r="AF556" s="2" t="str">
        <f aca="false">IF(SUM(COUNTIF(M556,"RA"),COUNTIF(P556,"RA"),COUNTIF(S556,"RA"),COUNTIF(V556,"RA"),COUNTIF(Y556,"RA"),COUNTIF(AB556,"RA"))&gt;0,"FAIL","PASS")</f>
        <v>FAIL</v>
      </c>
    </row>
    <row r="557" customFormat="false" ht="15" hidden="false" customHeight="false" outlineLevel="0" collapsed="false">
      <c r="A557" s="2" t="n">
        <v>556</v>
      </c>
      <c r="B557" s="3" t="s">
        <v>3176</v>
      </c>
      <c r="C557" s="2" t="s">
        <v>803</v>
      </c>
      <c r="D557" s="2" t="s">
        <v>3177</v>
      </c>
      <c r="E557" s="2" t="s">
        <v>35</v>
      </c>
      <c r="F557" s="2" t="s">
        <v>36</v>
      </c>
      <c r="G557" s="2" t="s">
        <v>42</v>
      </c>
      <c r="H557" s="2" t="s">
        <v>3178</v>
      </c>
      <c r="I557" s="3" t="s">
        <v>3179</v>
      </c>
      <c r="J557" s="2" t="s">
        <v>3180</v>
      </c>
      <c r="K557" s="2" t="s">
        <v>3181</v>
      </c>
      <c r="L557" s="4" t="n">
        <v>63</v>
      </c>
      <c r="M557" s="4" t="s">
        <v>44</v>
      </c>
      <c r="N557" s="5" t="n">
        <v>63</v>
      </c>
      <c r="O557" s="6" t="n">
        <v>70</v>
      </c>
      <c r="P557" s="6" t="s">
        <v>43</v>
      </c>
      <c r="Q557" s="7" t="n">
        <v>70</v>
      </c>
      <c r="R557" s="8" t="n">
        <v>97</v>
      </c>
      <c r="S557" s="8" t="s">
        <v>54</v>
      </c>
      <c r="T557" s="9" t="n">
        <v>97</v>
      </c>
      <c r="U557" s="10" t="n">
        <v>76</v>
      </c>
      <c r="V557" s="10" t="s">
        <v>43</v>
      </c>
      <c r="W557" s="11" t="n">
        <v>76</v>
      </c>
      <c r="X557" s="12" t="n">
        <v>82</v>
      </c>
      <c r="Y557" s="12" t="s">
        <v>42</v>
      </c>
      <c r="Z557" s="13" t="n">
        <v>82</v>
      </c>
      <c r="AA557" s="14" t="n">
        <v>79</v>
      </c>
      <c r="AB557" s="14" t="s">
        <v>43</v>
      </c>
      <c r="AC557" s="15" t="n">
        <v>79</v>
      </c>
      <c r="AD557" s="2" t="n">
        <f aca="false">SUM(L557,O557,R557,U557,X557,AA557)</f>
        <v>467</v>
      </c>
      <c r="AE557" s="16" t="n">
        <f aca="false">AD557/6</f>
        <v>77.8333333333333</v>
      </c>
      <c r="AF557" s="2" t="str">
        <f aca="false">IF(SUM(COUNTIF(M557,"RA"),COUNTIF(P557,"RA"),COUNTIF(S557,"RA"),COUNTIF(V557,"RA"),COUNTIF(Y557,"RA"),COUNTIF(AB557,"RA"))&gt;0,"FAIL","PASS")</f>
        <v>PASS</v>
      </c>
    </row>
    <row r="558" customFormat="false" ht="15" hidden="false" customHeight="false" outlineLevel="0" collapsed="false">
      <c r="A558" s="2" t="n">
        <v>557</v>
      </c>
      <c r="B558" s="3" t="s">
        <v>3182</v>
      </c>
      <c r="C558" s="2" t="s">
        <v>803</v>
      </c>
      <c r="D558" s="2" t="s">
        <v>3183</v>
      </c>
      <c r="E558" s="2" t="s">
        <v>57</v>
      </c>
      <c r="F558" s="2" t="s">
        <v>36</v>
      </c>
      <c r="G558" s="2" t="s">
        <v>78</v>
      </c>
      <c r="H558" s="2" t="s">
        <v>3184</v>
      </c>
      <c r="I558" s="3" t="s">
        <v>1300</v>
      </c>
      <c r="J558" s="2" t="s">
        <v>3185</v>
      </c>
      <c r="K558" s="2" t="s">
        <v>3186</v>
      </c>
      <c r="L558" s="4" t="n">
        <v>61</v>
      </c>
      <c r="M558" s="4" t="s">
        <v>44</v>
      </c>
      <c r="N558" s="5" t="n">
        <v>61</v>
      </c>
      <c r="O558" s="6" t="n">
        <v>90</v>
      </c>
      <c r="P558" s="6" t="s">
        <v>54</v>
      </c>
      <c r="Q558" s="7" t="n">
        <v>90</v>
      </c>
      <c r="R558" s="8" t="n">
        <v>71</v>
      </c>
      <c r="S558" s="8" t="s">
        <v>43</v>
      </c>
      <c r="T558" s="9" t="n">
        <v>71</v>
      </c>
      <c r="U558" s="10" t="n">
        <v>90</v>
      </c>
      <c r="V558" s="10" t="s">
        <v>54</v>
      </c>
      <c r="W558" s="11" t="n">
        <v>90</v>
      </c>
      <c r="X558" s="12" t="n">
        <v>76</v>
      </c>
      <c r="Y558" s="12" t="s">
        <v>43</v>
      </c>
      <c r="Z558" s="13" t="n">
        <v>76</v>
      </c>
      <c r="AA558" s="14" t="n">
        <v>64</v>
      </c>
      <c r="AB558" s="14" t="s">
        <v>44</v>
      </c>
      <c r="AC558" s="15" t="n">
        <v>64</v>
      </c>
      <c r="AD558" s="2" t="n">
        <f aca="false">SUM(L558,O558,R558,U558,X558,AA558)</f>
        <v>452</v>
      </c>
      <c r="AE558" s="16" t="n">
        <f aca="false">AD558/6</f>
        <v>75.3333333333333</v>
      </c>
      <c r="AF558" s="2" t="str">
        <f aca="false">IF(SUM(COUNTIF(M558,"RA"),COUNTIF(P558,"RA"),COUNTIF(S558,"RA"),COUNTIF(V558,"RA"),COUNTIF(Y558,"RA"),COUNTIF(AB558,"RA"))&gt;0,"FAIL","PASS")</f>
        <v>PASS</v>
      </c>
    </row>
    <row r="559" customFormat="false" ht="15" hidden="false" customHeight="false" outlineLevel="0" collapsed="false">
      <c r="A559" s="2" t="n">
        <v>558</v>
      </c>
      <c r="B559" s="3" t="s">
        <v>3187</v>
      </c>
      <c r="C559" s="2" t="s">
        <v>912</v>
      </c>
      <c r="D559" s="2" t="s">
        <v>3188</v>
      </c>
      <c r="E559" s="2" t="s">
        <v>35</v>
      </c>
      <c r="F559" s="2" t="s">
        <v>36</v>
      </c>
      <c r="G559" s="2" t="s">
        <v>44</v>
      </c>
      <c r="H559" s="2" t="s">
        <v>3189</v>
      </c>
      <c r="I559" s="3" t="s">
        <v>1830</v>
      </c>
      <c r="J559" s="2" t="s">
        <v>3190</v>
      </c>
      <c r="K559" s="2" t="s">
        <v>3191</v>
      </c>
      <c r="L559" s="4" t="n">
        <v>72</v>
      </c>
      <c r="M559" s="4" t="s">
        <v>43</v>
      </c>
      <c r="N559" s="5" t="n">
        <v>72</v>
      </c>
      <c r="O559" s="6" t="n">
        <v>97</v>
      </c>
      <c r="P559" s="6" t="s">
        <v>54</v>
      </c>
      <c r="Q559" s="7" t="n">
        <v>97</v>
      </c>
      <c r="R559" s="8" t="n">
        <v>71</v>
      </c>
      <c r="S559" s="8" t="s">
        <v>43</v>
      </c>
      <c r="T559" s="9" t="n">
        <v>71</v>
      </c>
      <c r="U559" s="10" t="n">
        <v>87</v>
      </c>
      <c r="V559" s="10" t="s">
        <v>42</v>
      </c>
      <c r="W559" s="11" t="n">
        <v>87</v>
      </c>
      <c r="X559" s="12" t="n">
        <v>86</v>
      </c>
      <c r="Y559" s="12" t="s">
        <v>42</v>
      </c>
      <c r="Z559" s="13" t="n">
        <v>86</v>
      </c>
      <c r="AA559" s="14" t="n">
        <v>73</v>
      </c>
      <c r="AB559" s="14" t="s">
        <v>43</v>
      </c>
      <c r="AC559" s="15" t="n">
        <v>73</v>
      </c>
      <c r="AD559" s="2" t="n">
        <f aca="false">SUM(L559,O559,R559,U559,X559,AA559)</f>
        <v>486</v>
      </c>
      <c r="AE559" s="16" t="n">
        <f aca="false">AD559/6</f>
        <v>81</v>
      </c>
      <c r="AF559" s="2" t="str">
        <f aca="false">IF(SUM(COUNTIF(M559,"RA"),COUNTIF(P559,"RA"),COUNTIF(S559,"RA"),COUNTIF(V559,"RA"),COUNTIF(Y559,"RA"),COUNTIF(AB559,"RA"))&gt;0,"FAIL","PASS")</f>
        <v>PASS</v>
      </c>
    </row>
    <row r="560" customFormat="false" ht="15" hidden="false" customHeight="false" outlineLevel="0" collapsed="false">
      <c r="A560" s="2" t="n">
        <v>559</v>
      </c>
      <c r="B560" s="3" t="s">
        <v>3192</v>
      </c>
      <c r="C560" s="2" t="s">
        <v>790</v>
      </c>
      <c r="D560" s="2" t="s">
        <v>3193</v>
      </c>
      <c r="E560" s="2" t="s">
        <v>57</v>
      </c>
      <c r="F560" s="2" t="s">
        <v>36</v>
      </c>
      <c r="G560" s="2" t="s">
        <v>91</v>
      </c>
      <c r="H560" s="2" t="s">
        <v>3194</v>
      </c>
      <c r="I560" s="3" t="s">
        <v>3195</v>
      </c>
      <c r="J560" s="2" t="s">
        <v>3196</v>
      </c>
      <c r="K560" s="2" t="s">
        <v>3197</v>
      </c>
      <c r="L560" s="4" t="n">
        <v>69</v>
      </c>
      <c r="M560" s="4" t="s">
        <v>44</v>
      </c>
      <c r="N560" s="5" t="n">
        <v>69</v>
      </c>
      <c r="O560" s="6" t="n">
        <v>63</v>
      </c>
      <c r="P560" s="6" t="s">
        <v>44</v>
      </c>
      <c r="Q560" s="7" t="n">
        <v>63</v>
      </c>
      <c r="R560" s="8" t="n">
        <v>91</v>
      </c>
      <c r="S560" s="8" t="s">
        <v>54</v>
      </c>
      <c r="T560" s="9" t="n">
        <v>91</v>
      </c>
      <c r="U560" s="10" t="n">
        <v>87</v>
      </c>
      <c r="V560" s="10" t="s">
        <v>42</v>
      </c>
      <c r="W560" s="11" t="n">
        <v>87</v>
      </c>
      <c r="X560" s="12" t="n">
        <v>61</v>
      </c>
      <c r="Y560" s="12" t="s">
        <v>44</v>
      </c>
      <c r="Z560" s="13" t="n">
        <v>61</v>
      </c>
      <c r="AA560" s="14" t="n">
        <v>94</v>
      </c>
      <c r="AB560" s="14" t="s">
        <v>54</v>
      </c>
      <c r="AC560" s="15" t="n">
        <v>94</v>
      </c>
      <c r="AD560" s="2" t="n">
        <f aca="false">SUM(L560,O560,R560,U560,X560,AA560)</f>
        <v>465</v>
      </c>
      <c r="AE560" s="16" t="n">
        <f aca="false">AD560/6</f>
        <v>77.5</v>
      </c>
      <c r="AF560" s="2" t="str">
        <f aca="false">IF(SUM(COUNTIF(M560,"RA"),COUNTIF(P560,"RA"),COUNTIF(S560,"RA"),COUNTIF(V560,"RA"),COUNTIF(Y560,"RA"),COUNTIF(AB560,"RA"))&gt;0,"FAIL","PASS")</f>
        <v>PASS</v>
      </c>
    </row>
    <row r="561" customFormat="false" ht="15" hidden="false" customHeight="false" outlineLevel="0" collapsed="false">
      <c r="A561" s="2" t="n">
        <v>560</v>
      </c>
      <c r="B561" s="3" t="s">
        <v>3198</v>
      </c>
      <c r="C561" s="2" t="s">
        <v>912</v>
      </c>
      <c r="D561" s="2" t="s">
        <v>3199</v>
      </c>
      <c r="E561" s="2" t="s">
        <v>57</v>
      </c>
      <c r="F561" s="2" t="s">
        <v>36</v>
      </c>
      <c r="G561" s="2" t="s">
        <v>78</v>
      </c>
      <c r="H561" s="2" t="s">
        <v>2632</v>
      </c>
      <c r="I561" s="3" t="s">
        <v>2393</v>
      </c>
      <c r="J561" s="2" t="s">
        <v>3200</v>
      </c>
      <c r="K561" s="2" t="s">
        <v>3201</v>
      </c>
      <c r="L561" s="4" t="n">
        <v>81</v>
      </c>
      <c r="M561" s="4" t="s">
        <v>42</v>
      </c>
      <c r="N561" s="5" t="n">
        <v>81</v>
      </c>
      <c r="O561" s="6" t="n">
        <v>76</v>
      </c>
      <c r="P561" s="6" t="s">
        <v>43</v>
      </c>
      <c r="Q561" s="7" t="n">
        <v>76</v>
      </c>
      <c r="R561" s="8" t="n">
        <v>86</v>
      </c>
      <c r="S561" s="8" t="s">
        <v>42</v>
      </c>
      <c r="T561" s="9" t="n">
        <v>86</v>
      </c>
      <c r="U561" s="10" t="n">
        <v>89</v>
      </c>
      <c r="V561" s="10" t="s">
        <v>42</v>
      </c>
      <c r="W561" s="11" t="n">
        <v>89</v>
      </c>
      <c r="X561" s="12" t="n">
        <v>82</v>
      </c>
      <c r="Y561" s="12" t="s">
        <v>42</v>
      </c>
      <c r="Z561" s="13" t="n">
        <v>82</v>
      </c>
      <c r="AA561" s="14" t="n">
        <v>42</v>
      </c>
      <c r="AB561" s="14" t="s">
        <v>45</v>
      </c>
      <c r="AC561" s="15" t="n">
        <v>42</v>
      </c>
      <c r="AD561" s="2" t="n">
        <f aca="false">SUM(L561,O561,R561,U561,X561,AA561)</f>
        <v>456</v>
      </c>
      <c r="AE561" s="16" t="n">
        <f aca="false">AD561/6</f>
        <v>76</v>
      </c>
      <c r="AF561" s="2" t="str">
        <f aca="false">IF(SUM(COUNTIF(M561,"RA"),COUNTIF(P561,"RA"),COUNTIF(S561,"RA"),COUNTIF(V561,"RA"),COUNTIF(Y561,"RA"),COUNTIF(AB561,"RA"))&gt;0,"FAIL","PASS")</f>
        <v>FAIL</v>
      </c>
    </row>
    <row r="562" customFormat="false" ht="15" hidden="false" customHeight="false" outlineLevel="0" collapsed="false">
      <c r="A562" s="2" t="n">
        <v>561</v>
      </c>
      <c r="B562" s="3" t="s">
        <v>3202</v>
      </c>
      <c r="C562" s="2" t="s">
        <v>750</v>
      </c>
      <c r="D562" s="2" t="s">
        <v>3203</v>
      </c>
      <c r="E562" s="2" t="s">
        <v>57</v>
      </c>
      <c r="F562" s="2" t="s">
        <v>36</v>
      </c>
      <c r="G562" s="2" t="s">
        <v>91</v>
      </c>
      <c r="H562" s="2" t="s">
        <v>3204</v>
      </c>
      <c r="I562" s="3" t="s">
        <v>390</v>
      </c>
      <c r="J562" s="2" t="s">
        <v>3205</v>
      </c>
      <c r="K562" s="2" t="s">
        <v>3206</v>
      </c>
      <c r="L562" s="4" t="n">
        <v>51</v>
      </c>
      <c r="M562" s="4" t="s">
        <v>53</v>
      </c>
      <c r="N562" s="5" t="n">
        <v>51</v>
      </c>
      <c r="O562" s="6" t="n">
        <v>81</v>
      </c>
      <c r="P562" s="6" t="s">
        <v>42</v>
      </c>
      <c r="Q562" s="7" t="n">
        <v>81</v>
      </c>
      <c r="R562" s="8" t="n">
        <v>64</v>
      </c>
      <c r="S562" s="8" t="s">
        <v>44</v>
      </c>
      <c r="T562" s="9" t="n">
        <v>64</v>
      </c>
      <c r="U562" s="10" t="n">
        <v>87</v>
      </c>
      <c r="V562" s="10" t="s">
        <v>42</v>
      </c>
      <c r="W562" s="11" t="n">
        <v>87</v>
      </c>
      <c r="X562" s="12" t="n">
        <v>61</v>
      </c>
      <c r="Y562" s="12" t="s">
        <v>44</v>
      </c>
      <c r="Z562" s="13" t="n">
        <v>61</v>
      </c>
      <c r="AA562" s="14" t="n">
        <v>62</v>
      </c>
      <c r="AB562" s="14" t="s">
        <v>44</v>
      </c>
      <c r="AC562" s="15" t="n">
        <v>62</v>
      </c>
      <c r="AD562" s="2" t="n">
        <f aca="false">SUM(L562,O562,R562,U562,X562,AA562)</f>
        <v>406</v>
      </c>
      <c r="AE562" s="16" t="n">
        <f aca="false">AD562/6</f>
        <v>67.6666666666667</v>
      </c>
      <c r="AF562" s="2" t="str">
        <f aca="false">IF(SUM(COUNTIF(M562,"RA"),COUNTIF(P562,"RA"),COUNTIF(S562,"RA"),COUNTIF(V562,"RA"),COUNTIF(Y562,"RA"),COUNTIF(AB562,"RA"))&gt;0,"FAIL","PASS")</f>
        <v>PASS</v>
      </c>
    </row>
    <row r="563" customFormat="false" ht="15" hidden="false" customHeight="false" outlineLevel="0" collapsed="false">
      <c r="A563" s="2" t="n">
        <v>562</v>
      </c>
      <c r="B563" s="3" t="s">
        <v>3207</v>
      </c>
      <c r="C563" s="2" t="s">
        <v>750</v>
      </c>
      <c r="D563" s="2" t="s">
        <v>3208</v>
      </c>
      <c r="E563" s="2" t="s">
        <v>57</v>
      </c>
      <c r="F563" s="2" t="s">
        <v>36</v>
      </c>
      <c r="G563" s="2" t="s">
        <v>48</v>
      </c>
      <c r="H563" s="2" t="s">
        <v>3209</v>
      </c>
      <c r="I563" s="3" t="s">
        <v>3210</v>
      </c>
      <c r="J563" s="2" t="s">
        <v>3211</v>
      </c>
      <c r="K563" s="2" t="s">
        <v>3212</v>
      </c>
      <c r="L563" s="4" t="n">
        <v>82</v>
      </c>
      <c r="M563" s="4" t="s">
        <v>42</v>
      </c>
      <c r="N563" s="5" t="n">
        <v>82</v>
      </c>
      <c r="O563" s="6" t="n">
        <v>84</v>
      </c>
      <c r="P563" s="6" t="s">
        <v>42</v>
      </c>
      <c r="Q563" s="7" t="n">
        <v>84</v>
      </c>
      <c r="R563" s="8" t="n">
        <v>97</v>
      </c>
      <c r="S563" s="8" t="s">
        <v>54</v>
      </c>
      <c r="T563" s="9" t="n">
        <v>97</v>
      </c>
      <c r="U563" s="10" t="n">
        <v>63</v>
      </c>
      <c r="V563" s="10" t="s">
        <v>44</v>
      </c>
      <c r="W563" s="11" t="n">
        <v>63</v>
      </c>
      <c r="X563" s="12" t="n">
        <v>94</v>
      </c>
      <c r="Y563" s="12" t="s">
        <v>54</v>
      </c>
      <c r="Z563" s="13" t="n">
        <v>94</v>
      </c>
      <c r="AA563" s="14" t="n">
        <v>85</v>
      </c>
      <c r="AB563" s="14" t="s">
        <v>42</v>
      </c>
      <c r="AC563" s="15" t="n">
        <v>85</v>
      </c>
      <c r="AD563" s="2" t="n">
        <f aca="false">SUM(L563,O563,R563,U563,X563,AA563)</f>
        <v>505</v>
      </c>
      <c r="AE563" s="16" t="n">
        <f aca="false">AD563/6</f>
        <v>84.1666666666667</v>
      </c>
      <c r="AF563" s="2" t="str">
        <f aca="false">IF(SUM(COUNTIF(M563,"RA"),COUNTIF(P563,"RA"),COUNTIF(S563,"RA"),COUNTIF(V563,"RA"),COUNTIF(Y563,"RA"),COUNTIF(AB563,"RA"))&gt;0,"FAIL","PASS")</f>
        <v>PASS</v>
      </c>
    </row>
    <row r="564" customFormat="false" ht="15" hidden="false" customHeight="false" outlineLevel="0" collapsed="false">
      <c r="A564" s="2" t="n">
        <v>563</v>
      </c>
      <c r="B564" s="3" t="s">
        <v>3213</v>
      </c>
      <c r="C564" s="2" t="s">
        <v>757</v>
      </c>
      <c r="D564" s="2" t="s">
        <v>3214</v>
      </c>
      <c r="E564" s="2" t="s">
        <v>57</v>
      </c>
      <c r="F564" s="2" t="s">
        <v>36</v>
      </c>
      <c r="G564" s="2" t="s">
        <v>42</v>
      </c>
      <c r="H564" s="2" t="s">
        <v>3215</v>
      </c>
      <c r="I564" s="3" t="s">
        <v>3216</v>
      </c>
      <c r="J564" s="2" t="s">
        <v>3217</v>
      </c>
      <c r="K564" s="2" t="s">
        <v>3218</v>
      </c>
      <c r="L564" s="4" t="n">
        <v>81</v>
      </c>
      <c r="M564" s="4" t="s">
        <v>42</v>
      </c>
      <c r="N564" s="5" t="n">
        <v>81</v>
      </c>
      <c r="O564" s="6" t="n">
        <v>58</v>
      </c>
      <c r="P564" s="6" t="s">
        <v>53</v>
      </c>
      <c r="Q564" s="7" t="n">
        <v>58</v>
      </c>
      <c r="R564" s="8" t="n">
        <v>69</v>
      </c>
      <c r="S564" s="8" t="s">
        <v>44</v>
      </c>
      <c r="T564" s="9" t="n">
        <v>69</v>
      </c>
      <c r="U564" s="10" t="n">
        <v>52</v>
      </c>
      <c r="V564" s="10" t="s">
        <v>53</v>
      </c>
      <c r="W564" s="11" t="n">
        <v>52</v>
      </c>
      <c r="X564" s="12" t="n">
        <v>65</v>
      </c>
      <c r="Y564" s="12" t="s">
        <v>44</v>
      </c>
      <c r="Z564" s="13" t="n">
        <v>65</v>
      </c>
      <c r="AA564" s="14" t="n">
        <v>98</v>
      </c>
      <c r="AB564" s="14" t="s">
        <v>54</v>
      </c>
      <c r="AC564" s="15" t="n">
        <v>98</v>
      </c>
      <c r="AD564" s="2" t="n">
        <f aca="false">SUM(L564,O564,R564,U564,X564,AA564)</f>
        <v>423</v>
      </c>
      <c r="AE564" s="16" t="n">
        <f aca="false">AD564/6</f>
        <v>70.5</v>
      </c>
      <c r="AF564" s="2" t="str">
        <f aca="false">IF(SUM(COUNTIF(M564,"RA"),COUNTIF(P564,"RA"),COUNTIF(S564,"RA"),COUNTIF(V564,"RA"),COUNTIF(Y564,"RA"),COUNTIF(AB564,"RA"))&gt;0,"FAIL","PASS")</f>
        <v>PASS</v>
      </c>
    </row>
    <row r="565" customFormat="false" ht="15" hidden="false" customHeight="false" outlineLevel="0" collapsed="false">
      <c r="A565" s="2" t="n">
        <v>564</v>
      </c>
      <c r="B565" s="3" t="s">
        <v>3219</v>
      </c>
      <c r="C565" s="2" t="s">
        <v>750</v>
      </c>
      <c r="D565" s="2" t="s">
        <v>3220</v>
      </c>
      <c r="E565" s="2" t="s">
        <v>35</v>
      </c>
      <c r="F565" s="2" t="s">
        <v>36</v>
      </c>
      <c r="G565" s="2" t="s">
        <v>64</v>
      </c>
      <c r="H565" s="2" t="s">
        <v>3221</v>
      </c>
      <c r="I565" s="3" t="s">
        <v>3222</v>
      </c>
      <c r="J565" s="2" t="s">
        <v>3223</v>
      </c>
      <c r="K565" s="2" t="s">
        <v>3224</v>
      </c>
      <c r="L565" s="4" t="n">
        <v>73</v>
      </c>
      <c r="M565" s="4" t="s">
        <v>43</v>
      </c>
      <c r="N565" s="5" t="n">
        <v>73</v>
      </c>
      <c r="O565" s="6" t="n">
        <v>90</v>
      </c>
      <c r="P565" s="6" t="s">
        <v>54</v>
      </c>
      <c r="Q565" s="7" t="n">
        <v>90</v>
      </c>
      <c r="R565" s="8" t="n">
        <v>77</v>
      </c>
      <c r="S565" s="8" t="s">
        <v>43</v>
      </c>
      <c r="T565" s="9" t="n">
        <v>77</v>
      </c>
      <c r="U565" s="10" t="n">
        <v>98</v>
      </c>
      <c r="V565" s="10" t="s">
        <v>54</v>
      </c>
      <c r="W565" s="11" t="n">
        <v>98</v>
      </c>
      <c r="X565" s="12" t="n">
        <v>76</v>
      </c>
      <c r="Y565" s="12" t="s">
        <v>43</v>
      </c>
      <c r="Z565" s="13" t="n">
        <v>76</v>
      </c>
      <c r="AA565" s="14" t="n">
        <v>66</v>
      </c>
      <c r="AB565" s="14" t="s">
        <v>44</v>
      </c>
      <c r="AC565" s="15" t="n">
        <v>66</v>
      </c>
      <c r="AD565" s="2" t="n">
        <f aca="false">SUM(L565,O565,R565,U565,X565,AA565)</f>
        <v>480</v>
      </c>
      <c r="AE565" s="16" t="n">
        <f aca="false">AD565/6</f>
        <v>80</v>
      </c>
      <c r="AF565" s="2" t="str">
        <f aca="false">IF(SUM(COUNTIF(M565,"RA"),COUNTIF(P565,"RA"),COUNTIF(S565,"RA"),COUNTIF(V565,"RA"),COUNTIF(Y565,"RA"),COUNTIF(AB565,"RA"))&gt;0,"FAIL","PASS")</f>
        <v>PASS</v>
      </c>
    </row>
    <row r="566" customFormat="false" ht="15" hidden="false" customHeight="false" outlineLevel="0" collapsed="false">
      <c r="A566" s="2" t="n">
        <v>565</v>
      </c>
      <c r="B566" s="3" t="s">
        <v>3225</v>
      </c>
      <c r="C566" s="2" t="s">
        <v>912</v>
      </c>
      <c r="D566" s="2" t="s">
        <v>3226</v>
      </c>
      <c r="E566" s="2" t="s">
        <v>57</v>
      </c>
      <c r="F566" s="2" t="s">
        <v>36</v>
      </c>
      <c r="G566" s="2" t="s">
        <v>44</v>
      </c>
      <c r="H566" s="2" t="s">
        <v>3227</v>
      </c>
      <c r="I566" s="3" t="s">
        <v>3228</v>
      </c>
      <c r="J566" s="2" t="s">
        <v>3229</v>
      </c>
      <c r="K566" s="2" t="s">
        <v>3230</v>
      </c>
      <c r="L566" s="4" t="n">
        <v>94</v>
      </c>
      <c r="M566" s="4" t="s">
        <v>54</v>
      </c>
      <c r="N566" s="5" t="n">
        <v>94</v>
      </c>
      <c r="O566" s="6" t="n">
        <v>54</v>
      </c>
      <c r="P566" s="6" t="s">
        <v>53</v>
      </c>
      <c r="Q566" s="7" t="n">
        <v>54</v>
      </c>
      <c r="R566" s="8" t="n">
        <v>64</v>
      </c>
      <c r="S566" s="8" t="s">
        <v>44</v>
      </c>
      <c r="T566" s="9" t="n">
        <v>64</v>
      </c>
      <c r="U566" s="10" t="n">
        <v>96</v>
      </c>
      <c r="V566" s="10" t="s">
        <v>54</v>
      </c>
      <c r="W566" s="11" t="n">
        <v>96</v>
      </c>
      <c r="X566" s="12" t="n">
        <v>83</v>
      </c>
      <c r="Y566" s="12" t="s">
        <v>42</v>
      </c>
      <c r="Z566" s="13" t="n">
        <v>83</v>
      </c>
      <c r="AA566" s="14" t="n">
        <v>71</v>
      </c>
      <c r="AB566" s="14" t="s">
        <v>43</v>
      </c>
      <c r="AC566" s="15" t="n">
        <v>71</v>
      </c>
      <c r="AD566" s="2" t="n">
        <f aca="false">SUM(L566,O566,R566,U566,X566,AA566)</f>
        <v>462</v>
      </c>
      <c r="AE566" s="16" t="n">
        <f aca="false">AD566/6</f>
        <v>77</v>
      </c>
      <c r="AF566" s="2" t="str">
        <f aca="false">IF(SUM(COUNTIF(M566,"RA"),COUNTIF(P566,"RA"),COUNTIF(S566,"RA"),COUNTIF(V566,"RA"),COUNTIF(Y566,"RA"),COUNTIF(AB566,"RA"))&gt;0,"FAIL","PASS")</f>
        <v>PASS</v>
      </c>
    </row>
    <row r="567" customFormat="false" ht="15" hidden="false" customHeight="false" outlineLevel="0" collapsed="false">
      <c r="A567" s="2" t="n">
        <v>566</v>
      </c>
      <c r="B567" s="3" t="s">
        <v>3231</v>
      </c>
      <c r="C567" s="2" t="s">
        <v>790</v>
      </c>
      <c r="D567" s="2" t="s">
        <v>3232</v>
      </c>
      <c r="E567" s="2" t="s">
        <v>57</v>
      </c>
      <c r="F567" s="2" t="s">
        <v>36</v>
      </c>
      <c r="G567" s="2" t="s">
        <v>64</v>
      </c>
      <c r="H567" s="2" t="s">
        <v>1454</v>
      </c>
      <c r="I567" s="3" t="s">
        <v>1830</v>
      </c>
      <c r="J567" s="2" t="s">
        <v>3233</v>
      </c>
      <c r="K567" s="2" t="s">
        <v>3234</v>
      </c>
      <c r="L567" s="4" t="n">
        <v>97</v>
      </c>
      <c r="M567" s="4" t="s">
        <v>54</v>
      </c>
      <c r="N567" s="5" t="n">
        <v>97</v>
      </c>
      <c r="O567" s="6" t="n">
        <v>66</v>
      </c>
      <c r="P567" s="6" t="s">
        <v>44</v>
      </c>
      <c r="Q567" s="7" t="n">
        <v>66</v>
      </c>
      <c r="R567" s="8" t="n">
        <v>57</v>
      </c>
      <c r="S567" s="8" t="s">
        <v>53</v>
      </c>
      <c r="T567" s="9" t="n">
        <v>57</v>
      </c>
      <c r="U567" s="10" t="n">
        <v>80</v>
      </c>
      <c r="V567" s="10" t="s">
        <v>42</v>
      </c>
      <c r="W567" s="11" t="n">
        <v>80</v>
      </c>
      <c r="X567" s="12" t="n">
        <v>72</v>
      </c>
      <c r="Y567" s="12" t="s">
        <v>43</v>
      </c>
      <c r="Z567" s="13" t="n">
        <v>72</v>
      </c>
      <c r="AA567" s="14" t="n">
        <v>86</v>
      </c>
      <c r="AB567" s="14" t="s">
        <v>42</v>
      </c>
      <c r="AC567" s="15" t="n">
        <v>86</v>
      </c>
      <c r="AD567" s="2" t="n">
        <f aca="false">SUM(L567,O567,R567,U567,X567,AA567)</f>
        <v>458</v>
      </c>
      <c r="AE567" s="16" t="n">
        <f aca="false">AD567/6</f>
        <v>76.3333333333333</v>
      </c>
      <c r="AF567" s="2" t="str">
        <f aca="false">IF(SUM(COUNTIF(M567,"RA"),COUNTIF(P567,"RA"),COUNTIF(S567,"RA"),COUNTIF(V567,"RA"),COUNTIF(Y567,"RA"),COUNTIF(AB567,"RA"))&gt;0,"FAIL","PASS")</f>
        <v>PASS</v>
      </c>
    </row>
    <row r="568" customFormat="false" ht="15" hidden="false" customHeight="false" outlineLevel="0" collapsed="false">
      <c r="A568" s="2" t="n">
        <v>567</v>
      </c>
      <c r="B568" s="3" t="s">
        <v>3235</v>
      </c>
      <c r="C568" s="2" t="s">
        <v>783</v>
      </c>
      <c r="D568" s="2" t="s">
        <v>3236</v>
      </c>
      <c r="E568" s="2" t="s">
        <v>35</v>
      </c>
      <c r="F568" s="2" t="s">
        <v>36</v>
      </c>
      <c r="G568" s="2" t="s">
        <v>42</v>
      </c>
      <c r="H568" s="2" t="s">
        <v>3237</v>
      </c>
      <c r="I568" s="3" t="s">
        <v>3238</v>
      </c>
      <c r="J568" s="2" t="s">
        <v>3239</v>
      </c>
      <c r="K568" s="2" t="s">
        <v>3240</v>
      </c>
      <c r="L568" s="4" t="n">
        <v>89</v>
      </c>
      <c r="M568" s="4" t="s">
        <v>42</v>
      </c>
      <c r="N568" s="5" t="n">
        <v>89</v>
      </c>
      <c r="O568" s="6" t="n">
        <v>73</v>
      </c>
      <c r="P568" s="6" t="s">
        <v>43</v>
      </c>
      <c r="Q568" s="7" t="n">
        <v>73</v>
      </c>
      <c r="R568" s="8" t="n">
        <v>77</v>
      </c>
      <c r="S568" s="8" t="s">
        <v>43</v>
      </c>
      <c r="T568" s="9" t="n">
        <v>77</v>
      </c>
      <c r="U568" s="10" t="n">
        <v>70</v>
      </c>
      <c r="V568" s="10" t="s">
        <v>43</v>
      </c>
      <c r="W568" s="11" t="n">
        <v>70</v>
      </c>
      <c r="X568" s="12" t="n">
        <v>47</v>
      </c>
      <c r="Y568" s="12" t="s">
        <v>45</v>
      </c>
      <c r="Z568" s="13" t="n">
        <v>47</v>
      </c>
      <c r="AA568" s="14" t="n">
        <v>88</v>
      </c>
      <c r="AB568" s="14" t="s">
        <v>42</v>
      </c>
      <c r="AC568" s="15" t="n">
        <v>88</v>
      </c>
      <c r="AD568" s="2" t="n">
        <f aca="false">SUM(L568,O568,R568,U568,X568,AA568)</f>
        <v>444</v>
      </c>
      <c r="AE568" s="16" t="n">
        <f aca="false">AD568/6</f>
        <v>74</v>
      </c>
      <c r="AF568" s="2" t="str">
        <f aca="false">IF(SUM(COUNTIF(M568,"RA"),COUNTIF(P568,"RA"),COUNTIF(S568,"RA"),COUNTIF(V568,"RA"),COUNTIF(Y568,"RA"),COUNTIF(AB568,"RA"))&gt;0,"FAIL","PASS")</f>
        <v>FAIL</v>
      </c>
    </row>
    <row r="569" customFormat="false" ht="15" hidden="false" customHeight="false" outlineLevel="0" collapsed="false">
      <c r="A569" s="2" t="n">
        <v>568</v>
      </c>
      <c r="B569" s="3" t="s">
        <v>3241</v>
      </c>
      <c r="C569" s="2" t="s">
        <v>783</v>
      </c>
      <c r="D569" s="2" t="s">
        <v>3242</v>
      </c>
      <c r="E569" s="2" t="s">
        <v>35</v>
      </c>
      <c r="F569" s="2" t="s">
        <v>36</v>
      </c>
      <c r="G569" s="2" t="s">
        <v>48</v>
      </c>
      <c r="H569" s="2" t="s">
        <v>266</v>
      </c>
      <c r="I569" s="3" t="s">
        <v>3243</v>
      </c>
      <c r="J569" s="2" t="s">
        <v>3244</v>
      </c>
      <c r="K569" s="2" t="s">
        <v>3245</v>
      </c>
      <c r="L569" s="4" t="n">
        <v>52</v>
      </c>
      <c r="M569" s="4" t="s">
        <v>53</v>
      </c>
      <c r="N569" s="5" t="n">
        <v>52</v>
      </c>
      <c r="O569" s="6" t="n">
        <v>71</v>
      </c>
      <c r="P569" s="6" t="s">
        <v>43</v>
      </c>
      <c r="Q569" s="7" t="n">
        <v>71</v>
      </c>
      <c r="R569" s="8" t="n">
        <v>87</v>
      </c>
      <c r="S569" s="8" t="s">
        <v>42</v>
      </c>
      <c r="T569" s="9" t="n">
        <v>87</v>
      </c>
      <c r="U569" s="10" t="n">
        <v>92</v>
      </c>
      <c r="V569" s="10" t="s">
        <v>54</v>
      </c>
      <c r="W569" s="11" t="n">
        <v>92</v>
      </c>
      <c r="X569" s="12" t="n">
        <v>79</v>
      </c>
      <c r="Y569" s="12" t="s">
        <v>43</v>
      </c>
      <c r="Z569" s="13" t="n">
        <v>79</v>
      </c>
      <c r="AA569" s="14" t="n">
        <v>85</v>
      </c>
      <c r="AB569" s="14" t="s">
        <v>42</v>
      </c>
      <c r="AC569" s="15" t="n">
        <v>85</v>
      </c>
      <c r="AD569" s="2" t="n">
        <f aca="false">SUM(L569,O569,R569,U569,X569,AA569)</f>
        <v>466</v>
      </c>
      <c r="AE569" s="16" t="n">
        <f aca="false">AD569/6</f>
        <v>77.6666666666667</v>
      </c>
      <c r="AF569" s="2" t="str">
        <f aca="false">IF(SUM(COUNTIF(M569,"RA"),COUNTIF(P569,"RA"),COUNTIF(S569,"RA"),COUNTIF(V569,"RA"),COUNTIF(Y569,"RA"),COUNTIF(AB569,"RA"))&gt;0,"FAIL","PASS")</f>
        <v>PASS</v>
      </c>
    </row>
    <row r="570" customFormat="false" ht="15" hidden="false" customHeight="false" outlineLevel="0" collapsed="false">
      <c r="A570" s="2" t="n">
        <v>569</v>
      </c>
      <c r="B570" s="3" t="s">
        <v>3246</v>
      </c>
      <c r="C570" s="2" t="s">
        <v>750</v>
      </c>
      <c r="D570" s="2" t="s">
        <v>3247</v>
      </c>
      <c r="E570" s="2" t="s">
        <v>57</v>
      </c>
      <c r="F570" s="2" t="s">
        <v>36</v>
      </c>
      <c r="G570" s="2" t="s">
        <v>71</v>
      </c>
      <c r="H570" s="2" t="s">
        <v>3248</v>
      </c>
      <c r="I570" s="3" t="s">
        <v>3249</v>
      </c>
      <c r="J570" s="2" t="s">
        <v>3250</v>
      </c>
      <c r="K570" s="2" t="s">
        <v>3251</v>
      </c>
      <c r="L570" s="4" t="n">
        <v>85</v>
      </c>
      <c r="M570" s="4" t="s">
        <v>42</v>
      </c>
      <c r="N570" s="5" t="n">
        <v>85</v>
      </c>
      <c r="O570" s="6" t="n">
        <v>60</v>
      </c>
      <c r="P570" s="6" t="s">
        <v>44</v>
      </c>
      <c r="Q570" s="7" t="n">
        <v>60</v>
      </c>
      <c r="R570" s="8" t="n">
        <v>83</v>
      </c>
      <c r="S570" s="8" t="s">
        <v>42</v>
      </c>
      <c r="T570" s="9" t="n">
        <v>83</v>
      </c>
      <c r="U570" s="10" t="n">
        <v>67</v>
      </c>
      <c r="V570" s="10" t="s">
        <v>44</v>
      </c>
      <c r="W570" s="11" t="n">
        <v>67</v>
      </c>
      <c r="X570" s="12" t="n">
        <v>70</v>
      </c>
      <c r="Y570" s="12" t="s">
        <v>43</v>
      </c>
      <c r="Z570" s="13" t="n">
        <v>70</v>
      </c>
      <c r="AA570" s="14" t="n">
        <v>47</v>
      </c>
      <c r="AB570" s="14" t="s">
        <v>45</v>
      </c>
      <c r="AC570" s="15" t="n">
        <v>47</v>
      </c>
      <c r="AD570" s="2" t="n">
        <f aca="false">SUM(L570,O570,R570,U570,X570,AA570)</f>
        <v>412</v>
      </c>
      <c r="AE570" s="16" t="n">
        <f aca="false">AD570/6</f>
        <v>68.6666666666667</v>
      </c>
      <c r="AF570" s="2" t="str">
        <f aca="false">IF(SUM(COUNTIF(M570,"RA"),COUNTIF(P570,"RA"),COUNTIF(S570,"RA"),COUNTIF(V570,"RA"),COUNTIF(Y570,"RA"),COUNTIF(AB570,"RA"))&gt;0,"FAIL","PASS")</f>
        <v>FAIL</v>
      </c>
    </row>
    <row r="571" customFormat="false" ht="15" hidden="false" customHeight="false" outlineLevel="0" collapsed="false">
      <c r="A571" s="2" t="n">
        <v>570</v>
      </c>
      <c r="B571" s="3" t="s">
        <v>3252</v>
      </c>
      <c r="C571" s="2" t="s">
        <v>790</v>
      </c>
      <c r="D571" s="2" t="s">
        <v>3253</v>
      </c>
      <c r="E571" s="2" t="s">
        <v>57</v>
      </c>
      <c r="F571" s="2" t="s">
        <v>36</v>
      </c>
      <c r="G571" s="2" t="s">
        <v>71</v>
      </c>
      <c r="H571" s="2" t="s">
        <v>1773</v>
      </c>
      <c r="I571" s="3" t="s">
        <v>3254</v>
      </c>
      <c r="J571" s="2" t="s">
        <v>3255</v>
      </c>
      <c r="K571" s="2" t="s">
        <v>3256</v>
      </c>
      <c r="L571" s="4" t="n">
        <v>82</v>
      </c>
      <c r="M571" s="4" t="s">
        <v>42</v>
      </c>
      <c r="N571" s="5" t="n">
        <v>82</v>
      </c>
      <c r="O571" s="6" t="n">
        <v>88</v>
      </c>
      <c r="P571" s="6" t="s">
        <v>42</v>
      </c>
      <c r="Q571" s="7" t="n">
        <v>88</v>
      </c>
      <c r="R571" s="8" t="n">
        <v>63</v>
      </c>
      <c r="S571" s="8" t="s">
        <v>44</v>
      </c>
      <c r="T571" s="9" t="n">
        <v>63</v>
      </c>
      <c r="U571" s="10" t="n">
        <v>93</v>
      </c>
      <c r="V571" s="10" t="s">
        <v>54</v>
      </c>
      <c r="W571" s="11" t="n">
        <v>93</v>
      </c>
      <c r="X571" s="12" t="n">
        <v>69</v>
      </c>
      <c r="Y571" s="12" t="s">
        <v>44</v>
      </c>
      <c r="Z571" s="13" t="n">
        <v>69</v>
      </c>
      <c r="AA571" s="14" t="n">
        <v>79</v>
      </c>
      <c r="AB571" s="14" t="s">
        <v>43</v>
      </c>
      <c r="AC571" s="15" t="n">
        <v>79</v>
      </c>
      <c r="AD571" s="2" t="n">
        <f aca="false">SUM(L571,O571,R571,U571,X571,AA571)</f>
        <v>474</v>
      </c>
      <c r="AE571" s="16" t="n">
        <f aca="false">AD571/6</f>
        <v>79</v>
      </c>
      <c r="AF571" s="2" t="str">
        <f aca="false">IF(SUM(COUNTIF(M571,"RA"),COUNTIF(P571,"RA"),COUNTIF(S571,"RA"),COUNTIF(V571,"RA"),COUNTIF(Y571,"RA"),COUNTIF(AB571,"RA"))&gt;0,"FAIL","PASS")</f>
        <v>PASS</v>
      </c>
    </row>
    <row r="572" customFormat="false" ht="15" hidden="false" customHeight="false" outlineLevel="0" collapsed="false">
      <c r="A572" s="2" t="n">
        <v>571</v>
      </c>
      <c r="B572" s="3" t="s">
        <v>3257</v>
      </c>
      <c r="C572" s="2" t="s">
        <v>816</v>
      </c>
      <c r="D572" s="2" t="s">
        <v>3258</v>
      </c>
      <c r="E572" s="2" t="s">
        <v>57</v>
      </c>
      <c r="F572" s="2" t="s">
        <v>36</v>
      </c>
      <c r="G572" s="2" t="s">
        <v>64</v>
      </c>
      <c r="H572" s="2" t="s">
        <v>532</v>
      </c>
      <c r="I572" s="3" t="s">
        <v>313</v>
      </c>
      <c r="J572" s="2" t="s">
        <v>3259</v>
      </c>
      <c r="K572" s="2" t="s">
        <v>3260</v>
      </c>
      <c r="L572" s="4" t="n">
        <v>53</v>
      </c>
      <c r="M572" s="4" t="s">
        <v>53</v>
      </c>
      <c r="N572" s="5" t="n">
        <v>53</v>
      </c>
      <c r="O572" s="6" t="n">
        <v>91</v>
      </c>
      <c r="P572" s="6" t="s">
        <v>54</v>
      </c>
      <c r="Q572" s="7" t="n">
        <v>91</v>
      </c>
      <c r="R572" s="8" t="n">
        <v>79</v>
      </c>
      <c r="S572" s="8" t="s">
        <v>43</v>
      </c>
      <c r="T572" s="9" t="n">
        <v>79</v>
      </c>
      <c r="U572" s="10" t="n">
        <v>56</v>
      </c>
      <c r="V572" s="10" t="s">
        <v>53</v>
      </c>
      <c r="W572" s="11" t="n">
        <v>56</v>
      </c>
      <c r="X572" s="12" t="n">
        <v>76</v>
      </c>
      <c r="Y572" s="12" t="s">
        <v>43</v>
      </c>
      <c r="Z572" s="13" t="n">
        <v>76</v>
      </c>
      <c r="AA572" s="14" t="n">
        <v>69</v>
      </c>
      <c r="AB572" s="14" t="s">
        <v>44</v>
      </c>
      <c r="AC572" s="15" t="n">
        <v>69</v>
      </c>
      <c r="AD572" s="2" t="n">
        <f aca="false">SUM(L572,O572,R572,U572,X572,AA572)</f>
        <v>424</v>
      </c>
      <c r="AE572" s="16" t="n">
        <f aca="false">AD572/6</f>
        <v>70.6666666666667</v>
      </c>
      <c r="AF572" s="2" t="str">
        <f aca="false">IF(SUM(COUNTIF(M572,"RA"),COUNTIF(P572,"RA"),COUNTIF(S572,"RA"),COUNTIF(V572,"RA"),COUNTIF(Y572,"RA"),COUNTIF(AB572,"RA"))&gt;0,"FAIL","PASS")</f>
        <v>PASS</v>
      </c>
    </row>
    <row r="573" customFormat="false" ht="15" hidden="false" customHeight="false" outlineLevel="0" collapsed="false">
      <c r="A573" s="2" t="n">
        <v>572</v>
      </c>
      <c r="B573" s="3" t="s">
        <v>3261</v>
      </c>
      <c r="C573" s="2" t="s">
        <v>816</v>
      </c>
      <c r="D573" s="2" t="s">
        <v>3262</v>
      </c>
      <c r="E573" s="2" t="s">
        <v>35</v>
      </c>
      <c r="F573" s="2" t="s">
        <v>36</v>
      </c>
      <c r="G573" s="2" t="s">
        <v>71</v>
      </c>
      <c r="H573" s="2" t="s">
        <v>706</v>
      </c>
      <c r="I573" s="3" t="s">
        <v>3263</v>
      </c>
      <c r="J573" s="2" t="s">
        <v>3264</v>
      </c>
      <c r="K573" s="2" t="s">
        <v>3265</v>
      </c>
      <c r="L573" s="4" t="n">
        <v>72</v>
      </c>
      <c r="M573" s="4" t="s">
        <v>43</v>
      </c>
      <c r="N573" s="5" t="n">
        <v>72</v>
      </c>
      <c r="O573" s="6" t="n">
        <v>97</v>
      </c>
      <c r="P573" s="6" t="s">
        <v>54</v>
      </c>
      <c r="Q573" s="7" t="n">
        <v>97</v>
      </c>
      <c r="R573" s="8" t="n">
        <v>82</v>
      </c>
      <c r="S573" s="8" t="s">
        <v>42</v>
      </c>
      <c r="T573" s="9" t="n">
        <v>82</v>
      </c>
      <c r="U573" s="10" t="n">
        <v>59</v>
      </c>
      <c r="V573" s="10" t="s">
        <v>53</v>
      </c>
      <c r="W573" s="11" t="n">
        <v>59</v>
      </c>
      <c r="X573" s="12" t="n">
        <v>42</v>
      </c>
      <c r="Y573" s="12" t="s">
        <v>45</v>
      </c>
      <c r="Z573" s="13" t="n">
        <v>42</v>
      </c>
      <c r="AA573" s="14" t="n">
        <v>92</v>
      </c>
      <c r="AB573" s="14" t="s">
        <v>54</v>
      </c>
      <c r="AC573" s="15" t="n">
        <v>92</v>
      </c>
      <c r="AD573" s="2" t="n">
        <f aca="false">SUM(L573,O573,R573,U573,X573,AA573)</f>
        <v>444</v>
      </c>
      <c r="AE573" s="16" t="n">
        <f aca="false">AD573/6</f>
        <v>74</v>
      </c>
      <c r="AF573" s="2" t="str">
        <f aca="false">IF(SUM(COUNTIF(M573,"RA"),COUNTIF(P573,"RA"),COUNTIF(S573,"RA"),COUNTIF(V573,"RA"),COUNTIF(Y573,"RA"),COUNTIF(AB573,"RA"))&gt;0,"FAIL","PASS")</f>
        <v>FAIL</v>
      </c>
    </row>
    <row r="574" customFormat="false" ht="15" hidden="false" customHeight="false" outlineLevel="0" collapsed="false">
      <c r="A574" s="2" t="n">
        <v>573</v>
      </c>
      <c r="B574" s="3" t="s">
        <v>3266</v>
      </c>
      <c r="C574" s="2" t="s">
        <v>841</v>
      </c>
      <c r="D574" s="2" t="s">
        <v>3267</v>
      </c>
      <c r="E574" s="2" t="s">
        <v>35</v>
      </c>
      <c r="F574" s="2" t="s">
        <v>36</v>
      </c>
      <c r="G574" s="2" t="s">
        <v>42</v>
      </c>
      <c r="H574" s="2" t="s">
        <v>254</v>
      </c>
      <c r="I574" s="3" t="s">
        <v>3268</v>
      </c>
      <c r="J574" s="2" t="s">
        <v>3269</v>
      </c>
      <c r="K574" s="2" t="s">
        <v>3270</v>
      </c>
      <c r="L574" s="4" t="n">
        <v>93</v>
      </c>
      <c r="M574" s="4" t="s">
        <v>54</v>
      </c>
      <c r="N574" s="5" t="n">
        <v>93</v>
      </c>
      <c r="O574" s="6" t="n">
        <v>82</v>
      </c>
      <c r="P574" s="6" t="s">
        <v>42</v>
      </c>
      <c r="Q574" s="7" t="n">
        <v>82</v>
      </c>
      <c r="R574" s="8" t="n">
        <v>98</v>
      </c>
      <c r="S574" s="8" t="s">
        <v>54</v>
      </c>
      <c r="T574" s="9" t="n">
        <v>98</v>
      </c>
      <c r="U574" s="10" t="n">
        <v>73</v>
      </c>
      <c r="V574" s="10" t="s">
        <v>43</v>
      </c>
      <c r="W574" s="11" t="n">
        <v>73</v>
      </c>
      <c r="X574" s="12" t="n">
        <v>78</v>
      </c>
      <c r="Y574" s="12" t="s">
        <v>43</v>
      </c>
      <c r="Z574" s="13" t="n">
        <v>78</v>
      </c>
      <c r="AA574" s="14" t="n">
        <v>99</v>
      </c>
      <c r="AB574" s="14" t="s">
        <v>54</v>
      </c>
      <c r="AC574" s="15" t="n">
        <v>99</v>
      </c>
      <c r="AD574" s="2" t="n">
        <f aca="false">SUM(L574,O574,R574,U574,X574,AA574)</f>
        <v>523</v>
      </c>
      <c r="AE574" s="16" t="n">
        <f aca="false">AD574/6</f>
        <v>87.1666666666667</v>
      </c>
      <c r="AF574" s="2" t="str">
        <f aca="false">IF(SUM(COUNTIF(M574,"RA"),COUNTIF(P574,"RA"),COUNTIF(S574,"RA"),COUNTIF(V574,"RA"),COUNTIF(Y574,"RA"),COUNTIF(AB574,"RA"))&gt;0,"FAIL","PASS")</f>
        <v>PASS</v>
      </c>
    </row>
    <row r="575" customFormat="false" ht="15" hidden="false" customHeight="false" outlineLevel="0" collapsed="false">
      <c r="A575" s="2" t="n">
        <v>574</v>
      </c>
      <c r="B575" s="3" t="s">
        <v>3271</v>
      </c>
      <c r="C575" s="2" t="s">
        <v>770</v>
      </c>
      <c r="D575" s="2" t="s">
        <v>3272</v>
      </c>
      <c r="E575" s="2" t="s">
        <v>57</v>
      </c>
      <c r="F575" s="2" t="s">
        <v>36</v>
      </c>
      <c r="G575" s="2" t="s">
        <v>48</v>
      </c>
      <c r="H575" s="2" t="s">
        <v>3273</v>
      </c>
      <c r="I575" s="3" t="s">
        <v>3274</v>
      </c>
      <c r="J575" s="2" t="s">
        <v>3275</v>
      </c>
      <c r="K575" s="2" t="s">
        <v>3276</v>
      </c>
      <c r="L575" s="4" t="n">
        <v>82</v>
      </c>
      <c r="M575" s="4" t="s">
        <v>42</v>
      </c>
      <c r="N575" s="5" t="n">
        <v>82</v>
      </c>
      <c r="O575" s="6" t="n">
        <v>64</v>
      </c>
      <c r="P575" s="6" t="s">
        <v>44</v>
      </c>
      <c r="Q575" s="7" t="n">
        <v>64</v>
      </c>
      <c r="R575" s="8" t="n">
        <v>60</v>
      </c>
      <c r="S575" s="8" t="s">
        <v>44</v>
      </c>
      <c r="T575" s="9" t="n">
        <v>60</v>
      </c>
      <c r="U575" s="10" t="n">
        <v>65</v>
      </c>
      <c r="V575" s="10" t="s">
        <v>44</v>
      </c>
      <c r="W575" s="11" t="n">
        <v>65</v>
      </c>
      <c r="X575" s="12" t="n">
        <v>87</v>
      </c>
      <c r="Y575" s="12" t="s">
        <v>42</v>
      </c>
      <c r="Z575" s="13" t="n">
        <v>87</v>
      </c>
      <c r="AA575" s="14" t="n">
        <v>87</v>
      </c>
      <c r="AB575" s="14" t="s">
        <v>42</v>
      </c>
      <c r="AC575" s="15" t="n">
        <v>87</v>
      </c>
      <c r="AD575" s="2" t="n">
        <f aca="false">SUM(L575,O575,R575,U575,X575,AA575)</f>
        <v>445</v>
      </c>
      <c r="AE575" s="16" t="n">
        <f aca="false">AD575/6</f>
        <v>74.1666666666667</v>
      </c>
      <c r="AF575" s="2" t="str">
        <f aca="false">IF(SUM(COUNTIF(M575,"RA"),COUNTIF(P575,"RA"),COUNTIF(S575,"RA"),COUNTIF(V575,"RA"),COUNTIF(Y575,"RA"),COUNTIF(AB575,"RA"))&gt;0,"FAIL","PASS")</f>
        <v>PASS</v>
      </c>
    </row>
    <row r="576" customFormat="false" ht="15" hidden="false" customHeight="false" outlineLevel="0" collapsed="false">
      <c r="A576" s="2" t="n">
        <v>575</v>
      </c>
      <c r="B576" s="3" t="s">
        <v>3277</v>
      </c>
      <c r="C576" s="2" t="s">
        <v>859</v>
      </c>
      <c r="D576" s="2" t="s">
        <v>3278</v>
      </c>
      <c r="E576" s="2" t="s">
        <v>35</v>
      </c>
      <c r="F576" s="2" t="s">
        <v>36</v>
      </c>
      <c r="G576" s="2" t="s">
        <v>64</v>
      </c>
      <c r="H576" s="2" t="s">
        <v>3279</v>
      </c>
      <c r="I576" s="3" t="s">
        <v>3280</v>
      </c>
      <c r="J576" s="2" t="s">
        <v>3281</v>
      </c>
      <c r="K576" s="2" t="s">
        <v>3282</v>
      </c>
      <c r="L576" s="4" t="n">
        <v>99</v>
      </c>
      <c r="M576" s="4" t="s">
        <v>54</v>
      </c>
      <c r="N576" s="5" t="n">
        <v>99</v>
      </c>
      <c r="O576" s="6" t="n">
        <v>75</v>
      </c>
      <c r="P576" s="6" t="s">
        <v>43</v>
      </c>
      <c r="Q576" s="7" t="n">
        <v>75</v>
      </c>
      <c r="R576" s="8" t="n">
        <v>97</v>
      </c>
      <c r="S576" s="8" t="s">
        <v>54</v>
      </c>
      <c r="T576" s="9" t="n">
        <v>97</v>
      </c>
      <c r="U576" s="10" t="n">
        <v>78</v>
      </c>
      <c r="V576" s="10" t="s">
        <v>43</v>
      </c>
      <c r="W576" s="11" t="n">
        <v>78</v>
      </c>
      <c r="X576" s="12" t="n">
        <v>86</v>
      </c>
      <c r="Y576" s="12" t="s">
        <v>42</v>
      </c>
      <c r="Z576" s="13" t="n">
        <v>86</v>
      </c>
      <c r="AA576" s="14" t="n">
        <v>83</v>
      </c>
      <c r="AB576" s="14" t="s">
        <v>42</v>
      </c>
      <c r="AC576" s="15" t="n">
        <v>83</v>
      </c>
      <c r="AD576" s="2" t="n">
        <f aca="false">SUM(L576,O576,R576,U576,X576,AA576)</f>
        <v>518</v>
      </c>
      <c r="AE576" s="16" t="n">
        <f aca="false">AD576/6</f>
        <v>86.3333333333333</v>
      </c>
      <c r="AF576" s="2" t="str">
        <f aca="false">IF(SUM(COUNTIF(M576,"RA"),COUNTIF(P576,"RA"),COUNTIF(S576,"RA"),COUNTIF(V576,"RA"),COUNTIF(Y576,"RA"),COUNTIF(AB576,"RA"))&gt;0,"FAIL","PASS")</f>
        <v>PASS</v>
      </c>
    </row>
    <row r="577" customFormat="false" ht="15" hidden="false" customHeight="false" outlineLevel="0" collapsed="false">
      <c r="A577" s="2" t="n">
        <v>576</v>
      </c>
      <c r="B577" s="3" t="s">
        <v>3283</v>
      </c>
      <c r="C577" s="2" t="s">
        <v>750</v>
      </c>
      <c r="D577" s="2" t="s">
        <v>3284</v>
      </c>
      <c r="E577" s="2" t="s">
        <v>35</v>
      </c>
      <c r="F577" s="2" t="s">
        <v>36</v>
      </c>
      <c r="G577" s="2" t="s">
        <v>78</v>
      </c>
      <c r="H577" s="2" t="s">
        <v>3285</v>
      </c>
      <c r="I577" s="3" t="s">
        <v>313</v>
      </c>
      <c r="J577" s="2" t="s">
        <v>3286</v>
      </c>
      <c r="K577" s="2" t="s">
        <v>3287</v>
      </c>
      <c r="L577" s="4" t="n">
        <v>90</v>
      </c>
      <c r="M577" s="4" t="s">
        <v>54</v>
      </c>
      <c r="N577" s="5" t="n">
        <v>90</v>
      </c>
      <c r="O577" s="6" t="n">
        <v>65</v>
      </c>
      <c r="P577" s="6" t="s">
        <v>44</v>
      </c>
      <c r="Q577" s="7" t="n">
        <v>65</v>
      </c>
      <c r="R577" s="8" t="n">
        <v>85</v>
      </c>
      <c r="S577" s="8" t="s">
        <v>42</v>
      </c>
      <c r="T577" s="9" t="n">
        <v>85</v>
      </c>
      <c r="U577" s="10" t="n">
        <v>65</v>
      </c>
      <c r="V577" s="10" t="s">
        <v>44</v>
      </c>
      <c r="W577" s="11" t="n">
        <v>65</v>
      </c>
      <c r="X577" s="12" t="n">
        <v>68</v>
      </c>
      <c r="Y577" s="12" t="s">
        <v>44</v>
      </c>
      <c r="Z577" s="13" t="n">
        <v>68</v>
      </c>
      <c r="AA577" s="14" t="n">
        <v>84</v>
      </c>
      <c r="AB577" s="14" t="s">
        <v>42</v>
      </c>
      <c r="AC577" s="15" t="n">
        <v>84</v>
      </c>
      <c r="AD577" s="2" t="n">
        <f aca="false">SUM(L577,O577,R577,U577,X577,AA577)</f>
        <v>457</v>
      </c>
      <c r="AE577" s="16" t="n">
        <f aca="false">AD577/6</f>
        <v>76.1666666666667</v>
      </c>
      <c r="AF577" s="2" t="str">
        <f aca="false">IF(SUM(COUNTIF(M577,"RA"),COUNTIF(P577,"RA"),COUNTIF(S577,"RA"),COUNTIF(V577,"RA"),COUNTIF(Y577,"RA"),COUNTIF(AB577,"RA"))&gt;0,"FAIL","PASS")</f>
        <v>PASS</v>
      </c>
    </row>
    <row r="578" customFormat="false" ht="15" hidden="false" customHeight="false" outlineLevel="0" collapsed="false">
      <c r="A578" s="2" t="n">
        <v>577</v>
      </c>
      <c r="B578" s="3" t="s">
        <v>3288</v>
      </c>
      <c r="C578" s="2" t="s">
        <v>783</v>
      </c>
      <c r="D578" s="2" t="s">
        <v>3289</v>
      </c>
      <c r="E578" s="2" t="s">
        <v>35</v>
      </c>
      <c r="F578" s="2" t="s">
        <v>36</v>
      </c>
      <c r="G578" s="2" t="s">
        <v>64</v>
      </c>
      <c r="H578" s="2" t="s">
        <v>2754</v>
      </c>
      <c r="I578" s="3" t="s">
        <v>3290</v>
      </c>
      <c r="J578" s="2" t="s">
        <v>3291</v>
      </c>
      <c r="K578" s="2" t="s">
        <v>3292</v>
      </c>
      <c r="L578" s="4" t="n">
        <v>60</v>
      </c>
      <c r="M578" s="4" t="s">
        <v>44</v>
      </c>
      <c r="N578" s="5" t="n">
        <v>60</v>
      </c>
      <c r="O578" s="6" t="n">
        <v>72</v>
      </c>
      <c r="P578" s="6" t="s">
        <v>43</v>
      </c>
      <c r="Q578" s="7" t="n">
        <v>72</v>
      </c>
      <c r="R578" s="8" t="n">
        <v>78</v>
      </c>
      <c r="S578" s="8" t="s">
        <v>43</v>
      </c>
      <c r="T578" s="9" t="n">
        <v>78</v>
      </c>
      <c r="U578" s="10" t="n">
        <v>77</v>
      </c>
      <c r="V578" s="10" t="s">
        <v>43</v>
      </c>
      <c r="W578" s="11" t="n">
        <v>77</v>
      </c>
      <c r="X578" s="12" t="n">
        <v>72</v>
      </c>
      <c r="Y578" s="12" t="s">
        <v>43</v>
      </c>
      <c r="Z578" s="13" t="n">
        <v>72</v>
      </c>
      <c r="AA578" s="14" t="n">
        <v>86</v>
      </c>
      <c r="AB578" s="14" t="s">
        <v>42</v>
      </c>
      <c r="AC578" s="15" t="n">
        <v>86</v>
      </c>
      <c r="AD578" s="2" t="n">
        <f aca="false">SUM(L578,O578,R578,U578,X578,AA578)</f>
        <v>445</v>
      </c>
      <c r="AE578" s="16" t="n">
        <f aca="false">AD578/6</f>
        <v>74.1666666666667</v>
      </c>
      <c r="AF578" s="2" t="str">
        <f aca="false">IF(SUM(COUNTIF(M578,"RA"),COUNTIF(P578,"RA"),COUNTIF(S578,"RA"),COUNTIF(V578,"RA"),COUNTIF(Y578,"RA"),COUNTIF(AB578,"RA"))&gt;0,"FAIL","PASS")</f>
        <v>PASS</v>
      </c>
    </row>
    <row r="579" customFormat="false" ht="15" hidden="false" customHeight="false" outlineLevel="0" collapsed="false">
      <c r="A579" s="2" t="n">
        <v>578</v>
      </c>
      <c r="B579" s="3" t="s">
        <v>3293</v>
      </c>
      <c r="C579" s="2" t="s">
        <v>912</v>
      </c>
      <c r="D579" s="2" t="s">
        <v>3294</v>
      </c>
      <c r="E579" s="2" t="s">
        <v>35</v>
      </c>
      <c r="F579" s="2" t="s">
        <v>36</v>
      </c>
      <c r="G579" s="2" t="s">
        <v>48</v>
      </c>
      <c r="H579" s="2" t="s">
        <v>3295</v>
      </c>
      <c r="I579" s="3" t="s">
        <v>3296</v>
      </c>
      <c r="J579" s="2" t="s">
        <v>3297</v>
      </c>
      <c r="K579" s="2" t="s">
        <v>3298</v>
      </c>
      <c r="L579" s="4" t="n">
        <v>66</v>
      </c>
      <c r="M579" s="4" t="s">
        <v>44</v>
      </c>
      <c r="N579" s="5" t="n">
        <v>66</v>
      </c>
      <c r="O579" s="6" t="n">
        <v>71</v>
      </c>
      <c r="P579" s="6" t="s">
        <v>43</v>
      </c>
      <c r="Q579" s="7" t="n">
        <v>71</v>
      </c>
      <c r="R579" s="8" t="n">
        <v>66</v>
      </c>
      <c r="S579" s="8" t="s">
        <v>44</v>
      </c>
      <c r="T579" s="9" t="n">
        <v>66</v>
      </c>
      <c r="U579" s="10" t="n">
        <v>76</v>
      </c>
      <c r="V579" s="10" t="s">
        <v>43</v>
      </c>
      <c r="W579" s="11" t="n">
        <v>76</v>
      </c>
      <c r="X579" s="12" t="n">
        <v>60</v>
      </c>
      <c r="Y579" s="12" t="s">
        <v>44</v>
      </c>
      <c r="Z579" s="13" t="n">
        <v>60</v>
      </c>
      <c r="AA579" s="14" t="n">
        <v>78</v>
      </c>
      <c r="AB579" s="14" t="s">
        <v>43</v>
      </c>
      <c r="AC579" s="15" t="n">
        <v>78</v>
      </c>
      <c r="AD579" s="2" t="n">
        <f aca="false">SUM(L579,O579,R579,U579,X579,AA579)</f>
        <v>417</v>
      </c>
      <c r="AE579" s="16" t="n">
        <f aca="false">AD579/6</f>
        <v>69.5</v>
      </c>
      <c r="AF579" s="2" t="str">
        <f aca="false">IF(SUM(COUNTIF(M579,"RA"),COUNTIF(P579,"RA"),COUNTIF(S579,"RA"),COUNTIF(V579,"RA"),COUNTIF(Y579,"RA"),COUNTIF(AB579,"RA"))&gt;0,"FAIL","PASS")</f>
        <v>PASS</v>
      </c>
    </row>
    <row r="580" customFormat="false" ht="15" hidden="false" customHeight="false" outlineLevel="0" collapsed="false">
      <c r="A580" s="2" t="n">
        <v>579</v>
      </c>
      <c r="B580" s="3" t="s">
        <v>3299</v>
      </c>
      <c r="C580" s="2" t="s">
        <v>750</v>
      </c>
      <c r="D580" s="2" t="s">
        <v>3300</v>
      </c>
      <c r="E580" s="2" t="s">
        <v>57</v>
      </c>
      <c r="F580" s="2" t="s">
        <v>36</v>
      </c>
      <c r="G580" s="2" t="s">
        <v>78</v>
      </c>
      <c r="H580" s="2" t="s">
        <v>3301</v>
      </c>
      <c r="I580" s="3" t="s">
        <v>1867</v>
      </c>
      <c r="J580" s="2" t="s">
        <v>3302</v>
      </c>
      <c r="K580" s="2" t="s">
        <v>3303</v>
      </c>
      <c r="L580" s="4" t="n">
        <v>96</v>
      </c>
      <c r="M580" s="4" t="s">
        <v>54</v>
      </c>
      <c r="N580" s="5" t="n">
        <v>96</v>
      </c>
      <c r="O580" s="6" t="n">
        <v>65</v>
      </c>
      <c r="P580" s="6" t="s">
        <v>44</v>
      </c>
      <c r="Q580" s="7" t="n">
        <v>65</v>
      </c>
      <c r="R580" s="8" t="n">
        <v>89</v>
      </c>
      <c r="S580" s="8" t="s">
        <v>42</v>
      </c>
      <c r="T580" s="9" t="n">
        <v>89</v>
      </c>
      <c r="U580" s="10" t="n">
        <v>79</v>
      </c>
      <c r="V580" s="10" t="s">
        <v>43</v>
      </c>
      <c r="W580" s="11" t="n">
        <v>79</v>
      </c>
      <c r="X580" s="12" t="n">
        <v>69</v>
      </c>
      <c r="Y580" s="12" t="s">
        <v>44</v>
      </c>
      <c r="Z580" s="13" t="n">
        <v>69</v>
      </c>
      <c r="AA580" s="14" t="n">
        <v>76</v>
      </c>
      <c r="AB580" s="14" t="s">
        <v>43</v>
      </c>
      <c r="AC580" s="15" t="n">
        <v>76</v>
      </c>
      <c r="AD580" s="2" t="n">
        <f aca="false">SUM(L580,O580,R580,U580,X580,AA580)</f>
        <v>474</v>
      </c>
      <c r="AE580" s="16" t="n">
        <f aca="false">AD580/6</f>
        <v>79</v>
      </c>
      <c r="AF580" s="2" t="str">
        <f aca="false">IF(SUM(COUNTIF(M580,"RA"),COUNTIF(P580,"RA"),COUNTIF(S580,"RA"),COUNTIF(V580,"RA"),COUNTIF(Y580,"RA"),COUNTIF(AB580,"RA"))&gt;0,"FAIL","PASS")</f>
        <v>PASS</v>
      </c>
    </row>
    <row r="581" customFormat="false" ht="15" hidden="false" customHeight="false" outlineLevel="0" collapsed="false">
      <c r="A581" s="2" t="n">
        <v>580</v>
      </c>
      <c r="B581" s="3" t="s">
        <v>3304</v>
      </c>
      <c r="C581" s="2" t="s">
        <v>803</v>
      </c>
      <c r="D581" s="2" t="s">
        <v>3305</v>
      </c>
      <c r="E581" s="2" t="s">
        <v>35</v>
      </c>
      <c r="F581" s="2" t="s">
        <v>36</v>
      </c>
      <c r="G581" s="2" t="s">
        <v>42</v>
      </c>
      <c r="H581" s="2" t="s">
        <v>3306</v>
      </c>
      <c r="I581" s="3" t="s">
        <v>2612</v>
      </c>
      <c r="J581" s="2" t="s">
        <v>3307</v>
      </c>
      <c r="K581" s="2" t="s">
        <v>3308</v>
      </c>
      <c r="L581" s="4" t="n">
        <v>74</v>
      </c>
      <c r="M581" s="4" t="s">
        <v>43</v>
      </c>
      <c r="N581" s="5" t="n">
        <v>74</v>
      </c>
      <c r="O581" s="6" t="n">
        <v>50</v>
      </c>
      <c r="P581" s="6" t="s">
        <v>53</v>
      </c>
      <c r="Q581" s="7" t="n">
        <v>50</v>
      </c>
      <c r="R581" s="8" t="n">
        <v>76</v>
      </c>
      <c r="S581" s="8" t="s">
        <v>43</v>
      </c>
      <c r="T581" s="9" t="n">
        <v>76</v>
      </c>
      <c r="U581" s="10" t="n">
        <v>94</v>
      </c>
      <c r="V581" s="10" t="s">
        <v>54</v>
      </c>
      <c r="W581" s="11" t="n">
        <v>94</v>
      </c>
      <c r="X581" s="12" t="n">
        <v>75</v>
      </c>
      <c r="Y581" s="12" t="s">
        <v>43</v>
      </c>
      <c r="Z581" s="13" t="n">
        <v>75</v>
      </c>
      <c r="AA581" s="14" t="n">
        <v>89</v>
      </c>
      <c r="AB581" s="14" t="s">
        <v>42</v>
      </c>
      <c r="AC581" s="15" t="n">
        <v>89</v>
      </c>
      <c r="AD581" s="2" t="n">
        <f aca="false">SUM(L581,O581,R581,U581,X581,AA581)</f>
        <v>458</v>
      </c>
      <c r="AE581" s="16" t="n">
        <f aca="false">AD581/6</f>
        <v>76.3333333333333</v>
      </c>
      <c r="AF581" s="2" t="str">
        <f aca="false">IF(SUM(COUNTIF(M581,"RA"),COUNTIF(P581,"RA"),COUNTIF(S581,"RA"),COUNTIF(V581,"RA"),COUNTIF(Y581,"RA"),COUNTIF(AB581,"RA"))&gt;0,"FAIL","PASS")</f>
        <v>PASS</v>
      </c>
    </row>
    <row r="582" customFormat="false" ht="15" hidden="false" customHeight="false" outlineLevel="0" collapsed="false">
      <c r="A582" s="2" t="n">
        <v>581</v>
      </c>
      <c r="B582" s="3" t="s">
        <v>3309</v>
      </c>
      <c r="C582" s="2" t="s">
        <v>790</v>
      </c>
      <c r="D582" s="2" t="s">
        <v>3310</v>
      </c>
      <c r="E582" s="2" t="s">
        <v>35</v>
      </c>
      <c r="F582" s="2" t="s">
        <v>36</v>
      </c>
      <c r="G582" s="2" t="s">
        <v>64</v>
      </c>
      <c r="H582" s="2" t="s">
        <v>3311</v>
      </c>
      <c r="I582" s="3" t="s">
        <v>3312</v>
      </c>
      <c r="J582" s="2" t="s">
        <v>3313</v>
      </c>
      <c r="K582" s="2" t="s">
        <v>3314</v>
      </c>
      <c r="L582" s="4" t="n">
        <v>81</v>
      </c>
      <c r="M582" s="4" t="s">
        <v>42</v>
      </c>
      <c r="N582" s="5" t="n">
        <v>81</v>
      </c>
      <c r="O582" s="6" t="n">
        <v>60</v>
      </c>
      <c r="P582" s="6" t="s">
        <v>44</v>
      </c>
      <c r="Q582" s="7" t="n">
        <v>60</v>
      </c>
      <c r="R582" s="8" t="n">
        <v>83</v>
      </c>
      <c r="S582" s="8" t="s">
        <v>42</v>
      </c>
      <c r="T582" s="9" t="n">
        <v>83</v>
      </c>
      <c r="U582" s="10" t="n">
        <v>88</v>
      </c>
      <c r="V582" s="10" t="s">
        <v>42</v>
      </c>
      <c r="W582" s="11" t="n">
        <v>88</v>
      </c>
      <c r="X582" s="12" t="n">
        <v>64</v>
      </c>
      <c r="Y582" s="12" t="s">
        <v>44</v>
      </c>
      <c r="Z582" s="13" t="n">
        <v>64</v>
      </c>
      <c r="AA582" s="14" t="n">
        <v>79</v>
      </c>
      <c r="AB582" s="14" t="s">
        <v>43</v>
      </c>
      <c r="AC582" s="15" t="n">
        <v>79</v>
      </c>
      <c r="AD582" s="2" t="n">
        <f aca="false">SUM(L582,O582,R582,U582,X582,AA582)</f>
        <v>455</v>
      </c>
      <c r="AE582" s="16" t="n">
        <f aca="false">AD582/6</f>
        <v>75.8333333333333</v>
      </c>
      <c r="AF582" s="2" t="str">
        <f aca="false">IF(SUM(COUNTIF(M582,"RA"),COUNTIF(P582,"RA"),COUNTIF(S582,"RA"),COUNTIF(V582,"RA"),COUNTIF(Y582,"RA"),COUNTIF(AB582,"RA"))&gt;0,"FAIL","PASS")</f>
        <v>PASS</v>
      </c>
    </row>
    <row r="583" customFormat="false" ht="15" hidden="false" customHeight="false" outlineLevel="0" collapsed="false">
      <c r="A583" s="2" t="n">
        <v>582</v>
      </c>
      <c r="B583" s="3" t="s">
        <v>3315</v>
      </c>
      <c r="C583" s="2" t="s">
        <v>790</v>
      </c>
      <c r="D583" s="2" t="s">
        <v>3316</v>
      </c>
      <c r="E583" s="2" t="s">
        <v>57</v>
      </c>
      <c r="F583" s="2" t="s">
        <v>36</v>
      </c>
      <c r="G583" s="2" t="s">
        <v>42</v>
      </c>
      <c r="H583" s="2" t="s">
        <v>3317</v>
      </c>
      <c r="I583" s="3" t="s">
        <v>3318</v>
      </c>
      <c r="J583" s="2" t="s">
        <v>3319</v>
      </c>
      <c r="K583" s="2" t="s">
        <v>3320</v>
      </c>
      <c r="L583" s="4" t="n">
        <v>100</v>
      </c>
      <c r="M583" s="4" t="s">
        <v>54</v>
      </c>
      <c r="N583" s="5" t="n">
        <v>100</v>
      </c>
      <c r="O583" s="6" t="n">
        <v>86</v>
      </c>
      <c r="P583" s="6" t="s">
        <v>42</v>
      </c>
      <c r="Q583" s="7" t="n">
        <v>86</v>
      </c>
      <c r="R583" s="8" t="n">
        <v>99</v>
      </c>
      <c r="S583" s="8" t="s">
        <v>54</v>
      </c>
      <c r="T583" s="9" t="n">
        <v>99</v>
      </c>
      <c r="U583" s="10" t="n">
        <v>71</v>
      </c>
      <c r="V583" s="10" t="s">
        <v>43</v>
      </c>
      <c r="W583" s="11" t="n">
        <v>71</v>
      </c>
      <c r="X583" s="12" t="n">
        <v>90</v>
      </c>
      <c r="Y583" s="12" t="s">
        <v>54</v>
      </c>
      <c r="Z583" s="13" t="n">
        <v>90</v>
      </c>
      <c r="AA583" s="14" t="n">
        <v>82</v>
      </c>
      <c r="AB583" s="14" t="s">
        <v>42</v>
      </c>
      <c r="AC583" s="15" t="n">
        <v>82</v>
      </c>
      <c r="AD583" s="2" t="n">
        <f aca="false">SUM(L583,O583,R583,U583,X583,AA583)</f>
        <v>528</v>
      </c>
      <c r="AE583" s="16" t="n">
        <f aca="false">AD583/6</f>
        <v>88</v>
      </c>
      <c r="AF583" s="2" t="str">
        <f aca="false">IF(SUM(COUNTIF(M583,"RA"),COUNTIF(P583,"RA"),COUNTIF(S583,"RA"),COUNTIF(V583,"RA"),COUNTIF(Y583,"RA"),COUNTIF(AB583,"RA"))&gt;0,"FAIL","PASS")</f>
        <v>PASS</v>
      </c>
    </row>
    <row r="584" customFormat="false" ht="15" hidden="false" customHeight="false" outlineLevel="0" collapsed="false">
      <c r="A584" s="2" t="n">
        <v>583</v>
      </c>
      <c r="B584" s="3" t="s">
        <v>3321</v>
      </c>
      <c r="C584" s="2" t="s">
        <v>912</v>
      </c>
      <c r="D584" s="2" t="s">
        <v>3322</v>
      </c>
      <c r="E584" s="2" t="s">
        <v>57</v>
      </c>
      <c r="F584" s="2" t="s">
        <v>36</v>
      </c>
      <c r="G584" s="2" t="s">
        <v>91</v>
      </c>
      <c r="H584" s="2" t="s">
        <v>3323</v>
      </c>
      <c r="I584" s="3" t="s">
        <v>3324</v>
      </c>
      <c r="J584" s="2" t="s">
        <v>3325</v>
      </c>
      <c r="K584" s="2" t="s">
        <v>3326</v>
      </c>
      <c r="L584" s="4" t="n">
        <v>61</v>
      </c>
      <c r="M584" s="4" t="s">
        <v>44</v>
      </c>
      <c r="N584" s="5" t="n">
        <v>61</v>
      </c>
      <c r="O584" s="6" t="n">
        <v>40</v>
      </c>
      <c r="P584" s="6" t="s">
        <v>45</v>
      </c>
      <c r="Q584" s="7" t="n">
        <v>40</v>
      </c>
      <c r="R584" s="8" t="n">
        <v>76</v>
      </c>
      <c r="S584" s="8" t="s">
        <v>43</v>
      </c>
      <c r="T584" s="9" t="n">
        <v>76</v>
      </c>
      <c r="U584" s="10" t="n">
        <v>84</v>
      </c>
      <c r="V584" s="10" t="s">
        <v>42</v>
      </c>
      <c r="W584" s="11" t="n">
        <v>84</v>
      </c>
      <c r="X584" s="12" t="n">
        <v>81</v>
      </c>
      <c r="Y584" s="12" t="s">
        <v>42</v>
      </c>
      <c r="Z584" s="13" t="n">
        <v>81</v>
      </c>
      <c r="AA584" s="14" t="n">
        <v>81</v>
      </c>
      <c r="AB584" s="14" t="s">
        <v>42</v>
      </c>
      <c r="AC584" s="15" t="n">
        <v>81</v>
      </c>
      <c r="AD584" s="2" t="n">
        <f aca="false">SUM(L584,O584,R584,U584,X584,AA584)</f>
        <v>423</v>
      </c>
      <c r="AE584" s="16" t="n">
        <f aca="false">AD584/6</f>
        <v>70.5</v>
      </c>
      <c r="AF584" s="2" t="str">
        <f aca="false">IF(SUM(COUNTIF(M584,"RA"),COUNTIF(P584,"RA"),COUNTIF(S584,"RA"),COUNTIF(V584,"RA"),COUNTIF(Y584,"RA"),COUNTIF(AB584,"RA"))&gt;0,"FAIL","PASS")</f>
        <v>FAIL</v>
      </c>
    </row>
    <row r="585" customFormat="false" ht="15" hidden="false" customHeight="false" outlineLevel="0" collapsed="false">
      <c r="A585" s="2" t="n">
        <v>584</v>
      </c>
      <c r="B585" s="3" t="s">
        <v>3327</v>
      </c>
      <c r="C585" s="2" t="s">
        <v>912</v>
      </c>
      <c r="D585" s="2" t="s">
        <v>3328</v>
      </c>
      <c r="E585" s="2" t="s">
        <v>35</v>
      </c>
      <c r="F585" s="2" t="s">
        <v>36</v>
      </c>
      <c r="G585" s="2" t="s">
        <v>37</v>
      </c>
      <c r="H585" s="2" t="s">
        <v>3329</v>
      </c>
      <c r="I585" s="3" t="s">
        <v>654</v>
      </c>
      <c r="J585" s="2" t="s">
        <v>3330</v>
      </c>
      <c r="K585" s="2" t="s">
        <v>3331</v>
      </c>
      <c r="L585" s="4" t="n">
        <v>77</v>
      </c>
      <c r="M585" s="4" t="s">
        <v>43</v>
      </c>
      <c r="N585" s="5" t="n">
        <v>77</v>
      </c>
      <c r="O585" s="6" t="n">
        <v>74</v>
      </c>
      <c r="P585" s="6" t="s">
        <v>43</v>
      </c>
      <c r="Q585" s="7" t="n">
        <v>74</v>
      </c>
      <c r="R585" s="8" t="n">
        <v>94</v>
      </c>
      <c r="S585" s="8" t="s">
        <v>54</v>
      </c>
      <c r="T585" s="9" t="n">
        <v>94</v>
      </c>
      <c r="U585" s="10" t="n">
        <v>78</v>
      </c>
      <c r="V585" s="10" t="s">
        <v>43</v>
      </c>
      <c r="W585" s="11" t="n">
        <v>78</v>
      </c>
      <c r="X585" s="12" t="n">
        <v>97</v>
      </c>
      <c r="Y585" s="12" t="s">
        <v>54</v>
      </c>
      <c r="Z585" s="13" t="n">
        <v>97</v>
      </c>
      <c r="AA585" s="14" t="n">
        <v>60</v>
      </c>
      <c r="AB585" s="14" t="s">
        <v>44</v>
      </c>
      <c r="AC585" s="15" t="n">
        <v>60</v>
      </c>
      <c r="AD585" s="2" t="n">
        <f aca="false">SUM(L585,O585,R585,U585,X585,AA585)</f>
        <v>480</v>
      </c>
      <c r="AE585" s="16" t="n">
        <f aca="false">AD585/6</f>
        <v>80</v>
      </c>
      <c r="AF585" s="2" t="str">
        <f aca="false">IF(SUM(COUNTIF(M585,"RA"),COUNTIF(P585,"RA"),COUNTIF(S585,"RA"),COUNTIF(V585,"RA"),COUNTIF(Y585,"RA"),COUNTIF(AB585,"RA"))&gt;0,"FAIL","PASS")</f>
        <v>PASS</v>
      </c>
    </row>
    <row r="586" customFormat="false" ht="15" hidden="false" customHeight="false" outlineLevel="0" collapsed="false">
      <c r="A586" s="2" t="n">
        <v>585</v>
      </c>
      <c r="B586" s="3" t="s">
        <v>3332</v>
      </c>
      <c r="C586" s="2" t="s">
        <v>783</v>
      </c>
      <c r="D586" s="2" t="s">
        <v>3333</v>
      </c>
      <c r="E586" s="2" t="s">
        <v>35</v>
      </c>
      <c r="F586" s="2" t="s">
        <v>36</v>
      </c>
      <c r="G586" s="2" t="s">
        <v>64</v>
      </c>
      <c r="H586" s="2" t="s">
        <v>1601</v>
      </c>
      <c r="I586" s="3" t="s">
        <v>2006</v>
      </c>
      <c r="J586" s="2" t="s">
        <v>3334</v>
      </c>
      <c r="K586" s="2" t="s">
        <v>3335</v>
      </c>
      <c r="L586" s="4" t="n">
        <v>86</v>
      </c>
      <c r="M586" s="4" t="s">
        <v>42</v>
      </c>
      <c r="N586" s="5" t="n">
        <v>86</v>
      </c>
      <c r="O586" s="6" t="n">
        <v>68</v>
      </c>
      <c r="P586" s="6" t="s">
        <v>44</v>
      </c>
      <c r="Q586" s="7" t="n">
        <v>68</v>
      </c>
      <c r="R586" s="8" t="n">
        <v>82</v>
      </c>
      <c r="S586" s="8" t="s">
        <v>42</v>
      </c>
      <c r="T586" s="9" t="n">
        <v>82</v>
      </c>
      <c r="U586" s="10" t="n">
        <v>94</v>
      </c>
      <c r="V586" s="10" t="s">
        <v>54</v>
      </c>
      <c r="W586" s="11" t="n">
        <v>94</v>
      </c>
      <c r="X586" s="12" t="n">
        <v>77</v>
      </c>
      <c r="Y586" s="12" t="s">
        <v>43</v>
      </c>
      <c r="Z586" s="13" t="n">
        <v>77</v>
      </c>
      <c r="AA586" s="14" t="n">
        <v>72</v>
      </c>
      <c r="AB586" s="14" t="s">
        <v>43</v>
      </c>
      <c r="AC586" s="15" t="n">
        <v>72</v>
      </c>
      <c r="AD586" s="2" t="n">
        <f aca="false">SUM(L586,O586,R586,U586,X586,AA586)</f>
        <v>479</v>
      </c>
      <c r="AE586" s="16" t="n">
        <f aca="false">AD586/6</f>
        <v>79.8333333333333</v>
      </c>
      <c r="AF586" s="2" t="str">
        <f aca="false">IF(SUM(COUNTIF(M586,"RA"),COUNTIF(P586,"RA"),COUNTIF(S586,"RA"),COUNTIF(V586,"RA"),COUNTIF(Y586,"RA"),COUNTIF(AB586,"RA"))&gt;0,"FAIL","PASS")</f>
        <v>PASS</v>
      </c>
    </row>
    <row r="587" customFormat="false" ht="15" hidden="false" customHeight="false" outlineLevel="0" collapsed="false">
      <c r="A587" s="2" t="n">
        <v>586</v>
      </c>
      <c r="B587" s="3" t="s">
        <v>3336</v>
      </c>
      <c r="C587" s="2" t="s">
        <v>770</v>
      </c>
      <c r="D587" s="2" t="s">
        <v>3337</v>
      </c>
      <c r="E587" s="2" t="s">
        <v>35</v>
      </c>
      <c r="F587" s="2" t="s">
        <v>36</v>
      </c>
      <c r="G587" s="2" t="s">
        <v>44</v>
      </c>
      <c r="H587" s="2" t="s">
        <v>3338</v>
      </c>
      <c r="I587" s="3" t="s">
        <v>2721</v>
      </c>
      <c r="J587" s="2" t="s">
        <v>3339</v>
      </c>
      <c r="K587" s="2" t="s">
        <v>3340</v>
      </c>
      <c r="L587" s="4" t="n">
        <v>42</v>
      </c>
      <c r="M587" s="4" t="s">
        <v>45</v>
      </c>
      <c r="N587" s="5" t="n">
        <v>42</v>
      </c>
      <c r="O587" s="6" t="n">
        <v>40</v>
      </c>
      <c r="P587" s="6" t="s">
        <v>45</v>
      </c>
      <c r="Q587" s="7" t="n">
        <v>40</v>
      </c>
      <c r="R587" s="8" t="n">
        <v>49</v>
      </c>
      <c r="S587" s="8" t="s">
        <v>45</v>
      </c>
      <c r="T587" s="9" t="n">
        <v>49</v>
      </c>
      <c r="U587" s="10" t="n">
        <v>91</v>
      </c>
      <c r="V587" s="10" t="s">
        <v>54</v>
      </c>
      <c r="W587" s="11" t="n">
        <v>91</v>
      </c>
      <c r="X587" s="12" t="n">
        <v>55</v>
      </c>
      <c r="Y587" s="12" t="s">
        <v>53</v>
      </c>
      <c r="Z587" s="13" t="n">
        <v>55</v>
      </c>
      <c r="AA587" s="14" t="n">
        <v>75</v>
      </c>
      <c r="AB587" s="14" t="s">
        <v>43</v>
      </c>
      <c r="AC587" s="15" t="n">
        <v>75</v>
      </c>
      <c r="AD587" s="2" t="n">
        <f aca="false">SUM(L587,O587,R587,U587,X587,AA587)</f>
        <v>352</v>
      </c>
      <c r="AE587" s="16" t="n">
        <f aca="false">AD587/6</f>
        <v>58.6666666666667</v>
      </c>
      <c r="AF587" s="2" t="str">
        <f aca="false">IF(SUM(COUNTIF(M587,"RA"),COUNTIF(P587,"RA"),COUNTIF(S587,"RA"),COUNTIF(V587,"RA"),COUNTIF(Y587,"RA"),COUNTIF(AB587,"RA"))&gt;0,"FAIL","PASS")</f>
        <v>FAIL</v>
      </c>
    </row>
    <row r="588" customFormat="false" ht="15" hidden="false" customHeight="false" outlineLevel="0" collapsed="false">
      <c r="A588" s="2" t="n">
        <v>587</v>
      </c>
      <c r="B588" s="3" t="s">
        <v>3341</v>
      </c>
      <c r="C588" s="2" t="s">
        <v>770</v>
      </c>
      <c r="D588" s="2" t="s">
        <v>3342</v>
      </c>
      <c r="E588" s="2" t="s">
        <v>35</v>
      </c>
      <c r="F588" s="2" t="s">
        <v>36</v>
      </c>
      <c r="G588" s="2" t="s">
        <v>91</v>
      </c>
      <c r="H588" s="2" t="s">
        <v>1248</v>
      </c>
      <c r="I588" s="3" t="s">
        <v>1861</v>
      </c>
      <c r="J588" s="2" t="s">
        <v>3343</v>
      </c>
      <c r="K588" s="2" t="s">
        <v>3344</v>
      </c>
      <c r="L588" s="4" t="n">
        <v>95</v>
      </c>
      <c r="M588" s="4" t="s">
        <v>54</v>
      </c>
      <c r="N588" s="5" t="n">
        <v>95</v>
      </c>
      <c r="O588" s="6" t="n">
        <v>64</v>
      </c>
      <c r="P588" s="6" t="s">
        <v>44</v>
      </c>
      <c r="Q588" s="7" t="n">
        <v>64</v>
      </c>
      <c r="R588" s="8" t="n">
        <v>49</v>
      </c>
      <c r="S588" s="8" t="s">
        <v>45</v>
      </c>
      <c r="T588" s="9" t="n">
        <v>49</v>
      </c>
      <c r="U588" s="10" t="n">
        <v>85</v>
      </c>
      <c r="V588" s="10" t="s">
        <v>42</v>
      </c>
      <c r="W588" s="11" t="n">
        <v>85</v>
      </c>
      <c r="X588" s="12" t="n">
        <v>74</v>
      </c>
      <c r="Y588" s="12" t="s">
        <v>43</v>
      </c>
      <c r="Z588" s="13" t="n">
        <v>74</v>
      </c>
      <c r="AA588" s="14" t="n">
        <v>61</v>
      </c>
      <c r="AB588" s="14" t="s">
        <v>44</v>
      </c>
      <c r="AC588" s="15" t="n">
        <v>61</v>
      </c>
      <c r="AD588" s="2" t="n">
        <f aca="false">SUM(L588,O588,R588,U588,X588,AA588)</f>
        <v>428</v>
      </c>
      <c r="AE588" s="16" t="n">
        <f aca="false">AD588/6</f>
        <v>71.3333333333333</v>
      </c>
      <c r="AF588" s="2" t="str">
        <f aca="false">IF(SUM(COUNTIF(M588,"RA"),COUNTIF(P588,"RA"),COUNTIF(S588,"RA"),COUNTIF(V588,"RA"),COUNTIF(Y588,"RA"),COUNTIF(AB588,"RA"))&gt;0,"FAIL","PASS")</f>
        <v>FAIL</v>
      </c>
    </row>
    <row r="589" customFormat="false" ht="15" hidden="false" customHeight="false" outlineLevel="0" collapsed="false">
      <c r="A589" s="2" t="n">
        <v>588</v>
      </c>
      <c r="B589" s="3" t="s">
        <v>3345</v>
      </c>
      <c r="C589" s="2" t="s">
        <v>803</v>
      </c>
      <c r="D589" s="2" t="s">
        <v>3346</v>
      </c>
      <c r="E589" s="2" t="s">
        <v>35</v>
      </c>
      <c r="F589" s="2" t="s">
        <v>36</v>
      </c>
      <c r="G589" s="2" t="s">
        <v>37</v>
      </c>
      <c r="H589" s="2" t="s">
        <v>3347</v>
      </c>
      <c r="I589" s="3" t="s">
        <v>1802</v>
      </c>
      <c r="J589" s="2" t="s">
        <v>3348</v>
      </c>
      <c r="K589" s="2" t="s">
        <v>3349</v>
      </c>
      <c r="L589" s="4" t="n">
        <v>69</v>
      </c>
      <c r="M589" s="4" t="s">
        <v>44</v>
      </c>
      <c r="N589" s="5" t="n">
        <v>69</v>
      </c>
      <c r="O589" s="6" t="n">
        <v>51</v>
      </c>
      <c r="P589" s="6" t="s">
        <v>53</v>
      </c>
      <c r="Q589" s="7" t="n">
        <v>51</v>
      </c>
      <c r="R589" s="8" t="n">
        <v>82</v>
      </c>
      <c r="S589" s="8" t="s">
        <v>42</v>
      </c>
      <c r="T589" s="9" t="n">
        <v>82</v>
      </c>
      <c r="U589" s="10" t="n">
        <v>71</v>
      </c>
      <c r="V589" s="10" t="s">
        <v>43</v>
      </c>
      <c r="W589" s="11" t="n">
        <v>71</v>
      </c>
      <c r="X589" s="12" t="n">
        <v>63</v>
      </c>
      <c r="Y589" s="12" t="s">
        <v>44</v>
      </c>
      <c r="Z589" s="13" t="n">
        <v>63</v>
      </c>
      <c r="AA589" s="14" t="n">
        <v>74</v>
      </c>
      <c r="AB589" s="14" t="s">
        <v>43</v>
      </c>
      <c r="AC589" s="15" t="n">
        <v>74</v>
      </c>
      <c r="AD589" s="2" t="n">
        <f aca="false">SUM(L589,O589,R589,U589,X589,AA589)</f>
        <v>410</v>
      </c>
      <c r="AE589" s="16" t="n">
        <f aca="false">AD589/6</f>
        <v>68.3333333333333</v>
      </c>
      <c r="AF589" s="2" t="str">
        <f aca="false">IF(SUM(COUNTIF(M589,"RA"),COUNTIF(P589,"RA"),COUNTIF(S589,"RA"),COUNTIF(V589,"RA"),COUNTIF(Y589,"RA"),COUNTIF(AB589,"RA"))&gt;0,"FAIL","PASS")</f>
        <v>PASS</v>
      </c>
    </row>
    <row r="590" customFormat="false" ht="15" hidden="false" customHeight="false" outlineLevel="0" collapsed="false">
      <c r="A590" s="2" t="n">
        <v>589</v>
      </c>
      <c r="B590" s="3" t="s">
        <v>3350</v>
      </c>
      <c r="C590" s="2" t="s">
        <v>859</v>
      </c>
      <c r="D590" s="2" t="s">
        <v>3351</v>
      </c>
      <c r="E590" s="2" t="s">
        <v>35</v>
      </c>
      <c r="F590" s="2" t="s">
        <v>36</v>
      </c>
      <c r="G590" s="2" t="s">
        <v>71</v>
      </c>
      <c r="H590" s="2" t="s">
        <v>3352</v>
      </c>
      <c r="I590" s="3" t="s">
        <v>3353</v>
      </c>
      <c r="J590" s="2" t="s">
        <v>3354</v>
      </c>
      <c r="K590" s="2" t="s">
        <v>3355</v>
      </c>
      <c r="L590" s="4" t="n">
        <v>75</v>
      </c>
      <c r="M590" s="4" t="s">
        <v>43</v>
      </c>
      <c r="N590" s="5" t="n">
        <v>75</v>
      </c>
      <c r="O590" s="6" t="n">
        <v>83</v>
      </c>
      <c r="P590" s="6" t="s">
        <v>42</v>
      </c>
      <c r="Q590" s="7" t="n">
        <v>83</v>
      </c>
      <c r="R590" s="8" t="n">
        <v>74</v>
      </c>
      <c r="S590" s="8" t="s">
        <v>43</v>
      </c>
      <c r="T590" s="9" t="n">
        <v>74</v>
      </c>
      <c r="U590" s="10" t="n">
        <v>78</v>
      </c>
      <c r="V590" s="10" t="s">
        <v>43</v>
      </c>
      <c r="W590" s="11" t="n">
        <v>78</v>
      </c>
      <c r="X590" s="12" t="n">
        <v>74</v>
      </c>
      <c r="Y590" s="12" t="s">
        <v>43</v>
      </c>
      <c r="Z590" s="13" t="n">
        <v>74</v>
      </c>
      <c r="AA590" s="14" t="n">
        <v>71</v>
      </c>
      <c r="AB590" s="14" t="s">
        <v>43</v>
      </c>
      <c r="AC590" s="15" t="n">
        <v>71</v>
      </c>
      <c r="AD590" s="2" t="n">
        <f aca="false">SUM(L590,O590,R590,U590,X590,AA590)</f>
        <v>455</v>
      </c>
      <c r="AE590" s="16" t="n">
        <f aca="false">AD590/6</f>
        <v>75.8333333333333</v>
      </c>
      <c r="AF590" s="2" t="str">
        <f aca="false">IF(SUM(COUNTIF(M590,"RA"),COUNTIF(P590,"RA"),COUNTIF(S590,"RA"),COUNTIF(V590,"RA"),COUNTIF(Y590,"RA"),COUNTIF(AB590,"RA"))&gt;0,"FAIL","PASS")</f>
        <v>PASS</v>
      </c>
    </row>
    <row r="591" customFormat="false" ht="15" hidden="false" customHeight="false" outlineLevel="0" collapsed="false">
      <c r="A591" s="2" t="n">
        <v>590</v>
      </c>
      <c r="B591" s="3" t="s">
        <v>3356</v>
      </c>
      <c r="C591" s="2" t="s">
        <v>750</v>
      </c>
      <c r="D591" s="2" t="s">
        <v>3357</v>
      </c>
      <c r="E591" s="2" t="s">
        <v>57</v>
      </c>
      <c r="F591" s="2" t="s">
        <v>36</v>
      </c>
      <c r="G591" s="2" t="s">
        <v>48</v>
      </c>
      <c r="H591" s="2" t="s">
        <v>3358</v>
      </c>
      <c r="I591" s="3" t="s">
        <v>3359</v>
      </c>
      <c r="J591" s="2" t="s">
        <v>3360</v>
      </c>
      <c r="K591" s="2" t="s">
        <v>3361</v>
      </c>
      <c r="L591" s="4" t="n">
        <v>62</v>
      </c>
      <c r="M591" s="4" t="s">
        <v>44</v>
      </c>
      <c r="N591" s="5" t="n">
        <v>62</v>
      </c>
      <c r="O591" s="6" t="n">
        <v>43</v>
      </c>
      <c r="P591" s="6" t="s">
        <v>45</v>
      </c>
      <c r="Q591" s="7" t="n">
        <v>43</v>
      </c>
      <c r="R591" s="8" t="n">
        <v>85</v>
      </c>
      <c r="S591" s="8" t="s">
        <v>42</v>
      </c>
      <c r="T591" s="9" t="n">
        <v>85</v>
      </c>
      <c r="U591" s="10" t="n">
        <v>86</v>
      </c>
      <c r="V591" s="10" t="s">
        <v>42</v>
      </c>
      <c r="W591" s="11" t="n">
        <v>86</v>
      </c>
      <c r="X591" s="12" t="n">
        <v>86</v>
      </c>
      <c r="Y591" s="12" t="s">
        <v>42</v>
      </c>
      <c r="Z591" s="13" t="n">
        <v>86</v>
      </c>
      <c r="AA591" s="14" t="n">
        <v>76</v>
      </c>
      <c r="AB591" s="14" t="s">
        <v>43</v>
      </c>
      <c r="AC591" s="15" t="n">
        <v>76</v>
      </c>
      <c r="AD591" s="2" t="n">
        <f aca="false">SUM(L591,O591,R591,U591,X591,AA591)</f>
        <v>438</v>
      </c>
      <c r="AE591" s="16" t="n">
        <f aca="false">AD591/6</f>
        <v>73</v>
      </c>
      <c r="AF591" s="2" t="str">
        <f aca="false">IF(SUM(COUNTIF(M591,"RA"),COUNTIF(P591,"RA"),COUNTIF(S591,"RA"),COUNTIF(V591,"RA"),COUNTIF(Y591,"RA"),COUNTIF(AB591,"RA"))&gt;0,"FAIL","PASS")</f>
        <v>FAIL</v>
      </c>
    </row>
    <row r="592" customFormat="false" ht="15" hidden="false" customHeight="false" outlineLevel="0" collapsed="false">
      <c r="A592" s="2" t="n">
        <v>591</v>
      </c>
      <c r="B592" s="3" t="s">
        <v>3362</v>
      </c>
      <c r="C592" s="2" t="s">
        <v>783</v>
      </c>
      <c r="D592" s="2" t="s">
        <v>3363</v>
      </c>
      <c r="E592" s="2" t="s">
        <v>57</v>
      </c>
      <c r="F592" s="2" t="s">
        <v>36</v>
      </c>
      <c r="G592" s="2" t="s">
        <v>71</v>
      </c>
      <c r="H592" s="2" t="s">
        <v>3364</v>
      </c>
      <c r="I592" s="3" t="s">
        <v>2061</v>
      </c>
      <c r="J592" s="2" t="s">
        <v>3365</v>
      </c>
      <c r="K592" s="2" t="s">
        <v>3366</v>
      </c>
      <c r="L592" s="4" t="n">
        <v>79</v>
      </c>
      <c r="M592" s="4" t="s">
        <v>43</v>
      </c>
      <c r="N592" s="5" t="n">
        <v>79</v>
      </c>
      <c r="O592" s="6" t="n">
        <v>86</v>
      </c>
      <c r="P592" s="6" t="s">
        <v>42</v>
      </c>
      <c r="Q592" s="7" t="n">
        <v>86</v>
      </c>
      <c r="R592" s="8" t="n">
        <v>99</v>
      </c>
      <c r="S592" s="8" t="s">
        <v>54</v>
      </c>
      <c r="T592" s="9" t="n">
        <v>99</v>
      </c>
      <c r="U592" s="10" t="n">
        <v>90</v>
      </c>
      <c r="V592" s="10" t="s">
        <v>54</v>
      </c>
      <c r="W592" s="11" t="n">
        <v>90</v>
      </c>
      <c r="X592" s="12" t="n">
        <v>80</v>
      </c>
      <c r="Y592" s="12" t="s">
        <v>42</v>
      </c>
      <c r="Z592" s="13" t="n">
        <v>80</v>
      </c>
      <c r="AA592" s="14" t="n">
        <v>48</v>
      </c>
      <c r="AB592" s="14" t="s">
        <v>45</v>
      </c>
      <c r="AC592" s="15" t="n">
        <v>48</v>
      </c>
      <c r="AD592" s="2" t="n">
        <f aca="false">SUM(L592,O592,R592,U592,X592,AA592)</f>
        <v>482</v>
      </c>
      <c r="AE592" s="16" t="n">
        <f aca="false">AD592/6</f>
        <v>80.3333333333333</v>
      </c>
      <c r="AF592" s="2" t="str">
        <f aca="false">IF(SUM(COUNTIF(M592,"RA"),COUNTIF(P592,"RA"),COUNTIF(S592,"RA"),COUNTIF(V592,"RA"),COUNTIF(Y592,"RA"),COUNTIF(AB592,"RA"))&gt;0,"FAIL","PASS")</f>
        <v>FAIL</v>
      </c>
    </row>
    <row r="593" customFormat="false" ht="15" hidden="false" customHeight="false" outlineLevel="0" collapsed="false">
      <c r="A593" s="2" t="n">
        <v>592</v>
      </c>
      <c r="B593" s="3" t="s">
        <v>3367</v>
      </c>
      <c r="C593" s="2" t="s">
        <v>803</v>
      </c>
      <c r="D593" s="2" t="s">
        <v>3368</v>
      </c>
      <c r="E593" s="2" t="s">
        <v>35</v>
      </c>
      <c r="F593" s="2" t="s">
        <v>36</v>
      </c>
      <c r="G593" s="2" t="s">
        <v>44</v>
      </c>
      <c r="H593" s="2" t="s">
        <v>1432</v>
      </c>
      <c r="I593" s="3" t="s">
        <v>3369</v>
      </c>
      <c r="J593" s="2" t="s">
        <v>3370</v>
      </c>
      <c r="K593" s="2" t="s">
        <v>3371</v>
      </c>
      <c r="L593" s="4" t="n">
        <v>89</v>
      </c>
      <c r="M593" s="4" t="s">
        <v>42</v>
      </c>
      <c r="N593" s="5" t="n">
        <v>89</v>
      </c>
      <c r="O593" s="6" t="n">
        <v>44</v>
      </c>
      <c r="P593" s="6" t="s">
        <v>45</v>
      </c>
      <c r="Q593" s="7" t="n">
        <v>44</v>
      </c>
      <c r="R593" s="8" t="n">
        <v>66</v>
      </c>
      <c r="S593" s="8" t="s">
        <v>44</v>
      </c>
      <c r="T593" s="9" t="n">
        <v>66</v>
      </c>
      <c r="U593" s="10" t="n">
        <v>62</v>
      </c>
      <c r="V593" s="10" t="s">
        <v>44</v>
      </c>
      <c r="W593" s="11" t="n">
        <v>62</v>
      </c>
      <c r="X593" s="12" t="n">
        <v>77</v>
      </c>
      <c r="Y593" s="12" t="s">
        <v>43</v>
      </c>
      <c r="Z593" s="13" t="n">
        <v>77</v>
      </c>
      <c r="AA593" s="14" t="n">
        <v>87</v>
      </c>
      <c r="AB593" s="14" t="s">
        <v>42</v>
      </c>
      <c r="AC593" s="15" t="n">
        <v>87</v>
      </c>
      <c r="AD593" s="2" t="n">
        <f aca="false">SUM(L593,O593,R593,U593,X593,AA593)</f>
        <v>425</v>
      </c>
      <c r="AE593" s="16" t="n">
        <f aca="false">AD593/6</f>
        <v>70.8333333333333</v>
      </c>
      <c r="AF593" s="2" t="str">
        <f aca="false">IF(SUM(COUNTIF(M593,"RA"),COUNTIF(P593,"RA"),COUNTIF(S593,"RA"),COUNTIF(V593,"RA"),COUNTIF(Y593,"RA"),COUNTIF(AB593,"RA"))&gt;0,"FAIL","PASS")</f>
        <v>FAIL</v>
      </c>
    </row>
    <row r="594" customFormat="false" ht="15" hidden="false" customHeight="false" outlineLevel="0" collapsed="false">
      <c r="A594" s="2" t="n">
        <v>593</v>
      </c>
      <c r="B594" s="3" t="s">
        <v>3372</v>
      </c>
      <c r="C594" s="2" t="s">
        <v>912</v>
      </c>
      <c r="D594" s="2" t="s">
        <v>3373</v>
      </c>
      <c r="E594" s="2" t="s">
        <v>35</v>
      </c>
      <c r="F594" s="2" t="s">
        <v>36</v>
      </c>
      <c r="G594" s="2" t="s">
        <v>71</v>
      </c>
      <c r="H594" s="2" t="s">
        <v>3374</v>
      </c>
      <c r="I594" s="3" t="s">
        <v>2689</v>
      </c>
      <c r="J594" s="2" t="s">
        <v>3375</v>
      </c>
      <c r="K594" s="2" t="s">
        <v>3376</v>
      </c>
      <c r="L594" s="4" t="n">
        <v>63</v>
      </c>
      <c r="M594" s="4" t="s">
        <v>44</v>
      </c>
      <c r="N594" s="5" t="n">
        <v>63</v>
      </c>
      <c r="O594" s="6" t="n">
        <v>87</v>
      </c>
      <c r="P594" s="6" t="s">
        <v>42</v>
      </c>
      <c r="Q594" s="7" t="n">
        <v>87</v>
      </c>
      <c r="R594" s="8" t="n">
        <v>87</v>
      </c>
      <c r="S594" s="8" t="s">
        <v>42</v>
      </c>
      <c r="T594" s="9" t="n">
        <v>87</v>
      </c>
      <c r="U594" s="10" t="n">
        <v>40</v>
      </c>
      <c r="V594" s="10" t="s">
        <v>45</v>
      </c>
      <c r="W594" s="11" t="n">
        <v>40</v>
      </c>
      <c r="X594" s="12" t="n">
        <v>96</v>
      </c>
      <c r="Y594" s="12" t="s">
        <v>54</v>
      </c>
      <c r="Z594" s="13" t="n">
        <v>96</v>
      </c>
      <c r="AA594" s="14" t="n">
        <v>56</v>
      </c>
      <c r="AB594" s="14" t="s">
        <v>53</v>
      </c>
      <c r="AC594" s="15" t="n">
        <v>56</v>
      </c>
      <c r="AD594" s="2" t="n">
        <f aca="false">SUM(L594,O594,R594,U594,X594,AA594)</f>
        <v>429</v>
      </c>
      <c r="AE594" s="16" t="n">
        <f aca="false">AD594/6</f>
        <v>71.5</v>
      </c>
      <c r="AF594" s="2" t="str">
        <f aca="false">IF(SUM(COUNTIF(M594,"RA"),COUNTIF(P594,"RA"),COUNTIF(S594,"RA"),COUNTIF(V594,"RA"),COUNTIF(Y594,"RA"),COUNTIF(AB594,"RA"))&gt;0,"FAIL","PASS")</f>
        <v>FAIL</v>
      </c>
    </row>
    <row r="595" customFormat="false" ht="15" hidden="false" customHeight="false" outlineLevel="0" collapsed="false">
      <c r="A595" s="2" t="n">
        <v>594</v>
      </c>
      <c r="B595" s="3" t="s">
        <v>3377</v>
      </c>
      <c r="C595" s="2" t="s">
        <v>750</v>
      </c>
      <c r="D595" s="2" t="s">
        <v>3378</v>
      </c>
      <c r="E595" s="2" t="s">
        <v>57</v>
      </c>
      <c r="F595" s="2" t="s">
        <v>36</v>
      </c>
      <c r="G595" s="2" t="s">
        <v>37</v>
      </c>
      <c r="H595" s="2" t="s">
        <v>490</v>
      </c>
      <c r="I595" s="3" t="s">
        <v>296</v>
      </c>
      <c r="J595" s="2" t="s">
        <v>3379</v>
      </c>
      <c r="K595" s="2" t="s">
        <v>3380</v>
      </c>
      <c r="L595" s="4" t="n">
        <v>56</v>
      </c>
      <c r="M595" s="4" t="s">
        <v>53</v>
      </c>
      <c r="N595" s="5" t="n">
        <v>56</v>
      </c>
      <c r="O595" s="6" t="n">
        <v>68</v>
      </c>
      <c r="P595" s="6" t="s">
        <v>44</v>
      </c>
      <c r="Q595" s="7" t="n">
        <v>68</v>
      </c>
      <c r="R595" s="8" t="n">
        <v>54</v>
      </c>
      <c r="S595" s="8" t="s">
        <v>53</v>
      </c>
      <c r="T595" s="9" t="n">
        <v>54</v>
      </c>
      <c r="U595" s="10" t="n">
        <v>100</v>
      </c>
      <c r="V595" s="10" t="s">
        <v>54</v>
      </c>
      <c r="W595" s="11" t="n">
        <v>100</v>
      </c>
      <c r="X595" s="12" t="n">
        <v>47</v>
      </c>
      <c r="Y595" s="12" t="s">
        <v>45</v>
      </c>
      <c r="Z595" s="13" t="n">
        <v>47</v>
      </c>
      <c r="AA595" s="14" t="n">
        <v>95</v>
      </c>
      <c r="AB595" s="14" t="s">
        <v>54</v>
      </c>
      <c r="AC595" s="15" t="n">
        <v>95</v>
      </c>
      <c r="AD595" s="2" t="n">
        <f aca="false">SUM(L595,O595,R595,U595,X595,AA595)</f>
        <v>420</v>
      </c>
      <c r="AE595" s="16" t="n">
        <f aca="false">AD595/6</f>
        <v>70</v>
      </c>
      <c r="AF595" s="2" t="str">
        <f aca="false">IF(SUM(COUNTIF(M595,"RA"),COUNTIF(P595,"RA"),COUNTIF(S595,"RA"),COUNTIF(V595,"RA"),COUNTIF(Y595,"RA"),COUNTIF(AB595,"RA"))&gt;0,"FAIL","PASS")</f>
        <v>FAIL</v>
      </c>
    </row>
    <row r="596" customFormat="false" ht="15" hidden="false" customHeight="false" outlineLevel="0" collapsed="false">
      <c r="A596" s="2" t="n">
        <v>595</v>
      </c>
      <c r="B596" s="3" t="s">
        <v>3381</v>
      </c>
      <c r="C596" s="2" t="s">
        <v>803</v>
      </c>
      <c r="D596" s="2" t="s">
        <v>3382</v>
      </c>
      <c r="E596" s="2" t="s">
        <v>35</v>
      </c>
      <c r="F596" s="2" t="s">
        <v>36</v>
      </c>
      <c r="G596" s="2" t="s">
        <v>42</v>
      </c>
      <c r="H596" s="2" t="s">
        <v>2288</v>
      </c>
      <c r="I596" s="3" t="s">
        <v>201</v>
      </c>
      <c r="J596" s="2" t="s">
        <v>3383</v>
      </c>
      <c r="K596" s="2" t="s">
        <v>3384</v>
      </c>
      <c r="L596" s="4" t="n">
        <v>62</v>
      </c>
      <c r="M596" s="4" t="s">
        <v>44</v>
      </c>
      <c r="N596" s="5" t="n">
        <v>62</v>
      </c>
      <c r="O596" s="6" t="n">
        <v>71</v>
      </c>
      <c r="P596" s="6" t="s">
        <v>43</v>
      </c>
      <c r="Q596" s="7" t="n">
        <v>71</v>
      </c>
      <c r="R596" s="8" t="n">
        <v>89</v>
      </c>
      <c r="S596" s="8" t="s">
        <v>42</v>
      </c>
      <c r="T596" s="9" t="n">
        <v>89</v>
      </c>
      <c r="U596" s="10" t="n">
        <v>95</v>
      </c>
      <c r="V596" s="10" t="s">
        <v>54</v>
      </c>
      <c r="W596" s="11" t="n">
        <v>95</v>
      </c>
      <c r="X596" s="12" t="n">
        <v>68</v>
      </c>
      <c r="Y596" s="12" t="s">
        <v>44</v>
      </c>
      <c r="Z596" s="13" t="n">
        <v>68</v>
      </c>
      <c r="AA596" s="14" t="n">
        <v>60</v>
      </c>
      <c r="AB596" s="14" t="s">
        <v>44</v>
      </c>
      <c r="AC596" s="15" t="n">
        <v>60</v>
      </c>
      <c r="AD596" s="2" t="n">
        <f aca="false">SUM(L596,O596,R596,U596,X596,AA596)</f>
        <v>445</v>
      </c>
      <c r="AE596" s="16" t="n">
        <f aca="false">AD596/6</f>
        <v>74.1666666666667</v>
      </c>
      <c r="AF596" s="2" t="str">
        <f aca="false">IF(SUM(COUNTIF(M596,"RA"),COUNTIF(P596,"RA"),COUNTIF(S596,"RA"),COUNTIF(V596,"RA"),COUNTIF(Y596,"RA"),COUNTIF(AB596,"RA"))&gt;0,"FAIL","PASS")</f>
        <v>PASS</v>
      </c>
    </row>
    <row r="597" customFormat="false" ht="15" hidden="false" customHeight="false" outlineLevel="0" collapsed="false">
      <c r="A597" s="2" t="n">
        <v>596</v>
      </c>
      <c r="B597" s="3" t="s">
        <v>3385</v>
      </c>
      <c r="C597" s="2" t="s">
        <v>803</v>
      </c>
      <c r="D597" s="2" t="s">
        <v>3386</v>
      </c>
      <c r="E597" s="2" t="s">
        <v>57</v>
      </c>
      <c r="F597" s="2" t="s">
        <v>36</v>
      </c>
      <c r="G597" s="2" t="s">
        <v>37</v>
      </c>
      <c r="H597" s="2" t="s">
        <v>2129</v>
      </c>
      <c r="I597" s="3" t="s">
        <v>3387</v>
      </c>
      <c r="J597" s="2" t="s">
        <v>3388</v>
      </c>
      <c r="K597" s="2" t="s">
        <v>3389</v>
      </c>
      <c r="L597" s="4" t="n">
        <v>78</v>
      </c>
      <c r="M597" s="4" t="s">
        <v>43</v>
      </c>
      <c r="N597" s="5" t="n">
        <v>78</v>
      </c>
      <c r="O597" s="6" t="n">
        <v>91</v>
      </c>
      <c r="P597" s="6" t="s">
        <v>54</v>
      </c>
      <c r="Q597" s="7" t="n">
        <v>91</v>
      </c>
      <c r="R597" s="8" t="n">
        <v>65</v>
      </c>
      <c r="S597" s="8" t="s">
        <v>44</v>
      </c>
      <c r="T597" s="9" t="n">
        <v>65</v>
      </c>
      <c r="U597" s="10" t="n">
        <v>96</v>
      </c>
      <c r="V597" s="10" t="s">
        <v>54</v>
      </c>
      <c r="W597" s="11" t="n">
        <v>96</v>
      </c>
      <c r="X597" s="12" t="n">
        <v>78</v>
      </c>
      <c r="Y597" s="12" t="s">
        <v>43</v>
      </c>
      <c r="Z597" s="13" t="n">
        <v>78</v>
      </c>
      <c r="AA597" s="14" t="n">
        <v>55</v>
      </c>
      <c r="AB597" s="14" t="s">
        <v>53</v>
      </c>
      <c r="AC597" s="15" t="n">
        <v>55</v>
      </c>
      <c r="AD597" s="2" t="n">
        <f aca="false">SUM(L597,O597,R597,U597,X597,AA597)</f>
        <v>463</v>
      </c>
      <c r="AE597" s="16" t="n">
        <f aca="false">AD597/6</f>
        <v>77.1666666666667</v>
      </c>
      <c r="AF597" s="2" t="str">
        <f aca="false">IF(SUM(COUNTIF(M597,"RA"),COUNTIF(P597,"RA"),COUNTIF(S597,"RA"),COUNTIF(V597,"RA"),COUNTIF(Y597,"RA"),COUNTIF(AB597,"RA"))&gt;0,"FAIL","PASS")</f>
        <v>PASS</v>
      </c>
    </row>
    <row r="598" customFormat="false" ht="15" hidden="false" customHeight="false" outlineLevel="0" collapsed="false">
      <c r="A598" s="2" t="n">
        <v>597</v>
      </c>
      <c r="B598" s="3" t="s">
        <v>3390</v>
      </c>
      <c r="C598" s="2" t="s">
        <v>750</v>
      </c>
      <c r="D598" s="2" t="s">
        <v>3391</v>
      </c>
      <c r="E598" s="2" t="s">
        <v>57</v>
      </c>
      <c r="F598" s="2" t="s">
        <v>36</v>
      </c>
      <c r="G598" s="2" t="s">
        <v>71</v>
      </c>
      <c r="H598" s="2" t="s">
        <v>3392</v>
      </c>
      <c r="I598" s="3" t="s">
        <v>3393</v>
      </c>
      <c r="J598" s="2" t="s">
        <v>3394</v>
      </c>
      <c r="K598" s="2" t="s">
        <v>3395</v>
      </c>
      <c r="L598" s="4" t="n">
        <v>99</v>
      </c>
      <c r="M598" s="4" t="s">
        <v>54</v>
      </c>
      <c r="N598" s="5" t="n">
        <v>99</v>
      </c>
      <c r="O598" s="6" t="n">
        <v>98</v>
      </c>
      <c r="P598" s="6" t="s">
        <v>54</v>
      </c>
      <c r="Q598" s="7" t="n">
        <v>98</v>
      </c>
      <c r="R598" s="8" t="n">
        <v>85</v>
      </c>
      <c r="S598" s="8" t="s">
        <v>42</v>
      </c>
      <c r="T598" s="9" t="n">
        <v>85</v>
      </c>
      <c r="U598" s="10" t="n">
        <v>84</v>
      </c>
      <c r="V598" s="10" t="s">
        <v>42</v>
      </c>
      <c r="W598" s="11" t="n">
        <v>84</v>
      </c>
      <c r="X598" s="12" t="n">
        <v>62</v>
      </c>
      <c r="Y598" s="12" t="s">
        <v>44</v>
      </c>
      <c r="Z598" s="13" t="n">
        <v>62</v>
      </c>
      <c r="AA598" s="14" t="n">
        <v>70</v>
      </c>
      <c r="AB598" s="14" t="s">
        <v>43</v>
      </c>
      <c r="AC598" s="15" t="n">
        <v>70</v>
      </c>
      <c r="AD598" s="2" t="n">
        <f aca="false">SUM(L598,O598,R598,U598,X598,AA598)</f>
        <v>498</v>
      </c>
      <c r="AE598" s="16" t="n">
        <f aca="false">AD598/6</f>
        <v>83</v>
      </c>
      <c r="AF598" s="2" t="str">
        <f aca="false">IF(SUM(COUNTIF(M598,"RA"),COUNTIF(P598,"RA"),COUNTIF(S598,"RA"),COUNTIF(V598,"RA"),COUNTIF(Y598,"RA"),COUNTIF(AB598,"RA"))&gt;0,"FAIL","PASS")</f>
        <v>PASS</v>
      </c>
    </row>
    <row r="599" customFormat="false" ht="15" hidden="false" customHeight="false" outlineLevel="0" collapsed="false">
      <c r="A599" s="2" t="n">
        <v>598</v>
      </c>
      <c r="B599" s="3" t="s">
        <v>3396</v>
      </c>
      <c r="C599" s="2" t="s">
        <v>859</v>
      </c>
      <c r="D599" s="2" t="s">
        <v>3397</v>
      </c>
      <c r="E599" s="2" t="s">
        <v>57</v>
      </c>
      <c r="F599" s="2" t="s">
        <v>36</v>
      </c>
      <c r="G599" s="2" t="s">
        <v>78</v>
      </c>
      <c r="H599" s="2" t="s">
        <v>3398</v>
      </c>
      <c r="I599" s="3" t="s">
        <v>3399</v>
      </c>
      <c r="J599" s="2" t="s">
        <v>3400</v>
      </c>
      <c r="K599" s="2" t="s">
        <v>3401</v>
      </c>
      <c r="L599" s="4" t="n">
        <v>78</v>
      </c>
      <c r="M599" s="4" t="s">
        <v>43</v>
      </c>
      <c r="N599" s="5" t="n">
        <v>78</v>
      </c>
      <c r="O599" s="6" t="n">
        <v>92</v>
      </c>
      <c r="P599" s="6" t="s">
        <v>54</v>
      </c>
      <c r="Q599" s="7" t="n">
        <v>92</v>
      </c>
      <c r="R599" s="8" t="n">
        <v>94</v>
      </c>
      <c r="S599" s="8" t="s">
        <v>54</v>
      </c>
      <c r="T599" s="9" t="n">
        <v>94</v>
      </c>
      <c r="U599" s="10" t="n">
        <v>63</v>
      </c>
      <c r="V599" s="10" t="s">
        <v>44</v>
      </c>
      <c r="W599" s="11" t="n">
        <v>63</v>
      </c>
      <c r="X599" s="12" t="n">
        <v>70</v>
      </c>
      <c r="Y599" s="12" t="s">
        <v>43</v>
      </c>
      <c r="Z599" s="13" t="n">
        <v>70</v>
      </c>
      <c r="AA599" s="14" t="n">
        <v>78</v>
      </c>
      <c r="AB599" s="14" t="s">
        <v>43</v>
      </c>
      <c r="AC599" s="15" t="n">
        <v>78</v>
      </c>
      <c r="AD599" s="2" t="n">
        <f aca="false">SUM(L599,O599,R599,U599,X599,AA599)</f>
        <v>475</v>
      </c>
      <c r="AE599" s="16" t="n">
        <f aca="false">AD599/6</f>
        <v>79.1666666666667</v>
      </c>
      <c r="AF599" s="2" t="str">
        <f aca="false">IF(SUM(COUNTIF(M599,"RA"),COUNTIF(P599,"RA"),COUNTIF(S599,"RA"),COUNTIF(V599,"RA"),COUNTIF(Y599,"RA"),COUNTIF(AB599,"RA"))&gt;0,"FAIL","PASS")</f>
        <v>PASS</v>
      </c>
    </row>
    <row r="600" customFormat="false" ht="15" hidden="false" customHeight="false" outlineLevel="0" collapsed="false">
      <c r="A600" s="2" t="n">
        <v>599</v>
      </c>
      <c r="B600" s="3" t="s">
        <v>3402</v>
      </c>
      <c r="C600" s="2" t="s">
        <v>912</v>
      </c>
      <c r="D600" s="2" t="s">
        <v>3403</v>
      </c>
      <c r="E600" s="2" t="s">
        <v>57</v>
      </c>
      <c r="F600" s="2" t="s">
        <v>36</v>
      </c>
      <c r="G600" s="2" t="s">
        <v>44</v>
      </c>
      <c r="H600" s="2" t="s">
        <v>3404</v>
      </c>
      <c r="I600" s="3" t="s">
        <v>3405</v>
      </c>
      <c r="J600" s="2" t="s">
        <v>3406</v>
      </c>
      <c r="K600" s="2" t="s">
        <v>3407</v>
      </c>
      <c r="L600" s="4" t="n">
        <v>92</v>
      </c>
      <c r="M600" s="4" t="s">
        <v>54</v>
      </c>
      <c r="N600" s="5" t="n">
        <v>92</v>
      </c>
      <c r="O600" s="6" t="n">
        <v>75</v>
      </c>
      <c r="P600" s="6" t="s">
        <v>43</v>
      </c>
      <c r="Q600" s="7" t="n">
        <v>75</v>
      </c>
      <c r="R600" s="8" t="n">
        <v>61</v>
      </c>
      <c r="S600" s="8" t="s">
        <v>44</v>
      </c>
      <c r="T600" s="9" t="n">
        <v>61</v>
      </c>
      <c r="U600" s="10" t="n">
        <v>66</v>
      </c>
      <c r="V600" s="10" t="s">
        <v>44</v>
      </c>
      <c r="W600" s="11" t="n">
        <v>66</v>
      </c>
      <c r="X600" s="12" t="n">
        <v>97</v>
      </c>
      <c r="Y600" s="12" t="s">
        <v>54</v>
      </c>
      <c r="Z600" s="13" t="n">
        <v>97</v>
      </c>
      <c r="AA600" s="14" t="n">
        <v>98</v>
      </c>
      <c r="AB600" s="14" t="s">
        <v>54</v>
      </c>
      <c r="AC600" s="15" t="n">
        <v>98</v>
      </c>
      <c r="AD600" s="2" t="n">
        <f aca="false">SUM(L600,O600,R600,U600,X600,AA600)</f>
        <v>489</v>
      </c>
      <c r="AE600" s="16" t="n">
        <f aca="false">AD600/6</f>
        <v>81.5</v>
      </c>
      <c r="AF600" s="2" t="str">
        <f aca="false">IF(SUM(COUNTIF(M600,"RA"),COUNTIF(P600,"RA"),COUNTIF(S600,"RA"),COUNTIF(V600,"RA"),COUNTIF(Y600,"RA"),COUNTIF(AB600,"RA"))&gt;0,"FAIL","PASS")</f>
        <v>PASS</v>
      </c>
    </row>
    <row r="601" customFormat="false" ht="15" hidden="false" customHeight="false" outlineLevel="0" collapsed="false">
      <c r="A601" s="2" t="n">
        <v>600</v>
      </c>
      <c r="B601" s="3" t="s">
        <v>3408</v>
      </c>
      <c r="C601" s="2" t="s">
        <v>912</v>
      </c>
      <c r="D601" s="2" t="s">
        <v>3409</v>
      </c>
      <c r="E601" s="2" t="s">
        <v>57</v>
      </c>
      <c r="F601" s="2" t="s">
        <v>36</v>
      </c>
      <c r="G601" s="2" t="s">
        <v>44</v>
      </c>
      <c r="H601" s="2" t="s">
        <v>3410</v>
      </c>
      <c r="I601" s="3" t="s">
        <v>3411</v>
      </c>
      <c r="J601" s="2" t="s">
        <v>3412</v>
      </c>
      <c r="K601" s="2" t="s">
        <v>3413</v>
      </c>
      <c r="L601" s="4" t="n">
        <v>41</v>
      </c>
      <c r="M601" s="4" t="s">
        <v>45</v>
      </c>
      <c r="N601" s="5" t="n">
        <v>41</v>
      </c>
      <c r="O601" s="6" t="n">
        <v>72</v>
      </c>
      <c r="P601" s="6" t="s">
        <v>43</v>
      </c>
      <c r="Q601" s="7" t="n">
        <v>72</v>
      </c>
      <c r="R601" s="8" t="n">
        <v>53</v>
      </c>
      <c r="S601" s="8" t="s">
        <v>53</v>
      </c>
      <c r="T601" s="9" t="n">
        <v>53</v>
      </c>
      <c r="U601" s="10" t="n">
        <v>77</v>
      </c>
      <c r="V601" s="10" t="s">
        <v>43</v>
      </c>
      <c r="W601" s="11" t="n">
        <v>77</v>
      </c>
      <c r="X601" s="12" t="n">
        <v>45</v>
      </c>
      <c r="Y601" s="12" t="s">
        <v>45</v>
      </c>
      <c r="Z601" s="13" t="n">
        <v>45</v>
      </c>
      <c r="AA601" s="14" t="n">
        <v>57</v>
      </c>
      <c r="AB601" s="14" t="s">
        <v>53</v>
      </c>
      <c r="AC601" s="15" t="n">
        <v>57</v>
      </c>
      <c r="AD601" s="2" t="n">
        <f aca="false">SUM(L601,O601,R601,U601,X601,AA601)</f>
        <v>345</v>
      </c>
      <c r="AE601" s="16" t="n">
        <f aca="false">AD601/6</f>
        <v>57.5</v>
      </c>
      <c r="AF601" s="2" t="str">
        <f aca="false">IF(SUM(COUNTIF(M601,"RA"),COUNTIF(P601,"RA"),COUNTIF(S601,"RA"),COUNTIF(V601,"RA"),COUNTIF(Y601,"RA"),COUNTIF(AB601,"RA"))&gt;0,"FAIL","PASS")</f>
        <v>FAIL</v>
      </c>
    </row>
    <row r="602" customFormat="false" ht="15" hidden="false" customHeight="false" outlineLevel="0" collapsed="false">
      <c r="A602" s="2" t="n">
        <v>601</v>
      </c>
      <c r="B602" s="3" t="s">
        <v>3414</v>
      </c>
      <c r="C602" s="2" t="s">
        <v>750</v>
      </c>
      <c r="D602" s="2" t="s">
        <v>3415</v>
      </c>
      <c r="E602" s="2" t="s">
        <v>35</v>
      </c>
      <c r="F602" s="2" t="s">
        <v>36</v>
      </c>
      <c r="G602" s="2" t="s">
        <v>44</v>
      </c>
      <c r="H602" s="2" t="s">
        <v>3416</v>
      </c>
      <c r="I602" s="3" t="s">
        <v>147</v>
      </c>
      <c r="J602" s="2" t="s">
        <v>3417</v>
      </c>
      <c r="K602" s="2" t="s">
        <v>3418</v>
      </c>
      <c r="L602" s="4" t="n">
        <v>54</v>
      </c>
      <c r="M602" s="4" t="s">
        <v>53</v>
      </c>
      <c r="N602" s="5" t="n">
        <v>54</v>
      </c>
      <c r="O602" s="6" t="n">
        <v>97</v>
      </c>
      <c r="P602" s="6" t="s">
        <v>54</v>
      </c>
      <c r="Q602" s="7" t="n">
        <v>97</v>
      </c>
      <c r="R602" s="8" t="n">
        <v>58</v>
      </c>
      <c r="S602" s="8" t="s">
        <v>53</v>
      </c>
      <c r="T602" s="9" t="n">
        <v>58</v>
      </c>
      <c r="U602" s="10" t="n">
        <v>90</v>
      </c>
      <c r="V602" s="10" t="s">
        <v>54</v>
      </c>
      <c r="W602" s="11" t="n">
        <v>90</v>
      </c>
      <c r="X602" s="12" t="n">
        <v>87</v>
      </c>
      <c r="Y602" s="12" t="s">
        <v>42</v>
      </c>
      <c r="Z602" s="13" t="n">
        <v>87</v>
      </c>
      <c r="AA602" s="14" t="n">
        <v>82</v>
      </c>
      <c r="AB602" s="14" t="s">
        <v>42</v>
      </c>
      <c r="AC602" s="15" t="n">
        <v>82</v>
      </c>
      <c r="AD602" s="2" t="n">
        <f aca="false">SUM(L602,O602,R602,U602,X602,AA602)</f>
        <v>468</v>
      </c>
      <c r="AE602" s="16" t="n">
        <f aca="false">AD602/6</f>
        <v>78</v>
      </c>
      <c r="AF602" s="2" t="str">
        <f aca="false">IF(SUM(COUNTIF(M602,"RA"),COUNTIF(P602,"RA"),COUNTIF(S602,"RA"),COUNTIF(V602,"RA"),COUNTIF(Y602,"RA"),COUNTIF(AB602,"RA"))&gt;0,"FAIL","PASS")</f>
        <v>PASS</v>
      </c>
    </row>
    <row r="603" customFormat="false" ht="15" hidden="false" customHeight="false" outlineLevel="0" collapsed="false">
      <c r="A603" s="2" t="n">
        <v>602</v>
      </c>
      <c r="B603" s="3" t="s">
        <v>3419</v>
      </c>
      <c r="C603" s="2" t="s">
        <v>790</v>
      </c>
      <c r="D603" s="2" t="s">
        <v>3420</v>
      </c>
      <c r="E603" s="2" t="s">
        <v>57</v>
      </c>
      <c r="F603" s="2" t="s">
        <v>36</v>
      </c>
      <c r="G603" s="2" t="s">
        <v>37</v>
      </c>
      <c r="H603" s="2" t="s">
        <v>3421</v>
      </c>
      <c r="I603" s="3" t="s">
        <v>1955</v>
      </c>
      <c r="J603" s="2" t="s">
        <v>3422</v>
      </c>
      <c r="K603" s="2" t="s">
        <v>3423</v>
      </c>
      <c r="L603" s="4" t="n">
        <v>69</v>
      </c>
      <c r="M603" s="4" t="s">
        <v>44</v>
      </c>
      <c r="N603" s="5" t="n">
        <v>69</v>
      </c>
      <c r="O603" s="6" t="n">
        <v>48</v>
      </c>
      <c r="P603" s="6" t="s">
        <v>45</v>
      </c>
      <c r="Q603" s="7" t="n">
        <v>48</v>
      </c>
      <c r="R603" s="8" t="n">
        <v>73</v>
      </c>
      <c r="S603" s="8" t="s">
        <v>43</v>
      </c>
      <c r="T603" s="9" t="n">
        <v>73</v>
      </c>
      <c r="U603" s="10" t="n">
        <v>67</v>
      </c>
      <c r="V603" s="10" t="s">
        <v>44</v>
      </c>
      <c r="W603" s="11" t="n">
        <v>67</v>
      </c>
      <c r="X603" s="12" t="n">
        <v>72</v>
      </c>
      <c r="Y603" s="12" t="s">
        <v>43</v>
      </c>
      <c r="Z603" s="13" t="n">
        <v>72</v>
      </c>
      <c r="AA603" s="14" t="n">
        <v>85</v>
      </c>
      <c r="AB603" s="14" t="s">
        <v>42</v>
      </c>
      <c r="AC603" s="15" t="n">
        <v>85</v>
      </c>
      <c r="AD603" s="2" t="n">
        <f aca="false">SUM(L603,O603,R603,U603,X603,AA603)</f>
        <v>414</v>
      </c>
      <c r="AE603" s="16" t="n">
        <f aca="false">AD603/6</f>
        <v>69</v>
      </c>
      <c r="AF603" s="2" t="str">
        <f aca="false">IF(SUM(COUNTIF(M603,"RA"),COUNTIF(P603,"RA"),COUNTIF(S603,"RA"),COUNTIF(V603,"RA"),COUNTIF(Y603,"RA"),COUNTIF(AB603,"RA"))&gt;0,"FAIL","PASS")</f>
        <v>FAIL</v>
      </c>
    </row>
    <row r="604" customFormat="false" ht="15" hidden="false" customHeight="false" outlineLevel="0" collapsed="false">
      <c r="A604" s="2" t="n">
        <v>603</v>
      </c>
      <c r="B604" s="3" t="s">
        <v>3424</v>
      </c>
      <c r="C604" s="2" t="s">
        <v>790</v>
      </c>
      <c r="D604" s="2" t="s">
        <v>3425</v>
      </c>
      <c r="E604" s="2" t="s">
        <v>57</v>
      </c>
      <c r="F604" s="2" t="s">
        <v>36</v>
      </c>
      <c r="G604" s="2" t="s">
        <v>37</v>
      </c>
      <c r="H604" s="2" t="s">
        <v>3426</v>
      </c>
      <c r="I604" s="3" t="s">
        <v>3427</v>
      </c>
      <c r="J604" s="2" t="s">
        <v>3428</v>
      </c>
      <c r="K604" s="2" t="s">
        <v>3429</v>
      </c>
      <c r="L604" s="4" t="n">
        <v>87</v>
      </c>
      <c r="M604" s="4" t="s">
        <v>42</v>
      </c>
      <c r="N604" s="5" t="n">
        <v>87</v>
      </c>
      <c r="O604" s="6" t="n">
        <v>100</v>
      </c>
      <c r="P604" s="6" t="s">
        <v>54</v>
      </c>
      <c r="Q604" s="7" t="n">
        <v>100</v>
      </c>
      <c r="R604" s="8" t="n">
        <v>60</v>
      </c>
      <c r="S604" s="8" t="s">
        <v>44</v>
      </c>
      <c r="T604" s="9" t="n">
        <v>60</v>
      </c>
      <c r="U604" s="10" t="n">
        <v>68</v>
      </c>
      <c r="V604" s="10" t="s">
        <v>44</v>
      </c>
      <c r="W604" s="11" t="n">
        <v>68</v>
      </c>
      <c r="X604" s="12" t="n">
        <v>85</v>
      </c>
      <c r="Y604" s="12" t="s">
        <v>42</v>
      </c>
      <c r="Z604" s="13" t="n">
        <v>85</v>
      </c>
      <c r="AA604" s="14" t="n">
        <v>61</v>
      </c>
      <c r="AB604" s="14" t="s">
        <v>44</v>
      </c>
      <c r="AC604" s="15" t="n">
        <v>61</v>
      </c>
      <c r="AD604" s="2" t="n">
        <f aca="false">SUM(L604,O604,R604,U604,X604,AA604)</f>
        <v>461</v>
      </c>
      <c r="AE604" s="16" t="n">
        <f aca="false">AD604/6</f>
        <v>76.8333333333333</v>
      </c>
      <c r="AF604" s="2" t="str">
        <f aca="false">IF(SUM(COUNTIF(M604,"RA"),COUNTIF(P604,"RA"),COUNTIF(S604,"RA"),COUNTIF(V604,"RA"),COUNTIF(Y604,"RA"),COUNTIF(AB604,"RA"))&gt;0,"FAIL","PASS")</f>
        <v>PASS</v>
      </c>
    </row>
    <row r="605" customFormat="false" ht="15" hidden="false" customHeight="false" outlineLevel="0" collapsed="false">
      <c r="A605" s="2" t="n">
        <v>604</v>
      </c>
      <c r="B605" s="3" t="s">
        <v>3430</v>
      </c>
      <c r="C605" s="2" t="s">
        <v>859</v>
      </c>
      <c r="D605" s="2" t="s">
        <v>3431</v>
      </c>
      <c r="E605" s="2" t="s">
        <v>57</v>
      </c>
      <c r="F605" s="2" t="s">
        <v>36</v>
      </c>
      <c r="G605" s="2" t="s">
        <v>78</v>
      </c>
      <c r="H605" s="2" t="s">
        <v>1501</v>
      </c>
      <c r="I605" s="3" t="s">
        <v>3432</v>
      </c>
      <c r="J605" s="2" t="s">
        <v>3433</v>
      </c>
      <c r="K605" s="2" t="s">
        <v>3434</v>
      </c>
      <c r="L605" s="4" t="n">
        <v>62</v>
      </c>
      <c r="M605" s="4" t="s">
        <v>44</v>
      </c>
      <c r="N605" s="5" t="n">
        <v>62</v>
      </c>
      <c r="O605" s="6" t="n">
        <v>82</v>
      </c>
      <c r="P605" s="6" t="s">
        <v>42</v>
      </c>
      <c r="Q605" s="7" t="n">
        <v>82</v>
      </c>
      <c r="R605" s="8" t="n">
        <v>73</v>
      </c>
      <c r="S605" s="8" t="s">
        <v>43</v>
      </c>
      <c r="T605" s="9" t="n">
        <v>73</v>
      </c>
      <c r="U605" s="10" t="n">
        <v>63</v>
      </c>
      <c r="V605" s="10" t="s">
        <v>44</v>
      </c>
      <c r="W605" s="11" t="n">
        <v>63</v>
      </c>
      <c r="X605" s="12" t="n">
        <v>69</v>
      </c>
      <c r="Y605" s="12" t="s">
        <v>44</v>
      </c>
      <c r="Z605" s="13" t="n">
        <v>69</v>
      </c>
      <c r="AA605" s="14" t="n">
        <v>61</v>
      </c>
      <c r="AB605" s="14" t="s">
        <v>44</v>
      </c>
      <c r="AC605" s="15" t="n">
        <v>61</v>
      </c>
      <c r="AD605" s="2" t="n">
        <f aca="false">SUM(L605,O605,R605,U605,X605,AA605)</f>
        <v>410</v>
      </c>
      <c r="AE605" s="16" t="n">
        <f aca="false">AD605/6</f>
        <v>68.3333333333333</v>
      </c>
      <c r="AF605" s="2" t="str">
        <f aca="false">IF(SUM(COUNTIF(M605,"RA"),COUNTIF(P605,"RA"),COUNTIF(S605,"RA"),COUNTIF(V605,"RA"),COUNTIF(Y605,"RA"),COUNTIF(AB605,"RA"))&gt;0,"FAIL","PASS")</f>
        <v>PASS</v>
      </c>
    </row>
    <row r="606" customFormat="false" ht="15" hidden="false" customHeight="false" outlineLevel="0" collapsed="false">
      <c r="A606" s="2" t="n">
        <v>605</v>
      </c>
      <c r="B606" s="3" t="s">
        <v>3435</v>
      </c>
      <c r="C606" s="2" t="s">
        <v>803</v>
      </c>
      <c r="D606" s="2" t="s">
        <v>3436</v>
      </c>
      <c r="E606" s="2" t="s">
        <v>57</v>
      </c>
      <c r="F606" s="2" t="s">
        <v>36</v>
      </c>
      <c r="G606" s="2" t="s">
        <v>71</v>
      </c>
      <c r="H606" s="2" t="s">
        <v>3437</v>
      </c>
      <c r="I606" s="3" t="s">
        <v>3438</v>
      </c>
      <c r="J606" s="2" t="s">
        <v>3439</v>
      </c>
      <c r="K606" s="2" t="s">
        <v>3440</v>
      </c>
      <c r="L606" s="4" t="n">
        <v>62</v>
      </c>
      <c r="M606" s="4" t="s">
        <v>44</v>
      </c>
      <c r="N606" s="5" t="n">
        <v>62</v>
      </c>
      <c r="O606" s="6" t="n">
        <v>61</v>
      </c>
      <c r="P606" s="6" t="s">
        <v>44</v>
      </c>
      <c r="Q606" s="7" t="n">
        <v>61</v>
      </c>
      <c r="R606" s="8" t="n">
        <v>75</v>
      </c>
      <c r="S606" s="8" t="s">
        <v>43</v>
      </c>
      <c r="T606" s="9" t="n">
        <v>75</v>
      </c>
      <c r="U606" s="10" t="n">
        <v>100</v>
      </c>
      <c r="V606" s="10" t="s">
        <v>54</v>
      </c>
      <c r="W606" s="11" t="n">
        <v>100</v>
      </c>
      <c r="X606" s="12" t="n">
        <v>73</v>
      </c>
      <c r="Y606" s="12" t="s">
        <v>43</v>
      </c>
      <c r="Z606" s="13" t="n">
        <v>73</v>
      </c>
      <c r="AA606" s="14" t="n">
        <v>54</v>
      </c>
      <c r="AB606" s="14" t="s">
        <v>53</v>
      </c>
      <c r="AC606" s="15" t="n">
        <v>54</v>
      </c>
      <c r="AD606" s="2" t="n">
        <f aca="false">SUM(L606,O606,R606,U606,X606,AA606)</f>
        <v>425</v>
      </c>
      <c r="AE606" s="16" t="n">
        <f aca="false">AD606/6</f>
        <v>70.8333333333333</v>
      </c>
      <c r="AF606" s="2" t="str">
        <f aca="false">IF(SUM(COUNTIF(M606,"RA"),COUNTIF(P606,"RA"),COUNTIF(S606,"RA"),COUNTIF(V606,"RA"),COUNTIF(Y606,"RA"),COUNTIF(AB606,"RA"))&gt;0,"FAIL","PASS")</f>
        <v>PASS</v>
      </c>
    </row>
    <row r="607" customFormat="false" ht="15" hidden="false" customHeight="false" outlineLevel="0" collapsed="false">
      <c r="A607" s="2" t="n">
        <v>606</v>
      </c>
      <c r="B607" s="3" t="s">
        <v>3441</v>
      </c>
      <c r="C607" s="2" t="s">
        <v>912</v>
      </c>
      <c r="D607" s="2" t="s">
        <v>3442</v>
      </c>
      <c r="E607" s="2" t="s">
        <v>35</v>
      </c>
      <c r="F607" s="2" t="s">
        <v>36</v>
      </c>
      <c r="G607" s="2" t="s">
        <v>78</v>
      </c>
      <c r="H607" s="2" t="s">
        <v>3443</v>
      </c>
      <c r="I607" s="3" t="s">
        <v>3444</v>
      </c>
      <c r="J607" s="2" t="s">
        <v>3445</v>
      </c>
      <c r="K607" s="2" t="s">
        <v>3446</v>
      </c>
      <c r="L607" s="4" t="n">
        <v>62</v>
      </c>
      <c r="M607" s="4" t="s">
        <v>44</v>
      </c>
      <c r="N607" s="5" t="n">
        <v>62</v>
      </c>
      <c r="O607" s="6" t="n">
        <v>80</v>
      </c>
      <c r="P607" s="6" t="s">
        <v>42</v>
      </c>
      <c r="Q607" s="7" t="n">
        <v>80</v>
      </c>
      <c r="R607" s="8" t="n">
        <v>78</v>
      </c>
      <c r="S607" s="8" t="s">
        <v>43</v>
      </c>
      <c r="T607" s="9" t="n">
        <v>78</v>
      </c>
      <c r="U607" s="10" t="n">
        <v>80</v>
      </c>
      <c r="V607" s="10" t="s">
        <v>42</v>
      </c>
      <c r="W607" s="11" t="n">
        <v>80</v>
      </c>
      <c r="X607" s="12" t="n">
        <v>76</v>
      </c>
      <c r="Y607" s="12" t="s">
        <v>43</v>
      </c>
      <c r="Z607" s="13" t="n">
        <v>76</v>
      </c>
      <c r="AA607" s="14" t="n">
        <v>67</v>
      </c>
      <c r="AB607" s="14" t="s">
        <v>44</v>
      </c>
      <c r="AC607" s="15" t="n">
        <v>67</v>
      </c>
      <c r="AD607" s="2" t="n">
        <f aca="false">SUM(L607,O607,R607,U607,X607,AA607)</f>
        <v>443</v>
      </c>
      <c r="AE607" s="16" t="n">
        <f aca="false">AD607/6</f>
        <v>73.8333333333333</v>
      </c>
      <c r="AF607" s="2" t="str">
        <f aca="false">IF(SUM(COUNTIF(M607,"RA"),COUNTIF(P607,"RA"),COUNTIF(S607,"RA"),COUNTIF(V607,"RA"),COUNTIF(Y607,"RA"),COUNTIF(AB607,"RA"))&gt;0,"FAIL","PASS")</f>
        <v>PASS</v>
      </c>
    </row>
    <row r="608" customFormat="false" ht="15" hidden="false" customHeight="false" outlineLevel="0" collapsed="false">
      <c r="A608" s="2" t="n">
        <v>607</v>
      </c>
      <c r="B608" s="3" t="s">
        <v>3447</v>
      </c>
      <c r="C608" s="2" t="s">
        <v>757</v>
      </c>
      <c r="D608" s="2" t="s">
        <v>3448</v>
      </c>
      <c r="E608" s="2" t="s">
        <v>35</v>
      </c>
      <c r="F608" s="2" t="s">
        <v>36</v>
      </c>
      <c r="G608" s="2" t="s">
        <v>91</v>
      </c>
      <c r="H608" s="2" t="s">
        <v>2673</v>
      </c>
      <c r="I608" s="3" t="s">
        <v>2822</v>
      </c>
      <c r="J608" s="2" t="s">
        <v>3449</v>
      </c>
      <c r="K608" s="2" t="s">
        <v>3450</v>
      </c>
      <c r="L608" s="4" t="n">
        <v>72</v>
      </c>
      <c r="M608" s="4" t="s">
        <v>43</v>
      </c>
      <c r="N608" s="5" t="n">
        <v>72</v>
      </c>
      <c r="O608" s="6" t="n">
        <v>100</v>
      </c>
      <c r="P608" s="6" t="s">
        <v>54</v>
      </c>
      <c r="Q608" s="7" t="n">
        <v>100</v>
      </c>
      <c r="R608" s="8" t="n">
        <v>55</v>
      </c>
      <c r="S608" s="8" t="s">
        <v>53</v>
      </c>
      <c r="T608" s="9" t="n">
        <v>55</v>
      </c>
      <c r="U608" s="10" t="n">
        <v>86</v>
      </c>
      <c r="V608" s="10" t="s">
        <v>42</v>
      </c>
      <c r="W608" s="11" t="n">
        <v>86</v>
      </c>
      <c r="X608" s="12" t="n">
        <v>95</v>
      </c>
      <c r="Y608" s="12" t="s">
        <v>54</v>
      </c>
      <c r="Z608" s="13" t="n">
        <v>95</v>
      </c>
      <c r="AA608" s="14" t="n">
        <v>76</v>
      </c>
      <c r="AB608" s="14" t="s">
        <v>43</v>
      </c>
      <c r="AC608" s="15" t="n">
        <v>76</v>
      </c>
      <c r="AD608" s="2" t="n">
        <f aca="false">SUM(L608,O608,R608,U608,X608,AA608)</f>
        <v>484</v>
      </c>
      <c r="AE608" s="16" t="n">
        <f aca="false">AD608/6</f>
        <v>80.6666666666667</v>
      </c>
      <c r="AF608" s="2" t="str">
        <f aca="false">IF(SUM(COUNTIF(M608,"RA"),COUNTIF(P608,"RA"),COUNTIF(S608,"RA"),COUNTIF(V608,"RA"),COUNTIF(Y608,"RA"),COUNTIF(AB608,"RA"))&gt;0,"FAIL","PASS")</f>
        <v>PASS</v>
      </c>
    </row>
    <row r="609" customFormat="false" ht="15" hidden="false" customHeight="false" outlineLevel="0" collapsed="false">
      <c r="A609" s="2" t="n">
        <v>608</v>
      </c>
      <c r="B609" s="3" t="s">
        <v>3451</v>
      </c>
      <c r="C609" s="2" t="s">
        <v>770</v>
      </c>
      <c r="D609" s="2" t="s">
        <v>3452</v>
      </c>
      <c r="E609" s="2" t="s">
        <v>35</v>
      </c>
      <c r="F609" s="2" t="s">
        <v>36</v>
      </c>
      <c r="G609" s="2" t="s">
        <v>91</v>
      </c>
      <c r="H609" s="2" t="s">
        <v>360</v>
      </c>
      <c r="I609" s="3" t="s">
        <v>3453</v>
      </c>
      <c r="J609" s="2" t="s">
        <v>3454</v>
      </c>
      <c r="K609" s="2" t="s">
        <v>3455</v>
      </c>
      <c r="L609" s="4" t="n">
        <v>76</v>
      </c>
      <c r="M609" s="4" t="s">
        <v>43</v>
      </c>
      <c r="N609" s="5" t="n">
        <v>76</v>
      </c>
      <c r="O609" s="6" t="n">
        <v>86</v>
      </c>
      <c r="P609" s="6" t="s">
        <v>42</v>
      </c>
      <c r="Q609" s="7" t="n">
        <v>86</v>
      </c>
      <c r="R609" s="8" t="n">
        <v>58</v>
      </c>
      <c r="S609" s="8" t="s">
        <v>53</v>
      </c>
      <c r="T609" s="9" t="n">
        <v>58</v>
      </c>
      <c r="U609" s="10" t="n">
        <v>89</v>
      </c>
      <c r="V609" s="10" t="s">
        <v>42</v>
      </c>
      <c r="W609" s="11" t="n">
        <v>89</v>
      </c>
      <c r="X609" s="12" t="n">
        <v>94</v>
      </c>
      <c r="Y609" s="12" t="s">
        <v>54</v>
      </c>
      <c r="Z609" s="13" t="n">
        <v>94</v>
      </c>
      <c r="AA609" s="14" t="n">
        <v>83</v>
      </c>
      <c r="AB609" s="14" t="s">
        <v>42</v>
      </c>
      <c r="AC609" s="15" t="n">
        <v>83</v>
      </c>
      <c r="AD609" s="2" t="n">
        <f aca="false">SUM(L609,O609,R609,U609,X609,AA609)</f>
        <v>486</v>
      </c>
      <c r="AE609" s="16" t="n">
        <f aca="false">AD609/6</f>
        <v>81</v>
      </c>
      <c r="AF609" s="2" t="str">
        <f aca="false">IF(SUM(COUNTIF(M609,"RA"),COUNTIF(P609,"RA"),COUNTIF(S609,"RA"),COUNTIF(V609,"RA"),COUNTIF(Y609,"RA"),COUNTIF(AB609,"RA"))&gt;0,"FAIL","PASS")</f>
        <v>PASS</v>
      </c>
    </row>
    <row r="610" customFormat="false" ht="15" hidden="false" customHeight="false" outlineLevel="0" collapsed="false">
      <c r="A610" s="2" t="n">
        <v>609</v>
      </c>
      <c r="B610" s="3" t="s">
        <v>3456</v>
      </c>
      <c r="C610" s="2" t="s">
        <v>790</v>
      </c>
      <c r="D610" s="2" t="s">
        <v>3457</v>
      </c>
      <c r="E610" s="2" t="s">
        <v>35</v>
      </c>
      <c r="F610" s="2" t="s">
        <v>36</v>
      </c>
      <c r="G610" s="2" t="s">
        <v>64</v>
      </c>
      <c r="H610" s="2" t="s">
        <v>3458</v>
      </c>
      <c r="I610" s="3" t="s">
        <v>432</v>
      </c>
      <c r="J610" s="2" t="s">
        <v>3459</v>
      </c>
      <c r="K610" s="2" t="s">
        <v>3460</v>
      </c>
      <c r="L610" s="4" t="n">
        <v>98</v>
      </c>
      <c r="M610" s="4" t="s">
        <v>54</v>
      </c>
      <c r="N610" s="5" t="n">
        <v>98</v>
      </c>
      <c r="O610" s="6" t="n">
        <v>69</v>
      </c>
      <c r="P610" s="6" t="s">
        <v>44</v>
      </c>
      <c r="Q610" s="7" t="n">
        <v>69</v>
      </c>
      <c r="R610" s="8" t="n">
        <v>42</v>
      </c>
      <c r="S610" s="8" t="s">
        <v>45</v>
      </c>
      <c r="T610" s="9" t="n">
        <v>42</v>
      </c>
      <c r="U610" s="10" t="n">
        <v>89</v>
      </c>
      <c r="V610" s="10" t="s">
        <v>42</v>
      </c>
      <c r="W610" s="11" t="n">
        <v>89</v>
      </c>
      <c r="X610" s="12" t="n">
        <v>61</v>
      </c>
      <c r="Y610" s="12" t="s">
        <v>44</v>
      </c>
      <c r="Z610" s="13" t="n">
        <v>61</v>
      </c>
      <c r="AA610" s="14" t="n">
        <v>99</v>
      </c>
      <c r="AB610" s="14" t="s">
        <v>54</v>
      </c>
      <c r="AC610" s="15" t="n">
        <v>99</v>
      </c>
      <c r="AD610" s="2" t="n">
        <f aca="false">SUM(L610,O610,R610,U610,X610,AA610)</f>
        <v>458</v>
      </c>
      <c r="AE610" s="16" t="n">
        <f aca="false">AD610/6</f>
        <v>76.3333333333333</v>
      </c>
      <c r="AF610" s="2" t="str">
        <f aca="false">IF(SUM(COUNTIF(M610,"RA"),COUNTIF(P610,"RA"),COUNTIF(S610,"RA"),COUNTIF(V610,"RA"),COUNTIF(Y610,"RA"),COUNTIF(AB610,"RA"))&gt;0,"FAIL","PASS")</f>
        <v>FAIL</v>
      </c>
    </row>
    <row r="611" customFormat="false" ht="15" hidden="false" customHeight="false" outlineLevel="0" collapsed="false">
      <c r="A611" s="2" t="n">
        <v>610</v>
      </c>
      <c r="B611" s="3" t="s">
        <v>3461</v>
      </c>
      <c r="C611" s="2" t="s">
        <v>770</v>
      </c>
      <c r="D611" s="2" t="s">
        <v>3462</v>
      </c>
      <c r="E611" s="2" t="s">
        <v>57</v>
      </c>
      <c r="F611" s="2" t="s">
        <v>36</v>
      </c>
      <c r="G611" s="2" t="s">
        <v>64</v>
      </c>
      <c r="H611" s="2" t="s">
        <v>3463</v>
      </c>
      <c r="I611" s="3" t="s">
        <v>3464</v>
      </c>
      <c r="J611" s="2" t="s">
        <v>3465</v>
      </c>
      <c r="K611" s="2" t="s">
        <v>3466</v>
      </c>
      <c r="L611" s="4" t="n">
        <v>85</v>
      </c>
      <c r="M611" s="4" t="s">
        <v>42</v>
      </c>
      <c r="N611" s="5" t="n">
        <v>85</v>
      </c>
      <c r="O611" s="6" t="n">
        <v>97</v>
      </c>
      <c r="P611" s="6" t="s">
        <v>54</v>
      </c>
      <c r="Q611" s="7" t="n">
        <v>97</v>
      </c>
      <c r="R611" s="8" t="n">
        <v>81</v>
      </c>
      <c r="S611" s="8" t="s">
        <v>42</v>
      </c>
      <c r="T611" s="9" t="n">
        <v>81</v>
      </c>
      <c r="U611" s="10" t="n">
        <v>85</v>
      </c>
      <c r="V611" s="10" t="s">
        <v>42</v>
      </c>
      <c r="W611" s="11" t="n">
        <v>85</v>
      </c>
      <c r="X611" s="12" t="n">
        <v>90</v>
      </c>
      <c r="Y611" s="12" t="s">
        <v>54</v>
      </c>
      <c r="Z611" s="13" t="n">
        <v>90</v>
      </c>
      <c r="AA611" s="14" t="n">
        <v>79</v>
      </c>
      <c r="AB611" s="14" t="s">
        <v>43</v>
      </c>
      <c r="AC611" s="15" t="n">
        <v>79</v>
      </c>
      <c r="AD611" s="2" t="n">
        <f aca="false">SUM(L611,O611,R611,U611,X611,AA611)</f>
        <v>517</v>
      </c>
      <c r="AE611" s="16" t="n">
        <f aca="false">AD611/6</f>
        <v>86.1666666666667</v>
      </c>
      <c r="AF611" s="2" t="str">
        <f aca="false">IF(SUM(COUNTIF(M611,"RA"),COUNTIF(P611,"RA"),COUNTIF(S611,"RA"),COUNTIF(V611,"RA"),COUNTIF(Y611,"RA"),COUNTIF(AB611,"RA"))&gt;0,"FAIL","PASS")</f>
        <v>PASS</v>
      </c>
    </row>
    <row r="612" customFormat="false" ht="15" hidden="false" customHeight="false" outlineLevel="0" collapsed="false">
      <c r="A612" s="2" t="n">
        <v>611</v>
      </c>
      <c r="B612" s="3" t="s">
        <v>3467</v>
      </c>
      <c r="C612" s="2" t="s">
        <v>783</v>
      </c>
      <c r="D612" s="2" t="s">
        <v>3468</v>
      </c>
      <c r="E612" s="2" t="s">
        <v>57</v>
      </c>
      <c r="F612" s="2" t="s">
        <v>36</v>
      </c>
      <c r="G612" s="2" t="s">
        <v>42</v>
      </c>
      <c r="H612" s="2" t="s">
        <v>3469</v>
      </c>
      <c r="I612" s="3" t="s">
        <v>3470</v>
      </c>
      <c r="J612" s="2" t="s">
        <v>3471</v>
      </c>
      <c r="K612" s="2" t="s">
        <v>3472</v>
      </c>
      <c r="L612" s="4" t="n">
        <v>68</v>
      </c>
      <c r="M612" s="4" t="s">
        <v>44</v>
      </c>
      <c r="N612" s="5" t="n">
        <v>68</v>
      </c>
      <c r="O612" s="6" t="n">
        <v>97</v>
      </c>
      <c r="P612" s="6" t="s">
        <v>54</v>
      </c>
      <c r="Q612" s="7" t="n">
        <v>97</v>
      </c>
      <c r="R612" s="8" t="n">
        <v>89</v>
      </c>
      <c r="S612" s="8" t="s">
        <v>42</v>
      </c>
      <c r="T612" s="9" t="n">
        <v>89</v>
      </c>
      <c r="U612" s="10" t="n">
        <v>71</v>
      </c>
      <c r="V612" s="10" t="s">
        <v>43</v>
      </c>
      <c r="W612" s="11" t="n">
        <v>71</v>
      </c>
      <c r="X612" s="12" t="n">
        <v>98</v>
      </c>
      <c r="Y612" s="12" t="s">
        <v>54</v>
      </c>
      <c r="Z612" s="13" t="n">
        <v>98</v>
      </c>
      <c r="AA612" s="14" t="n">
        <v>93</v>
      </c>
      <c r="AB612" s="14" t="s">
        <v>54</v>
      </c>
      <c r="AC612" s="15" t="n">
        <v>93</v>
      </c>
      <c r="AD612" s="2" t="n">
        <f aca="false">SUM(L612,O612,R612,U612,X612,AA612)</f>
        <v>516</v>
      </c>
      <c r="AE612" s="16" t="n">
        <f aca="false">AD612/6</f>
        <v>86</v>
      </c>
      <c r="AF612" s="2" t="str">
        <f aca="false">IF(SUM(COUNTIF(M612,"RA"),COUNTIF(P612,"RA"),COUNTIF(S612,"RA"),COUNTIF(V612,"RA"),COUNTIF(Y612,"RA"),COUNTIF(AB612,"RA"))&gt;0,"FAIL","PASS")</f>
        <v>PASS</v>
      </c>
    </row>
    <row r="613" customFormat="false" ht="15" hidden="false" customHeight="false" outlineLevel="0" collapsed="false">
      <c r="A613" s="2" t="n">
        <v>612</v>
      </c>
      <c r="B613" s="3" t="s">
        <v>3473</v>
      </c>
      <c r="C613" s="2" t="s">
        <v>816</v>
      </c>
      <c r="D613" s="2" t="s">
        <v>3474</v>
      </c>
      <c r="E613" s="2" t="s">
        <v>35</v>
      </c>
      <c r="F613" s="2" t="s">
        <v>36</v>
      </c>
      <c r="G613" s="2" t="s">
        <v>64</v>
      </c>
      <c r="H613" s="2" t="s">
        <v>1835</v>
      </c>
      <c r="I613" s="3" t="s">
        <v>3475</v>
      </c>
      <c r="J613" s="2" t="s">
        <v>3476</v>
      </c>
      <c r="K613" s="2" t="s">
        <v>3477</v>
      </c>
      <c r="L613" s="4" t="n">
        <v>59</v>
      </c>
      <c r="M613" s="4" t="s">
        <v>53</v>
      </c>
      <c r="N613" s="5" t="n">
        <v>59</v>
      </c>
      <c r="O613" s="6" t="n">
        <v>90</v>
      </c>
      <c r="P613" s="6" t="s">
        <v>54</v>
      </c>
      <c r="Q613" s="7" t="n">
        <v>90</v>
      </c>
      <c r="R613" s="8" t="n">
        <v>97</v>
      </c>
      <c r="S613" s="8" t="s">
        <v>54</v>
      </c>
      <c r="T613" s="9" t="n">
        <v>97</v>
      </c>
      <c r="U613" s="10" t="n">
        <v>90</v>
      </c>
      <c r="V613" s="10" t="s">
        <v>54</v>
      </c>
      <c r="W613" s="11" t="n">
        <v>90</v>
      </c>
      <c r="X613" s="12" t="n">
        <v>93</v>
      </c>
      <c r="Y613" s="12" t="s">
        <v>54</v>
      </c>
      <c r="Z613" s="13" t="n">
        <v>93</v>
      </c>
      <c r="AA613" s="14" t="n">
        <v>79</v>
      </c>
      <c r="AB613" s="14" t="s">
        <v>43</v>
      </c>
      <c r="AC613" s="15" t="n">
        <v>79</v>
      </c>
      <c r="AD613" s="2" t="n">
        <f aca="false">SUM(L613,O613,R613,U613,X613,AA613)</f>
        <v>508</v>
      </c>
      <c r="AE613" s="16" t="n">
        <f aca="false">AD613/6</f>
        <v>84.6666666666667</v>
      </c>
      <c r="AF613" s="2" t="str">
        <f aca="false">IF(SUM(COUNTIF(M613,"RA"),COUNTIF(P613,"RA"),COUNTIF(S613,"RA"),COUNTIF(V613,"RA"),COUNTIF(Y613,"RA"),COUNTIF(AB613,"RA"))&gt;0,"FAIL","PASS")</f>
        <v>PASS</v>
      </c>
    </row>
    <row r="614" customFormat="false" ht="15" hidden="false" customHeight="false" outlineLevel="0" collapsed="false">
      <c r="A614" s="2" t="n">
        <v>613</v>
      </c>
      <c r="B614" s="3" t="s">
        <v>3478</v>
      </c>
      <c r="C614" s="2" t="s">
        <v>770</v>
      </c>
      <c r="D614" s="2" t="s">
        <v>3479</v>
      </c>
      <c r="E614" s="2" t="s">
        <v>57</v>
      </c>
      <c r="F614" s="2" t="s">
        <v>36</v>
      </c>
      <c r="G614" s="2" t="s">
        <v>44</v>
      </c>
      <c r="H614" s="2" t="s">
        <v>3480</v>
      </c>
      <c r="I614" s="3" t="s">
        <v>3481</v>
      </c>
      <c r="J614" s="2" t="s">
        <v>3482</v>
      </c>
      <c r="K614" s="2" t="s">
        <v>3483</v>
      </c>
      <c r="L614" s="4" t="n">
        <v>72</v>
      </c>
      <c r="M614" s="4" t="s">
        <v>43</v>
      </c>
      <c r="N614" s="5" t="n">
        <v>72</v>
      </c>
      <c r="O614" s="6" t="n">
        <v>69</v>
      </c>
      <c r="P614" s="6" t="s">
        <v>44</v>
      </c>
      <c r="Q614" s="7" t="n">
        <v>69</v>
      </c>
      <c r="R614" s="8" t="n">
        <v>95</v>
      </c>
      <c r="S614" s="8" t="s">
        <v>54</v>
      </c>
      <c r="T614" s="9" t="n">
        <v>95</v>
      </c>
      <c r="U614" s="10" t="n">
        <v>77</v>
      </c>
      <c r="V614" s="10" t="s">
        <v>43</v>
      </c>
      <c r="W614" s="11" t="n">
        <v>77</v>
      </c>
      <c r="X614" s="12" t="n">
        <v>46</v>
      </c>
      <c r="Y614" s="12" t="s">
        <v>45</v>
      </c>
      <c r="Z614" s="13" t="n">
        <v>46</v>
      </c>
      <c r="AA614" s="14" t="n">
        <v>51</v>
      </c>
      <c r="AB614" s="14" t="s">
        <v>53</v>
      </c>
      <c r="AC614" s="15" t="n">
        <v>51</v>
      </c>
      <c r="AD614" s="2" t="n">
        <f aca="false">SUM(L614,O614,R614,U614,X614,AA614)</f>
        <v>410</v>
      </c>
      <c r="AE614" s="16" t="n">
        <f aca="false">AD614/6</f>
        <v>68.3333333333333</v>
      </c>
      <c r="AF614" s="2" t="str">
        <f aca="false">IF(SUM(COUNTIF(M614,"RA"),COUNTIF(P614,"RA"),COUNTIF(S614,"RA"),COUNTIF(V614,"RA"),COUNTIF(Y614,"RA"),COUNTIF(AB614,"RA"))&gt;0,"FAIL","PASS")</f>
        <v>FAIL</v>
      </c>
    </row>
    <row r="615" customFormat="false" ht="15" hidden="false" customHeight="false" outlineLevel="0" collapsed="false">
      <c r="A615" s="2" t="n">
        <v>614</v>
      </c>
      <c r="B615" s="3" t="s">
        <v>3484</v>
      </c>
      <c r="C615" s="2" t="s">
        <v>912</v>
      </c>
      <c r="D615" s="2" t="s">
        <v>3485</v>
      </c>
      <c r="E615" s="2" t="s">
        <v>57</v>
      </c>
      <c r="F615" s="2" t="s">
        <v>36</v>
      </c>
      <c r="G615" s="2" t="s">
        <v>64</v>
      </c>
      <c r="H615" s="2" t="s">
        <v>2661</v>
      </c>
      <c r="I615" s="3" t="s">
        <v>3486</v>
      </c>
      <c r="J615" s="2" t="s">
        <v>3487</v>
      </c>
      <c r="K615" s="2" t="s">
        <v>3488</v>
      </c>
      <c r="L615" s="4" t="n">
        <v>54</v>
      </c>
      <c r="M615" s="4" t="s">
        <v>53</v>
      </c>
      <c r="N615" s="5" t="n">
        <v>54</v>
      </c>
      <c r="O615" s="6" t="n">
        <v>68</v>
      </c>
      <c r="P615" s="6" t="s">
        <v>44</v>
      </c>
      <c r="Q615" s="7" t="n">
        <v>68</v>
      </c>
      <c r="R615" s="8" t="n">
        <v>75</v>
      </c>
      <c r="S615" s="8" t="s">
        <v>43</v>
      </c>
      <c r="T615" s="9" t="n">
        <v>75</v>
      </c>
      <c r="U615" s="10" t="n">
        <v>44</v>
      </c>
      <c r="V615" s="10" t="s">
        <v>45</v>
      </c>
      <c r="W615" s="11" t="n">
        <v>44</v>
      </c>
      <c r="X615" s="12" t="n">
        <v>70</v>
      </c>
      <c r="Y615" s="12" t="s">
        <v>43</v>
      </c>
      <c r="Z615" s="13" t="n">
        <v>70</v>
      </c>
      <c r="AA615" s="14" t="n">
        <v>100</v>
      </c>
      <c r="AB615" s="14" t="s">
        <v>54</v>
      </c>
      <c r="AC615" s="15" t="n">
        <v>100</v>
      </c>
      <c r="AD615" s="2" t="n">
        <f aca="false">SUM(L615,O615,R615,U615,X615,AA615)</f>
        <v>411</v>
      </c>
      <c r="AE615" s="16" t="n">
        <f aca="false">AD615/6</f>
        <v>68.5</v>
      </c>
      <c r="AF615" s="2" t="str">
        <f aca="false">IF(SUM(COUNTIF(M615,"RA"),COUNTIF(P615,"RA"),COUNTIF(S615,"RA"),COUNTIF(V615,"RA"),COUNTIF(Y615,"RA"),COUNTIF(AB615,"RA"))&gt;0,"FAIL","PASS")</f>
        <v>FAIL</v>
      </c>
    </row>
    <row r="616" customFormat="false" ht="15" hidden="false" customHeight="false" outlineLevel="0" collapsed="false">
      <c r="A616" s="2" t="n">
        <v>615</v>
      </c>
      <c r="B616" s="3" t="s">
        <v>3489</v>
      </c>
      <c r="C616" s="2" t="s">
        <v>859</v>
      </c>
      <c r="D616" s="2" t="s">
        <v>3490</v>
      </c>
      <c r="E616" s="2" t="s">
        <v>57</v>
      </c>
      <c r="F616" s="2" t="s">
        <v>36</v>
      </c>
      <c r="G616" s="2" t="s">
        <v>64</v>
      </c>
      <c r="H616" s="2" t="s">
        <v>3491</v>
      </c>
      <c r="I616" s="3" t="s">
        <v>595</v>
      </c>
      <c r="J616" s="2" t="s">
        <v>3492</v>
      </c>
      <c r="K616" s="2" t="s">
        <v>3493</v>
      </c>
      <c r="L616" s="4" t="n">
        <v>56</v>
      </c>
      <c r="M616" s="4" t="s">
        <v>53</v>
      </c>
      <c r="N616" s="5" t="n">
        <v>56</v>
      </c>
      <c r="O616" s="6" t="n">
        <v>99</v>
      </c>
      <c r="P616" s="6" t="s">
        <v>54</v>
      </c>
      <c r="Q616" s="7" t="n">
        <v>99</v>
      </c>
      <c r="R616" s="8" t="n">
        <v>56</v>
      </c>
      <c r="S616" s="8" t="s">
        <v>53</v>
      </c>
      <c r="T616" s="9" t="n">
        <v>56</v>
      </c>
      <c r="U616" s="10" t="n">
        <v>64</v>
      </c>
      <c r="V616" s="10" t="s">
        <v>44</v>
      </c>
      <c r="W616" s="11" t="n">
        <v>64</v>
      </c>
      <c r="X616" s="12" t="n">
        <v>62</v>
      </c>
      <c r="Y616" s="12" t="s">
        <v>44</v>
      </c>
      <c r="Z616" s="13" t="n">
        <v>62</v>
      </c>
      <c r="AA616" s="14" t="n">
        <v>40</v>
      </c>
      <c r="AB616" s="14" t="s">
        <v>45</v>
      </c>
      <c r="AC616" s="15" t="n">
        <v>40</v>
      </c>
      <c r="AD616" s="2" t="n">
        <f aca="false">SUM(L616,O616,R616,U616,X616,AA616)</f>
        <v>377</v>
      </c>
      <c r="AE616" s="16" t="n">
        <f aca="false">AD616/6</f>
        <v>62.8333333333333</v>
      </c>
      <c r="AF616" s="2" t="str">
        <f aca="false">IF(SUM(COUNTIF(M616,"RA"),COUNTIF(P616,"RA"),COUNTIF(S616,"RA"),COUNTIF(V616,"RA"),COUNTIF(Y616,"RA"),COUNTIF(AB616,"RA"))&gt;0,"FAIL","PASS")</f>
        <v>FAIL</v>
      </c>
    </row>
    <row r="617" customFormat="false" ht="15" hidden="false" customHeight="false" outlineLevel="0" collapsed="false">
      <c r="A617" s="2" t="n">
        <v>616</v>
      </c>
      <c r="B617" s="3" t="s">
        <v>3494</v>
      </c>
      <c r="C617" s="2" t="s">
        <v>912</v>
      </c>
      <c r="D617" s="2" t="s">
        <v>3495</v>
      </c>
      <c r="E617" s="2" t="s">
        <v>57</v>
      </c>
      <c r="F617" s="2" t="s">
        <v>36</v>
      </c>
      <c r="G617" s="2" t="s">
        <v>44</v>
      </c>
      <c r="H617" s="2" t="s">
        <v>3496</v>
      </c>
      <c r="I617" s="3" t="s">
        <v>1113</v>
      </c>
      <c r="J617" s="2" t="s">
        <v>3497</v>
      </c>
      <c r="K617" s="2" t="s">
        <v>3498</v>
      </c>
      <c r="L617" s="4" t="n">
        <v>100</v>
      </c>
      <c r="M617" s="4" t="s">
        <v>54</v>
      </c>
      <c r="N617" s="5" t="n">
        <v>100</v>
      </c>
      <c r="O617" s="6" t="n">
        <v>90</v>
      </c>
      <c r="P617" s="6" t="s">
        <v>54</v>
      </c>
      <c r="Q617" s="7" t="n">
        <v>90</v>
      </c>
      <c r="R617" s="8" t="n">
        <v>81</v>
      </c>
      <c r="S617" s="8" t="s">
        <v>42</v>
      </c>
      <c r="T617" s="9" t="n">
        <v>81</v>
      </c>
      <c r="U617" s="10" t="n">
        <v>75</v>
      </c>
      <c r="V617" s="10" t="s">
        <v>43</v>
      </c>
      <c r="W617" s="11" t="n">
        <v>75</v>
      </c>
      <c r="X617" s="12" t="n">
        <v>82</v>
      </c>
      <c r="Y617" s="12" t="s">
        <v>42</v>
      </c>
      <c r="Z617" s="13" t="n">
        <v>82</v>
      </c>
      <c r="AA617" s="14" t="n">
        <v>93</v>
      </c>
      <c r="AB617" s="14" t="s">
        <v>54</v>
      </c>
      <c r="AC617" s="15" t="n">
        <v>93</v>
      </c>
      <c r="AD617" s="2" t="n">
        <f aca="false">SUM(L617,O617,R617,U617,X617,AA617)</f>
        <v>521</v>
      </c>
      <c r="AE617" s="16" t="n">
        <f aca="false">AD617/6</f>
        <v>86.8333333333333</v>
      </c>
      <c r="AF617" s="2" t="str">
        <f aca="false">IF(SUM(COUNTIF(M617,"RA"),COUNTIF(P617,"RA"),COUNTIF(S617,"RA"),COUNTIF(V617,"RA"),COUNTIF(Y617,"RA"),COUNTIF(AB617,"RA"))&gt;0,"FAIL","PASS")</f>
        <v>PASS</v>
      </c>
    </row>
    <row r="618" customFormat="false" ht="15" hidden="false" customHeight="false" outlineLevel="0" collapsed="false">
      <c r="A618" s="2" t="n">
        <v>617</v>
      </c>
      <c r="B618" s="3" t="s">
        <v>3499</v>
      </c>
      <c r="C618" s="2" t="s">
        <v>783</v>
      </c>
      <c r="D618" s="2" t="s">
        <v>3500</v>
      </c>
      <c r="E618" s="2" t="s">
        <v>35</v>
      </c>
      <c r="F618" s="2" t="s">
        <v>36</v>
      </c>
      <c r="G618" s="2" t="s">
        <v>44</v>
      </c>
      <c r="H618" s="2" t="s">
        <v>3501</v>
      </c>
      <c r="I618" s="3" t="s">
        <v>3502</v>
      </c>
      <c r="J618" s="2" t="s">
        <v>3503</v>
      </c>
      <c r="K618" s="2" t="s">
        <v>3504</v>
      </c>
      <c r="L618" s="4" t="n">
        <v>76</v>
      </c>
      <c r="M618" s="4" t="s">
        <v>43</v>
      </c>
      <c r="N618" s="5" t="n">
        <v>76</v>
      </c>
      <c r="O618" s="6" t="n">
        <v>61</v>
      </c>
      <c r="P618" s="6" t="s">
        <v>44</v>
      </c>
      <c r="Q618" s="7" t="n">
        <v>61</v>
      </c>
      <c r="R618" s="8" t="n">
        <v>77</v>
      </c>
      <c r="S618" s="8" t="s">
        <v>43</v>
      </c>
      <c r="T618" s="9" t="n">
        <v>77</v>
      </c>
      <c r="U618" s="10" t="n">
        <v>79</v>
      </c>
      <c r="V618" s="10" t="s">
        <v>43</v>
      </c>
      <c r="W618" s="11" t="n">
        <v>79</v>
      </c>
      <c r="X618" s="12" t="n">
        <v>79</v>
      </c>
      <c r="Y618" s="12" t="s">
        <v>43</v>
      </c>
      <c r="Z618" s="13" t="n">
        <v>79</v>
      </c>
      <c r="AA618" s="14" t="n">
        <v>80</v>
      </c>
      <c r="AB618" s="14" t="s">
        <v>42</v>
      </c>
      <c r="AC618" s="15" t="n">
        <v>80</v>
      </c>
      <c r="AD618" s="2" t="n">
        <f aca="false">SUM(L618,O618,R618,U618,X618,AA618)</f>
        <v>452</v>
      </c>
      <c r="AE618" s="16" t="n">
        <f aca="false">AD618/6</f>
        <v>75.3333333333333</v>
      </c>
      <c r="AF618" s="2" t="str">
        <f aca="false">IF(SUM(COUNTIF(M618,"RA"),COUNTIF(P618,"RA"),COUNTIF(S618,"RA"),COUNTIF(V618,"RA"),COUNTIF(Y618,"RA"),COUNTIF(AB618,"RA"))&gt;0,"FAIL","PASS")</f>
        <v>PASS</v>
      </c>
    </row>
    <row r="619" customFormat="false" ht="15" hidden="false" customHeight="false" outlineLevel="0" collapsed="false">
      <c r="A619" s="2" t="n">
        <v>618</v>
      </c>
      <c r="B619" s="3" t="s">
        <v>3505</v>
      </c>
      <c r="C619" s="2" t="s">
        <v>816</v>
      </c>
      <c r="D619" s="2" t="s">
        <v>3506</v>
      </c>
      <c r="E619" s="2" t="s">
        <v>35</v>
      </c>
      <c r="F619" s="2" t="s">
        <v>36</v>
      </c>
      <c r="G619" s="2" t="s">
        <v>44</v>
      </c>
      <c r="H619" s="2" t="s">
        <v>3507</v>
      </c>
      <c r="I619" s="3" t="s">
        <v>3228</v>
      </c>
      <c r="J619" s="2" t="s">
        <v>3508</v>
      </c>
      <c r="K619" s="2" t="s">
        <v>3509</v>
      </c>
      <c r="L619" s="4" t="n">
        <v>85</v>
      </c>
      <c r="M619" s="4" t="s">
        <v>42</v>
      </c>
      <c r="N619" s="5" t="n">
        <v>85</v>
      </c>
      <c r="O619" s="6" t="n">
        <v>78</v>
      </c>
      <c r="P619" s="6" t="s">
        <v>43</v>
      </c>
      <c r="Q619" s="7" t="n">
        <v>78</v>
      </c>
      <c r="R619" s="8" t="n">
        <v>77</v>
      </c>
      <c r="S619" s="8" t="s">
        <v>43</v>
      </c>
      <c r="T619" s="9" t="n">
        <v>77</v>
      </c>
      <c r="U619" s="10" t="n">
        <v>89</v>
      </c>
      <c r="V619" s="10" t="s">
        <v>42</v>
      </c>
      <c r="W619" s="11" t="n">
        <v>89</v>
      </c>
      <c r="X619" s="12" t="n">
        <v>82</v>
      </c>
      <c r="Y619" s="12" t="s">
        <v>42</v>
      </c>
      <c r="Z619" s="13" t="n">
        <v>82</v>
      </c>
      <c r="AA619" s="14" t="n">
        <v>86</v>
      </c>
      <c r="AB619" s="14" t="s">
        <v>42</v>
      </c>
      <c r="AC619" s="15" t="n">
        <v>86</v>
      </c>
      <c r="AD619" s="2" t="n">
        <f aca="false">SUM(L619,O619,R619,U619,X619,AA619)</f>
        <v>497</v>
      </c>
      <c r="AE619" s="16" t="n">
        <f aca="false">AD619/6</f>
        <v>82.8333333333333</v>
      </c>
      <c r="AF619" s="2" t="str">
        <f aca="false">IF(SUM(COUNTIF(M619,"RA"),COUNTIF(P619,"RA"),COUNTIF(S619,"RA"),COUNTIF(V619,"RA"),COUNTIF(Y619,"RA"),COUNTIF(AB619,"RA"))&gt;0,"FAIL","PASS")</f>
        <v>PASS</v>
      </c>
    </row>
    <row r="620" customFormat="false" ht="15" hidden="false" customHeight="false" outlineLevel="0" collapsed="false">
      <c r="A620" s="2" t="n">
        <v>619</v>
      </c>
      <c r="B620" s="3" t="s">
        <v>3510</v>
      </c>
      <c r="C620" s="2" t="s">
        <v>841</v>
      </c>
      <c r="D620" s="2" t="s">
        <v>3511</v>
      </c>
      <c r="E620" s="2" t="s">
        <v>35</v>
      </c>
      <c r="F620" s="2" t="s">
        <v>36</v>
      </c>
      <c r="G620" s="2" t="s">
        <v>48</v>
      </c>
      <c r="H620" s="2" t="s">
        <v>3512</v>
      </c>
      <c r="I620" s="3" t="s">
        <v>3513</v>
      </c>
      <c r="J620" s="2" t="s">
        <v>3514</v>
      </c>
      <c r="K620" s="2" t="s">
        <v>3515</v>
      </c>
      <c r="L620" s="4" t="n">
        <v>57</v>
      </c>
      <c r="M620" s="4" t="s">
        <v>53</v>
      </c>
      <c r="N620" s="5" t="n">
        <v>57</v>
      </c>
      <c r="O620" s="6" t="n">
        <v>83</v>
      </c>
      <c r="P620" s="6" t="s">
        <v>42</v>
      </c>
      <c r="Q620" s="7" t="n">
        <v>83</v>
      </c>
      <c r="R620" s="8" t="n">
        <v>64</v>
      </c>
      <c r="S620" s="8" t="s">
        <v>44</v>
      </c>
      <c r="T620" s="9" t="n">
        <v>64</v>
      </c>
      <c r="U620" s="10" t="n">
        <v>96</v>
      </c>
      <c r="V620" s="10" t="s">
        <v>54</v>
      </c>
      <c r="W620" s="11" t="n">
        <v>96</v>
      </c>
      <c r="X620" s="12" t="n">
        <v>80</v>
      </c>
      <c r="Y620" s="12" t="s">
        <v>42</v>
      </c>
      <c r="Z620" s="13" t="n">
        <v>80</v>
      </c>
      <c r="AA620" s="14" t="n">
        <v>74</v>
      </c>
      <c r="AB620" s="14" t="s">
        <v>43</v>
      </c>
      <c r="AC620" s="15" t="n">
        <v>74</v>
      </c>
      <c r="AD620" s="2" t="n">
        <f aca="false">SUM(L620,O620,R620,U620,X620,AA620)</f>
        <v>454</v>
      </c>
      <c r="AE620" s="16" t="n">
        <f aca="false">AD620/6</f>
        <v>75.6666666666667</v>
      </c>
      <c r="AF620" s="2" t="str">
        <f aca="false">IF(SUM(COUNTIF(M620,"RA"),COUNTIF(P620,"RA"),COUNTIF(S620,"RA"),COUNTIF(V620,"RA"),COUNTIF(Y620,"RA"),COUNTIF(AB620,"RA"))&gt;0,"FAIL","PASS")</f>
        <v>PASS</v>
      </c>
    </row>
    <row r="621" customFormat="false" ht="15" hidden="false" customHeight="false" outlineLevel="0" collapsed="false">
      <c r="A621" s="2" t="n">
        <v>620</v>
      </c>
      <c r="B621" s="3" t="s">
        <v>3516</v>
      </c>
      <c r="C621" s="2" t="s">
        <v>757</v>
      </c>
      <c r="D621" s="2" t="s">
        <v>3517</v>
      </c>
      <c r="E621" s="2" t="s">
        <v>57</v>
      </c>
      <c r="F621" s="2" t="s">
        <v>36</v>
      </c>
      <c r="G621" s="2" t="s">
        <v>44</v>
      </c>
      <c r="H621" s="2" t="s">
        <v>3518</v>
      </c>
      <c r="I621" s="3" t="s">
        <v>955</v>
      </c>
      <c r="J621" s="2" t="s">
        <v>3519</v>
      </c>
      <c r="K621" s="2" t="s">
        <v>3520</v>
      </c>
      <c r="L621" s="4" t="n">
        <v>69</v>
      </c>
      <c r="M621" s="4" t="s">
        <v>44</v>
      </c>
      <c r="N621" s="5" t="n">
        <v>69</v>
      </c>
      <c r="O621" s="6" t="n">
        <v>72</v>
      </c>
      <c r="P621" s="6" t="s">
        <v>43</v>
      </c>
      <c r="Q621" s="7" t="n">
        <v>72</v>
      </c>
      <c r="R621" s="8" t="n">
        <v>74</v>
      </c>
      <c r="S621" s="8" t="s">
        <v>43</v>
      </c>
      <c r="T621" s="9" t="n">
        <v>74</v>
      </c>
      <c r="U621" s="10" t="n">
        <v>89</v>
      </c>
      <c r="V621" s="10" t="s">
        <v>42</v>
      </c>
      <c r="W621" s="11" t="n">
        <v>89</v>
      </c>
      <c r="X621" s="12" t="n">
        <v>82</v>
      </c>
      <c r="Y621" s="12" t="s">
        <v>42</v>
      </c>
      <c r="Z621" s="13" t="n">
        <v>82</v>
      </c>
      <c r="AA621" s="14" t="n">
        <v>70</v>
      </c>
      <c r="AB621" s="14" t="s">
        <v>43</v>
      </c>
      <c r="AC621" s="15" t="n">
        <v>70</v>
      </c>
      <c r="AD621" s="2" t="n">
        <f aca="false">SUM(L621,O621,R621,U621,X621,AA621)</f>
        <v>456</v>
      </c>
      <c r="AE621" s="16" t="n">
        <f aca="false">AD621/6</f>
        <v>76</v>
      </c>
      <c r="AF621" s="2" t="str">
        <f aca="false">IF(SUM(COUNTIF(M621,"RA"),COUNTIF(P621,"RA"),COUNTIF(S621,"RA"),COUNTIF(V621,"RA"),COUNTIF(Y621,"RA"),COUNTIF(AB621,"RA"))&gt;0,"FAIL","PASS")</f>
        <v>PASS</v>
      </c>
    </row>
    <row r="622" customFormat="false" ht="15" hidden="false" customHeight="false" outlineLevel="0" collapsed="false">
      <c r="A622" s="2" t="n">
        <v>621</v>
      </c>
      <c r="B622" s="3" t="s">
        <v>3521</v>
      </c>
      <c r="C622" s="2" t="s">
        <v>841</v>
      </c>
      <c r="D622" s="2" t="s">
        <v>3522</v>
      </c>
      <c r="E622" s="2" t="s">
        <v>57</v>
      </c>
      <c r="F622" s="2" t="s">
        <v>36</v>
      </c>
      <c r="G622" s="2" t="s">
        <v>91</v>
      </c>
      <c r="H622" s="2" t="s">
        <v>3523</v>
      </c>
      <c r="I622" s="3" t="s">
        <v>3524</v>
      </c>
      <c r="J622" s="2" t="s">
        <v>3525</v>
      </c>
      <c r="K622" s="2" t="s">
        <v>3526</v>
      </c>
      <c r="L622" s="4" t="n">
        <v>66</v>
      </c>
      <c r="M622" s="4" t="s">
        <v>44</v>
      </c>
      <c r="N622" s="5" t="n">
        <v>66</v>
      </c>
      <c r="O622" s="6" t="n">
        <v>42</v>
      </c>
      <c r="P622" s="6" t="s">
        <v>45</v>
      </c>
      <c r="Q622" s="7" t="n">
        <v>42</v>
      </c>
      <c r="R622" s="8" t="n">
        <v>55</v>
      </c>
      <c r="S622" s="8" t="s">
        <v>53</v>
      </c>
      <c r="T622" s="9" t="n">
        <v>55</v>
      </c>
      <c r="U622" s="10" t="n">
        <v>84</v>
      </c>
      <c r="V622" s="10" t="s">
        <v>42</v>
      </c>
      <c r="W622" s="11" t="n">
        <v>84</v>
      </c>
      <c r="X622" s="12" t="n">
        <v>76</v>
      </c>
      <c r="Y622" s="12" t="s">
        <v>43</v>
      </c>
      <c r="Z622" s="13" t="n">
        <v>76</v>
      </c>
      <c r="AA622" s="14" t="n">
        <v>81</v>
      </c>
      <c r="AB622" s="14" t="s">
        <v>42</v>
      </c>
      <c r="AC622" s="15" t="n">
        <v>81</v>
      </c>
      <c r="AD622" s="2" t="n">
        <f aca="false">SUM(L622,O622,R622,U622,X622,AA622)</f>
        <v>404</v>
      </c>
      <c r="AE622" s="16" t="n">
        <f aca="false">AD622/6</f>
        <v>67.3333333333333</v>
      </c>
      <c r="AF622" s="2" t="str">
        <f aca="false">IF(SUM(COUNTIF(M622,"RA"),COUNTIF(P622,"RA"),COUNTIF(S622,"RA"),COUNTIF(V622,"RA"),COUNTIF(Y622,"RA"),COUNTIF(AB622,"RA"))&gt;0,"FAIL","PASS")</f>
        <v>FAIL</v>
      </c>
    </row>
    <row r="623" customFormat="false" ht="15" hidden="false" customHeight="false" outlineLevel="0" collapsed="false">
      <c r="A623" s="2" t="n">
        <v>622</v>
      </c>
      <c r="B623" s="3" t="s">
        <v>3527</v>
      </c>
      <c r="C623" s="2" t="s">
        <v>803</v>
      </c>
      <c r="D623" s="2" t="s">
        <v>3528</v>
      </c>
      <c r="E623" s="2" t="s">
        <v>35</v>
      </c>
      <c r="F623" s="2" t="s">
        <v>36</v>
      </c>
      <c r="G623" s="2" t="s">
        <v>78</v>
      </c>
      <c r="H623" s="2" t="s">
        <v>3529</v>
      </c>
      <c r="I623" s="3" t="s">
        <v>1169</v>
      </c>
      <c r="J623" s="2" t="s">
        <v>3530</v>
      </c>
      <c r="K623" s="2" t="s">
        <v>3531</v>
      </c>
      <c r="L623" s="4" t="n">
        <v>73</v>
      </c>
      <c r="M623" s="4" t="s">
        <v>43</v>
      </c>
      <c r="N623" s="5" t="n">
        <v>73</v>
      </c>
      <c r="O623" s="6" t="n">
        <v>42</v>
      </c>
      <c r="P623" s="6" t="s">
        <v>45</v>
      </c>
      <c r="Q623" s="7" t="n">
        <v>42</v>
      </c>
      <c r="R623" s="8" t="n">
        <v>74</v>
      </c>
      <c r="S623" s="8" t="s">
        <v>43</v>
      </c>
      <c r="T623" s="9" t="n">
        <v>74</v>
      </c>
      <c r="U623" s="10" t="n">
        <v>95</v>
      </c>
      <c r="V623" s="10" t="s">
        <v>54</v>
      </c>
      <c r="W623" s="11" t="n">
        <v>95</v>
      </c>
      <c r="X623" s="12" t="n">
        <v>45</v>
      </c>
      <c r="Y623" s="12" t="s">
        <v>45</v>
      </c>
      <c r="Z623" s="13" t="n">
        <v>45</v>
      </c>
      <c r="AA623" s="14" t="n">
        <v>62</v>
      </c>
      <c r="AB623" s="14" t="s">
        <v>44</v>
      </c>
      <c r="AC623" s="15" t="n">
        <v>62</v>
      </c>
      <c r="AD623" s="2" t="n">
        <f aca="false">SUM(L623,O623,R623,U623,X623,AA623)</f>
        <v>391</v>
      </c>
      <c r="AE623" s="16" t="n">
        <f aca="false">AD623/6</f>
        <v>65.1666666666667</v>
      </c>
      <c r="AF623" s="2" t="str">
        <f aca="false">IF(SUM(COUNTIF(M623,"RA"),COUNTIF(P623,"RA"),COUNTIF(S623,"RA"),COUNTIF(V623,"RA"),COUNTIF(Y623,"RA"),COUNTIF(AB623,"RA"))&gt;0,"FAIL","PASS")</f>
        <v>FAIL</v>
      </c>
    </row>
    <row r="624" customFormat="false" ht="15" hidden="false" customHeight="false" outlineLevel="0" collapsed="false">
      <c r="A624" s="2" t="n">
        <v>623</v>
      </c>
      <c r="B624" s="3" t="s">
        <v>3532</v>
      </c>
      <c r="C624" s="2" t="s">
        <v>841</v>
      </c>
      <c r="D624" s="2" t="s">
        <v>3533</v>
      </c>
      <c r="E624" s="2" t="s">
        <v>35</v>
      </c>
      <c r="F624" s="2" t="s">
        <v>36</v>
      </c>
      <c r="G624" s="2" t="s">
        <v>42</v>
      </c>
      <c r="H624" s="2" t="s">
        <v>3534</v>
      </c>
      <c r="I624" s="3" t="s">
        <v>3535</v>
      </c>
      <c r="J624" s="2" t="s">
        <v>3536</v>
      </c>
      <c r="K624" s="2" t="s">
        <v>3537</v>
      </c>
      <c r="L624" s="4" t="n">
        <v>77</v>
      </c>
      <c r="M624" s="4" t="s">
        <v>43</v>
      </c>
      <c r="N624" s="5" t="n">
        <v>77</v>
      </c>
      <c r="O624" s="6" t="n">
        <v>70</v>
      </c>
      <c r="P624" s="6" t="s">
        <v>43</v>
      </c>
      <c r="Q624" s="7" t="n">
        <v>70</v>
      </c>
      <c r="R624" s="8" t="n">
        <v>64</v>
      </c>
      <c r="S624" s="8" t="s">
        <v>44</v>
      </c>
      <c r="T624" s="9" t="n">
        <v>64</v>
      </c>
      <c r="U624" s="10" t="n">
        <v>41</v>
      </c>
      <c r="V624" s="10" t="s">
        <v>45</v>
      </c>
      <c r="W624" s="11" t="n">
        <v>41</v>
      </c>
      <c r="X624" s="12" t="n">
        <v>46</v>
      </c>
      <c r="Y624" s="12" t="s">
        <v>45</v>
      </c>
      <c r="Z624" s="13" t="n">
        <v>46</v>
      </c>
      <c r="AA624" s="14" t="n">
        <v>61</v>
      </c>
      <c r="AB624" s="14" t="s">
        <v>44</v>
      </c>
      <c r="AC624" s="15" t="n">
        <v>61</v>
      </c>
      <c r="AD624" s="2" t="n">
        <f aca="false">SUM(L624,O624,R624,U624,X624,AA624)</f>
        <v>359</v>
      </c>
      <c r="AE624" s="16" t="n">
        <f aca="false">AD624/6</f>
        <v>59.8333333333333</v>
      </c>
      <c r="AF624" s="2" t="str">
        <f aca="false">IF(SUM(COUNTIF(M624,"RA"),COUNTIF(P624,"RA"),COUNTIF(S624,"RA"),COUNTIF(V624,"RA"),COUNTIF(Y624,"RA"),COUNTIF(AB624,"RA"))&gt;0,"FAIL","PASS")</f>
        <v>FAIL</v>
      </c>
    </row>
    <row r="625" customFormat="false" ht="15" hidden="false" customHeight="false" outlineLevel="0" collapsed="false">
      <c r="A625" s="2" t="n">
        <v>624</v>
      </c>
      <c r="B625" s="3" t="s">
        <v>3538</v>
      </c>
      <c r="C625" s="2" t="s">
        <v>841</v>
      </c>
      <c r="D625" s="2" t="s">
        <v>3539</v>
      </c>
      <c r="E625" s="2" t="s">
        <v>57</v>
      </c>
      <c r="F625" s="2" t="s">
        <v>36</v>
      </c>
      <c r="G625" s="2" t="s">
        <v>78</v>
      </c>
      <c r="H625" s="2" t="s">
        <v>3540</v>
      </c>
      <c r="I625" s="3" t="s">
        <v>3541</v>
      </c>
      <c r="J625" s="2" t="s">
        <v>3542</v>
      </c>
      <c r="K625" s="2" t="s">
        <v>3543</v>
      </c>
      <c r="L625" s="4" t="n">
        <v>68</v>
      </c>
      <c r="M625" s="4" t="s">
        <v>44</v>
      </c>
      <c r="N625" s="5" t="n">
        <v>68</v>
      </c>
      <c r="O625" s="6" t="n">
        <v>53</v>
      </c>
      <c r="P625" s="6" t="s">
        <v>53</v>
      </c>
      <c r="Q625" s="7" t="n">
        <v>53</v>
      </c>
      <c r="R625" s="8" t="n">
        <v>75</v>
      </c>
      <c r="S625" s="8" t="s">
        <v>43</v>
      </c>
      <c r="T625" s="9" t="n">
        <v>75</v>
      </c>
      <c r="U625" s="10" t="n">
        <v>74</v>
      </c>
      <c r="V625" s="10" t="s">
        <v>43</v>
      </c>
      <c r="W625" s="11" t="n">
        <v>74</v>
      </c>
      <c r="X625" s="12" t="n">
        <v>70</v>
      </c>
      <c r="Y625" s="12" t="s">
        <v>43</v>
      </c>
      <c r="Z625" s="13" t="n">
        <v>70</v>
      </c>
      <c r="AA625" s="14" t="n">
        <v>46</v>
      </c>
      <c r="AB625" s="14" t="s">
        <v>45</v>
      </c>
      <c r="AC625" s="15" t="n">
        <v>46</v>
      </c>
      <c r="AD625" s="2" t="n">
        <f aca="false">SUM(L625,O625,R625,U625,X625,AA625)</f>
        <v>386</v>
      </c>
      <c r="AE625" s="16" t="n">
        <f aca="false">AD625/6</f>
        <v>64.3333333333333</v>
      </c>
      <c r="AF625" s="2" t="str">
        <f aca="false">IF(SUM(COUNTIF(M625,"RA"),COUNTIF(P625,"RA"),COUNTIF(S625,"RA"),COUNTIF(V625,"RA"),COUNTIF(Y625,"RA"),COUNTIF(AB625,"RA"))&gt;0,"FAIL","PASS")</f>
        <v>FAIL</v>
      </c>
    </row>
    <row r="626" customFormat="false" ht="15" hidden="false" customHeight="false" outlineLevel="0" collapsed="false">
      <c r="A626" s="2" t="n">
        <v>625</v>
      </c>
      <c r="B626" s="3" t="s">
        <v>3544</v>
      </c>
      <c r="C626" s="2" t="s">
        <v>803</v>
      </c>
      <c r="D626" s="2" t="s">
        <v>3545</v>
      </c>
      <c r="E626" s="2" t="s">
        <v>35</v>
      </c>
      <c r="F626" s="2" t="s">
        <v>36</v>
      </c>
      <c r="G626" s="2" t="s">
        <v>64</v>
      </c>
      <c r="H626" s="2" t="s">
        <v>3546</v>
      </c>
      <c r="I626" s="3" t="s">
        <v>3547</v>
      </c>
      <c r="J626" s="2" t="s">
        <v>3548</v>
      </c>
      <c r="K626" s="2" t="s">
        <v>3549</v>
      </c>
      <c r="L626" s="4" t="n">
        <v>85</v>
      </c>
      <c r="M626" s="4" t="s">
        <v>42</v>
      </c>
      <c r="N626" s="5" t="n">
        <v>85</v>
      </c>
      <c r="O626" s="6" t="n">
        <v>77</v>
      </c>
      <c r="P626" s="6" t="s">
        <v>43</v>
      </c>
      <c r="Q626" s="7" t="n">
        <v>77</v>
      </c>
      <c r="R626" s="8" t="n">
        <v>86</v>
      </c>
      <c r="S626" s="8" t="s">
        <v>42</v>
      </c>
      <c r="T626" s="9" t="n">
        <v>86</v>
      </c>
      <c r="U626" s="10" t="n">
        <v>84</v>
      </c>
      <c r="V626" s="10" t="s">
        <v>42</v>
      </c>
      <c r="W626" s="11" t="n">
        <v>84</v>
      </c>
      <c r="X626" s="12" t="n">
        <v>61</v>
      </c>
      <c r="Y626" s="12" t="s">
        <v>44</v>
      </c>
      <c r="Z626" s="13" t="n">
        <v>61</v>
      </c>
      <c r="AA626" s="14" t="n">
        <v>70</v>
      </c>
      <c r="AB626" s="14" t="s">
        <v>43</v>
      </c>
      <c r="AC626" s="15" t="n">
        <v>70</v>
      </c>
      <c r="AD626" s="2" t="n">
        <f aca="false">SUM(L626,O626,R626,U626,X626,AA626)</f>
        <v>463</v>
      </c>
      <c r="AE626" s="16" t="n">
        <f aca="false">AD626/6</f>
        <v>77.1666666666667</v>
      </c>
      <c r="AF626" s="2" t="str">
        <f aca="false">IF(SUM(COUNTIF(M626,"RA"),COUNTIF(P626,"RA"),COUNTIF(S626,"RA"),COUNTIF(V626,"RA"),COUNTIF(Y626,"RA"),COUNTIF(AB626,"RA"))&gt;0,"FAIL","PASS")</f>
        <v>PASS</v>
      </c>
    </row>
    <row r="627" customFormat="false" ht="15" hidden="false" customHeight="false" outlineLevel="0" collapsed="false">
      <c r="A627" s="2" t="n">
        <v>626</v>
      </c>
      <c r="B627" s="3" t="s">
        <v>3550</v>
      </c>
      <c r="C627" s="2" t="s">
        <v>912</v>
      </c>
      <c r="D627" s="2" t="s">
        <v>3551</v>
      </c>
      <c r="E627" s="2" t="s">
        <v>35</v>
      </c>
      <c r="F627" s="2" t="s">
        <v>36</v>
      </c>
      <c r="G627" s="2" t="s">
        <v>42</v>
      </c>
      <c r="H627" s="2" t="s">
        <v>2005</v>
      </c>
      <c r="I627" s="3" t="s">
        <v>2112</v>
      </c>
      <c r="J627" s="2" t="s">
        <v>3552</v>
      </c>
      <c r="K627" s="2" t="s">
        <v>3553</v>
      </c>
      <c r="L627" s="4" t="n">
        <v>74</v>
      </c>
      <c r="M627" s="4" t="s">
        <v>43</v>
      </c>
      <c r="N627" s="5" t="n">
        <v>74</v>
      </c>
      <c r="O627" s="6" t="n">
        <v>71</v>
      </c>
      <c r="P627" s="6" t="s">
        <v>43</v>
      </c>
      <c r="Q627" s="7" t="n">
        <v>71</v>
      </c>
      <c r="R627" s="8" t="n">
        <v>100</v>
      </c>
      <c r="S627" s="8" t="s">
        <v>54</v>
      </c>
      <c r="T627" s="9" t="n">
        <v>100</v>
      </c>
      <c r="U627" s="10" t="n">
        <v>81</v>
      </c>
      <c r="V627" s="10" t="s">
        <v>42</v>
      </c>
      <c r="W627" s="11" t="n">
        <v>81</v>
      </c>
      <c r="X627" s="12" t="n">
        <v>63</v>
      </c>
      <c r="Y627" s="12" t="s">
        <v>44</v>
      </c>
      <c r="Z627" s="13" t="n">
        <v>63</v>
      </c>
      <c r="AA627" s="14" t="n">
        <v>85</v>
      </c>
      <c r="AB627" s="14" t="s">
        <v>42</v>
      </c>
      <c r="AC627" s="15" t="n">
        <v>85</v>
      </c>
      <c r="AD627" s="2" t="n">
        <f aca="false">SUM(L627,O627,R627,U627,X627,AA627)</f>
        <v>474</v>
      </c>
      <c r="AE627" s="16" t="n">
        <f aca="false">AD627/6</f>
        <v>79</v>
      </c>
      <c r="AF627" s="2" t="str">
        <f aca="false">IF(SUM(COUNTIF(M627,"RA"),COUNTIF(P627,"RA"),COUNTIF(S627,"RA"),COUNTIF(V627,"RA"),COUNTIF(Y627,"RA"),COUNTIF(AB627,"RA"))&gt;0,"FAIL","PASS")</f>
        <v>PASS</v>
      </c>
    </row>
    <row r="628" customFormat="false" ht="15" hidden="false" customHeight="false" outlineLevel="0" collapsed="false">
      <c r="A628" s="2" t="n">
        <v>627</v>
      </c>
      <c r="B628" s="3" t="s">
        <v>3554</v>
      </c>
      <c r="C628" s="2" t="s">
        <v>790</v>
      </c>
      <c r="D628" s="2" t="s">
        <v>3555</v>
      </c>
      <c r="E628" s="2" t="s">
        <v>57</v>
      </c>
      <c r="F628" s="2" t="s">
        <v>36</v>
      </c>
      <c r="G628" s="2" t="s">
        <v>64</v>
      </c>
      <c r="H628" s="2" t="s">
        <v>3556</v>
      </c>
      <c r="I628" s="3" t="s">
        <v>379</v>
      </c>
      <c r="J628" s="2" t="s">
        <v>3557</v>
      </c>
      <c r="K628" s="2" t="s">
        <v>3558</v>
      </c>
      <c r="L628" s="4" t="n">
        <v>65</v>
      </c>
      <c r="M628" s="4" t="s">
        <v>44</v>
      </c>
      <c r="N628" s="5" t="n">
        <v>65</v>
      </c>
      <c r="O628" s="6" t="n">
        <v>66</v>
      </c>
      <c r="P628" s="6" t="s">
        <v>44</v>
      </c>
      <c r="Q628" s="7" t="n">
        <v>66</v>
      </c>
      <c r="R628" s="8" t="n">
        <v>69</v>
      </c>
      <c r="S628" s="8" t="s">
        <v>44</v>
      </c>
      <c r="T628" s="9" t="n">
        <v>69</v>
      </c>
      <c r="U628" s="10" t="n">
        <v>89</v>
      </c>
      <c r="V628" s="10" t="s">
        <v>42</v>
      </c>
      <c r="W628" s="11" t="n">
        <v>89</v>
      </c>
      <c r="X628" s="12" t="n">
        <v>82</v>
      </c>
      <c r="Y628" s="12" t="s">
        <v>42</v>
      </c>
      <c r="Z628" s="13" t="n">
        <v>82</v>
      </c>
      <c r="AA628" s="14" t="n">
        <v>79</v>
      </c>
      <c r="AB628" s="14" t="s">
        <v>43</v>
      </c>
      <c r="AC628" s="15" t="n">
        <v>79</v>
      </c>
      <c r="AD628" s="2" t="n">
        <f aca="false">SUM(L628,O628,R628,U628,X628,AA628)</f>
        <v>450</v>
      </c>
      <c r="AE628" s="16" t="n">
        <f aca="false">AD628/6</f>
        <v>75</v>
      </c>
      <c r="AF628" s="2" t="str">
        <f aca="false">IF(SUM(COUNTIF(M628,"RA"),COUNTIF(P628,"RA"),COUNTIF(S628,"RA"),COUNTIF(V628,"RA"),COUNTIF(Y628,"RA"),COUNTIF(AB628,"RA"))&gt;0,"FAIL","PASS")</f>
        <v>PASS</v>
      </c>
    </row>
    <row r="629" customFormat="false" ht="15" hidden="false" customHeight="false" outlineLevel="0" collapsed="false">
      <c r="A629" s="2" t="n">
        <v>628</v>
      </c>
      <c r="B629" s="3" t="s">
        <v>3559</v>
      </c>
      <c r="C629" s="2" t="s">
        <v>841</v>
      </c>
      <c r="D629" s="2" t="s">
        <v>3560</v>
      </c>
      <c r="E629" s="2" t="s">
        <v>57</v>
      </c>
      <c r="F629" s="2" t="s">
        <v>36</v>
      </c>
      <c r="G629" s="2" t="s">
        <v>64</v>
      </c>
      <c r="H629" s="2" t="s">
        <v>3561</v>
      </c>
      <c r="I629" s="3" t="s">
        <v>1674</v>
      </c>
      <c r="J629" s="2" t="s">
        <v>3562</v>
      </c>
      <c r="K629" s="2" t="s">
        <v>3563</v>
      </c>
      <c r="L629" s="4" t="n">
        <v>72</v>
      </c>
      <c r="M629" s="4" t="s">
        <v>43</v>
      </c>
      <c r="N629" s="5" t="n">
        <v>72</v>
      </c>
      <c r="O629" s="6" t="n">
        <v>90</v>
      </c>
      <c r="P629" s="6" t="s">
        <v>54</v>
      </c>
      <c r="Q629" s="7" t="n">
        <v>90</v>
      </c>
      <c r="R629" s="8" t="n">
        <v>89</v>
      </c>
      <c r="S629" s="8" t="s">
        <v>42</v>
      </c>
      <c r="T629" s="9" t="n">
        <v>89</v>
      </c>
      <c r="U629" s="10" t="n">
        <v>93</v>
      </c>
      <c r="V629" s="10" t="s">
        <v>54</v>
      </c>
      <c r="W629" s="11" t="n">
        <v>93</v>
      </c>
      <c r="X629" s="12" t="n">
        <v>53</v>
      </c>
      <c r="Y629" s="12" t="s">
        <v>53</v>
      </c>
      <c r="Z629" s="13" t="n">
        <v>53</v>
      </c>
      <c r="AA629" s="14" t="n">
        <v>82</v>
      </c>
      <c r="AB629" s="14" t="s">
        <v>42</v>
      </c>
      <c r="AC629" s="15" t="n">
        <v>82</v>
      </c>
      <c r="AD629" s="2" t="n">
        <f aca="false">SUM(L629,O629,R629,U629,X629,AA629)</f>
        <v>479</v>
      </c>
      <c r="AE629" s="16" t="n">
        <f aca="false">AD629/6</f>
        <v>79.8333333333333</v>
      </c>
      <c r="AF629" s="2" t="str">
        <f aca="false">IF(SUM(COUNTIF(M629,"RA"),COUNTIF(P629,"RA"),COUNTIF(S629,"RA"),COUNTIF(V629,"RA"),COUNTIF(Y629,"RA"),COUNTIF(AB629,"RA"))&gt;0,"FAIL","PASS")</f>
        <v>PASS</v>
      </c>
    </row>
    <row r="630" customFormat="false" ht="15" hidden="false" customHeight="false" outlineLevel="0" collapsed="false">
      <c r="A630" s="2" t="n">
        <v>629</v>
      </c>
      <c r="B630" s="3" t="s">
        <v>3564</v>
      </c>
      <c r="C630" s="2" t="s">
        <v>783</v>
      </c>
      <c r="D630" s="2" t="s">
        <v>3565</v>
      </c>
      <c r="E630" s="2" t="s">
        <v>35</v>
      </c>
      <c r="F630" s="2" t="s">
        <v>36</v>
      </c>
      <c r="G630" s="2" t="s">
        <v>44</v>
      </c>
      <c r="H630" s="2" t="s">
        <v>2172</v>
      </c>
      <c r="I630" s="3" t="s">
        <v>879</v>
      </c>
      <c r="J630" s="2" t="s">
        <v>3566</v>
      </c>
      <c r="K630" s="2" t="s">
        <v>3567</v>
      </c>
      <c r="L630" s="4" t="n">
        <v>79</v>
      </c>
      <c r="M630" s="4" t="s">
        <v>43</v>
      </c>
      <c r="N630" s="5" t="n">
        <v>79</v>
      </c>
      <c r="O630" s="6" t="n">
        <v>70</v>
      </c>
      <c r="P630" s="6" t="s">
        <v>43</v>
      </c>
      <c r="Q630" s="7" t="n">
        <v>70</v>
      </c>
      <c r="R630" s="8" t="n">
        <v>82</v>
      </c>
      <c r="S630" s="8" t="s">
        <v>42</v>
      </c>
      <c r="T630" s="9" t="n">
        <v>82</v>
      </c>
      <c r="U630" s="10" t="n">
        <v>95</v>
      </c>
      <c r="V630" s="10" t="s">
        <v>54</v>
      </c>
      <c r="W630" s="11" t="n">
        <v>95</v>
      </c>
      <c r="X630" s="12" t="n">
        <v>72</v>
      </c>
      <c r="Y630" s="12" t="s">
        <v>43</v>
      </c>
      <c r="Z630" s="13" t="n">
        <v>72</v>
      </c>
      <c r="AA630" s="14" t="n">
        <v>67</v>
      </c>
      <c r="AB630" s="14" t="s">
        <v>44</v>
      </c>
      <c r="AC630" s="15" t="n">
        <v>67</v>
      </c>
      <c r="AD630" s="2" t="n">
        <f aca="false">SUM(L630,O630,R630,U630,X630,AA630)</f>
        <v>465</v>
      </c>
      <c r="AE630" s="16" t="n">
        <f aca="false">AD630/6</f>
        <v>77.5</v>
      </c>
      <c r="AF630" s="2" t="str">
        <f aca="false">IF(SUM(COUNTIF(M630,"RA"),COUNTIF(P630,"RA"),COUNTIF(S630,"RA"),COUNTIF(V630,"RA"),COUNTIF(Y630,"RA"),COUNTIF(AB630,"RA"))&gt;0,"FAIL","PASS")</f>
        <v>PASS</v>
      </c>
    </row>
    <row r="631" customFormat="false" ht="15" hidden="false" customHeight="false" outlineLevel="0" collapsed="false">
      <c r="A631" s="2" t="n">
        <v>630</v>
      </c>
      <c r="B631" s="3" t="s">
        <v>3568</v>
      </c>
      <c r="C631" s="2" t="s">
        <v>770</v>
      </c>
      <c r="D631" s="2" t="s">
        <v>3569</v>
      </c>
      <c r="E631" s="2" t="s">
        <v>57</v>
      </c>
      <c r="F631" s="2" t="s">
        <v>36</v>
      </c>
      <c r="G631" s="2" t="s">
        <v>71</v>
      </c>
      <c r="H631" s="2" t="s">
        <v>3570</v>
      </c>
      <c r="I631" s="3" t="s">
        <v>1990</v>
      </c>
      <c r="J631" s="2" t="s">
        <v>3571</v>
      </c>
      <c r="K631" s="2" t="s">
        <v>3572</v>
      </c>
      <c r="L631" s="4" t="n">
        <v>70</v>
      </c>
      <c r="M631" s="4" t="s">
        <v>43</v>
      </c>
      <c r="N631" s="5" t="n">
        <v>70</v>
      </c>
      <c r="O631" s="6" t="n">
        <v>69</v>
      </c>
      <c r="P631" s="6" t="s">
        <v>44</v>
      </c>
      <c r="Q631" s="7" t="n">
        <v>69</v>
      </c>
      <c r="R631" s="8" t="n">
        <v>85</v>
      </c>
      <c r="S631" s="8" t="s">
        <v>42</v>
      </c>
      <c r="T631" s="9" t="n">
        <v>85</v>
      </c>
      <c r="U631" s="10" t="n">
        <v>45</v>
      </c>
      <c r="V631" s="10" t="s">
        <v>45</v>
      </c>
      <c r="W631" s="11" t="n">
        <v>45</v>
      </c>
      <c r="X631" s="12" t="n">
        <v>64</v>
      </c>
      <c r="Y631" s="12" t="s">
        <v>44</v>
      </c>
      <c r="Z631" s="13" t="n">
        <v>64</v>
      </c>
      <c r="AA631" s="14" t="n">
        <v>51</v>
      </c>
      <c r="AB631" s="14" t="s">
        <v>53</v>
      </c>
      <c r="AC631" s="15" t="n">
        <v>51</v>
      </c>
      <c r="AD631" s="2" t="n">
        <f aca="false">SUM(L631,O631,R631,U631,X631,AA631)</f>
        <v>384</v>
      </c>
      <c r="AE631" s="16" t="n">
        <f aca="false">AD631/6</f>
        <v>64</v>
      </c>
      <c r="AF631" s="2" t="str">
        <f aca="false">IF(SUM(COUNTIF(M631,"RA"),COUNTIF(P631,"RA"),COUNTIF(S631,"RA"),COUNTIF(V631,"RA"),COUNTIF(Y631,"RA"),COUNTIF(AB631,"RA"))&gt;0,"FAIL","PASS")</f>
        <v>FAIL</v>
      </c>
    </row>
    <row r="632" customFormat="false" ht="15" hidden="false" customHeight="false" outlineLevel="0" collapsed="false">
      <c r="A632" s="2" t="n">
        <v>631</v>
      </c>
      <c r="B632" s="3" t="s">
        <v>3573</v>
      </c>
      <c r="C632" s="2" t="s">
        <v>816</v>
      </c>
      <c r="D632" s="2" t="s">
        <v>3574</v>
      </c>
      <c r="E632" s="2" t="s">
        <v>57</v>
      </c>
      <c r="F632" s="2" t="s">
        <v>36</v>
      </c>
      <c r="G632" s="2" t="s">
        <v>78</v>
      </c>
      <c r="H632" s="2" t="s">
        <v>3575</v>
      </c>
      <c r="I632" s="3" t="s">
        <v>3576</v>
      </c>
      <c r="J632" s="2" t="s">
        <v>3577</v>
      </c>
      <c r="K632" s="2" t="s">
        <v>3578</v>
      </c>
      <c r="L632" s="4" t="n">
        <v>100</v>
      </c>
      <c r="M632" s="4" t="s">
        <v>54</v>
      </c>
      <c r="N632" s="5" t="n">
        <v>100</v>
      </c>
      <c r="O632" s="6" t="n">
        <v>95</v>
      </c>
      <c r="P632" s="6" t="s">
        <v>54</v>
      </c>
      <c r="Q632" s="7" t="n">
        <v>95</v>
      </c>
      <c r="R632" s="8" t="n">
        <v>85</v>
      </c>
      <c r="S632" s="8" t="s">
        <v>42</v>
      </c>
      <c r="T632" s="9" t="n">
        <v>85</v>
      </c>
      <c r="U632" s="10" t="n">
        <v>96</v>
      </c>
      <c r="V632" s="10" t="s">
        <v>54</v>
      </c>
      <c r="W632" s="11" t="n">
        <v>96</v>
      </c>
      <c r="X632" s="12" t="n">
        <v>91</v>
      </c>
      <c r="Y632" s="12" t="s">
        <v>54</v>
      </c>
      <c r="Z632" s="13" t="n">
        <v>91</v>
      </c>
      <c r="AA632" s="14" t="n">
        <v>55</v>
      </c>
      <c r="AB632" s="14" t="s">
        <v>53</v>
      </c>
      <c r="AC632" s="15" t="n">
        <v>55</v>
      </c>
      <c r="AD632" s="2" t="n">
        <f aca="false">SUM(L632,O632,R632,U632,X632,AA632)</f>
        <v>522</v>
      </c>
      <c r="AE632" s="16" t="n">
        <f aca="false">AD632/6</f>
        <v>87</v>
      </c>
      <c r="AF632" s="2" t="str">
        <f aca="false">IF(SUM(COUNTIF(M632,"RA"),COUNTIF(P632,"RA"),COUNTIF(S632,"RA"),COUNTIF(V632,"RA"),COUNTIF(Y632,"RA"),COUNTIF(AB632,"RA"))&gt;0,"FAIL","PASS")</f>
        <v>PASS</v>
      </c>
    </row>
    <row r="633" customFormat="false" ht="15" hidden="false" customHeight="false" outlineLevel="0" collapsed="false">
      <c r="A633" s="2" t="n">
        <v>632</v>
      </c>
      <c r="B633" s="3" t="s">
        <v>3579</v>
      </c>
      <c r="C633" s="2" t="s">
        <v>816</v>
      </c>
      <c r="D633" s="2" t="s">
        <v>3580</v>
      </c>
      <c r="E633" s="2" t="s">
        <v>57</v>
      </c>
      <c r="F633" s="2" t="s">
        <v>36</v>
      </c>
      <c r="G633" s="2" t="s">
        <v>78</v>
      </c>
      <c r="H633" s="2" t="s">
        <v>1983</v>
      </c>
      <c r="I633" s="3" t="s">
        <v>3581</v>
      </c>
      <c r="J633" s="2" t="s">
        <v>3582</v>
      </c>
      <c r="K633" s="2" t="s">
        <v>3583</v>
      </c>
      <c r="L633" s="4" t="n">
        <v>75</v>
      </c>
      <c r="M633" s="4" t="s">
        <v>43</v>
      </c>
      <c r="N633" s="5" t="n">
        <v>75</v>
      </c>
      <c r="O633" s="6" t="n">
        <v>72</v>
      </c>
      <c r="P633" s="6" t="s">
        <v>43</v>
      </c>
      <c r="Q633" s="7" t="n">
        <v>72</v>
      </c>
      <c r="R633" s="8" t="n">
        <v>62</v>
      </c>
      <c r="S633" s="8" t="s">
        <v>44</v>
      </c>
      <c r="T633" s="9" t="n">
        <v>62</v>
      </c>
      <c r="U633" s="10" t="n">
        <v>78</v>
      </c>
      <c r="V633" s="10" t="s">
        <v>43</v>
      </c>
      <c r="W633" s="11" t="n">
        <v>78</v>
      </c>
      <c r="X633" s="12" t="n">
        <v>79</v>
      </c>
      <c r="Y633" s="12" t="s">
        <v>43</v>
      </c>
      <c r="Z633" s="13" t="n">
        <v>79</v>
      </c>
      <c r="AA633" s="14" t="n">
        <v>46</v>
      </c>
      <c r="AB633" s="14" t="s">
        <v>45</v>
      </c>
      <c r="AC633" s="15" t="n">
        <v>46</v>
      </c>
      <c r="AD633" s="2" t="n">
        <f aca="false">SUM(L633,O633,R633,U633,X633,AA633)</f>
        <v>412</v>
      </c>
      <c r="AE633" s="16" t="n">
        <f aca="false">AD633/6</f>
        <v>68.6666666666667</v>
      </c>
      <c r="AF633" s="2" t="str">
        <f aca="false">IF(SUM(COUNTIF(M633,"RA"),COUNTIF(P633,"RA"),COUNTIF(S633,"RA"),COUNTIF(V633,"RA"),COUNTIF(Y633,"RA"),COUNTIF(AB633,"RA"))&gt;0,"FAIL","PASS")</f>
        <v>FAIL</v>
      </c>
    </row>
    <row r="634" customFormat="false" ht="15" hidden="false" customHeight="false" outlineLevel="0" collapsed="false">
      <c r="A634" s="2" t="n">
        <v>633</v>
      </c>
      <c r="B634" s="3" t="s">
        <v>3584</v>
      </c>
      <c r="C634" s="2" t="s">
        <v>912</v>
      </c>
      <c r="D634" s="2" t="s">
        <v>3585</v>
      </c>
      <c r="E634" s="2" t="s">
        <v>57</v>
      </c>
      <c r="F634" s="2" t="s">
        <v>36</v>
      </c>
      <c r="G634" s="2" t="s">
        <v>48</v>
      </c>
      <c r="H634" s="2" t="s">
        <v>3586</v>
      </c>
      <c r="I634" s="3" t="s">
        <v>1978</v>
      </c>
      <c r="J634" s="2" t="s">
        <v>3587</v>
      </c>
      <c r="K634" s="2" t="s">
        <v>3588</v>
      </c>
      <c r="L634" s="4" t="n">
        <v>78</v>
      </c>
      <c r="M634" s="4" t="s">
        <v>43</v>
      </c>
      <c r="N634" s="5" t="n">
        <v>78</v>
      </c>
      <c r="O634" s="6" t="n">
        <v>75</v>
      </c>
      <c r="P634" s="6" t="s">
        <v>43</v>
      </c>
      <c r="Q634" s="7" t="n">
        <v>75</v>
      </c>
      <c r="R634" s="8" t="n">
        <v>64</v>
      </c>
      <c r="S634" s="8" t="s">
        <v>44</v>
      </c>
      <c r="T634" s="9" t="n">
        <v>64</v>
      </c>
      <c r="U634" s="10" t="n">
        <v>76</v>
      </c>
      <c r="V634" s="10" t="s">
        <v>43</v>
      </c>
      <c r="W634" s="11" t="n">
        <v>76</v>
      </c>
      <c r="X634" s="12" t="n">
        <v>96</v>
      </c>
      <c r="Y634" s="12" t="s">
        <v>54</v>
      </c>
      <c r="Z634" s="13" t="n">
        <v>96</v>
      </c>
      <c r="AA634" s="14" t="n">
        <v>93</v>
      </c>
      <c r="AB634" s="14" t="s">
        <v>54</v>
      </c>
      <c r="AC634" s="15" t="n">
        <v>93</v>
      </c>
      <c r="AD634" s="2" t="n">
        <f aca="false">SUM(L634,O634,R634,U634,X634,AA634)</f>
        <v>482</v>
      </c>
      <c r="AE634" s="16" t="n">
        <f aca="false">AD634/6</f>
        <v>80.3333333333333</v>
      </c>
      <c r="AF634" s="2" t="str">
        <f aca="false">IF(SUM(COUNTIF(M634,"RA"),COUNTIF(P634,"RA"),COUNTIF(S634,"RA"),COUNTIF(V634,"RA"),COUNTIF(Y634,"RA"),COUNTIF(AB634,"RA"))&gt;0,"FAIL","PASS")</f>
        <v>PASS</v>
      </c>
    </row>
    <row r="635" customFormat="false" ht="15" hidden="false" customHeight="false" outlineLevel="0" collapsed="false">
      <c r="A635" s="2" t="n">
        <v>634</v>
      </c>
      <c r="B635" s="3" t="s">
        <v>3589</v>
      </c>
      <c r="C635" s="2" t="s">
        <v>750</v>
      </c>
      <c r="D635" s="2" t="s">
        <v>3590</v>
      </c>
      <c r="E635" s="2" t="s">
        <v>35</v>
      </c>
      <c r="F635" s="2" t="s">
        <v>36</v>
      </c>
      <c r="G635" s="2" t="s">
        <v>78</v>
      </c>
      <c r="H635" s="2" t="s">
        <v>2288</v>
      </c>
      <c r="I635" s="3" t="s">
        <v>2689</v>
      </c>
      <c r="J635" s="2" t="s">
        <v>3591</v>
      </c>
      <c r="K635" s="2" t="s">
        <v>3592</v>
      </c>
      <c r="L635" s="4" t="n">
        <v>79</v>
      </c>
      <c r="M635" s="4" t="s">
        <v>43</v>
      </c>
      <c r="N635" s="5" t="n">
        <v>79</v>
      </c>
      <c r="O635" s="6" t="n">
        <v>46</v>
      </c>
      <c r="P635" s="6" t="s">
        <v>45</v>
      </c>
      <c r="Q635" s="7" t="n">
        <v>46</v>
      </c>
      <c r="R635" s="8" t="n">
        <v>67</v>
      </c>
      <c r="S635" s="8" t="s">
        <v>44</v>
      </c>
      <c r="T635" s="9" t="n">
        <v>67</v>
      </c>
      <c r="U635" s="10" t="n">
        <v>64</v>
      </c>
      <c r="V635" s="10" t="s">
        <v>44</v>
      </c>
      <c r="W635" s="11" t="n">
        <v>64</v>
      </c>
      <c r="X635" s="12" t="n">
        <v>88</v>
      </c>
      <c r="Y635" s="12" t="s">
        <v>42</v>
      </c>
      <c r="Z635" s="13" t="n">
        <v>88</v>
      </c>
      <c r="AA635" s="14" t="n">
        <v>66</v>
      </c>
      <c r="AB635" s="14" t="s">
        <v>44</v>
      </c>
      <c r="AC635" s="15" t="n">
        <v>66</v>
      </c>
      <c r="AD635" s="2" t="n">
        <f aca="false">SUM(L635,O635,R635,U635,X635,AA635)</f>
        <v>410</v>
      </c>
      <c r="AE635" s="16" t="n">
        <f aca="false">AD635/6</f>
        <v>68.3333333333333</v>
      </c>
      <c r="AF635" s="2" t="str">
        <f aca="false">IF(SUM(COUNTIF(M635,"RA"),COUNTIF(P635,"RA"),COUNTIF(S635,"RA"),COUNTIF(V635,"RA"),COUNTIF(Y635,"RA"),COUNTIF(AB635,"RA"))&gt;0,"FAIL","PASS")</f>
        <v>FAIL</v>
      </c>
    </row>
    <row r="636" customFormat="false" ht="15" hidden="false" customHeight="false" outlineLevel="0" collapsed="false">
      <c r="A636" s="2" t="n">
        <v>635</v>
      </c>
      <c r="B636" s="3" t="s">
        <v>3593</v>
      </c>
      <c r="C636" s="2" t="s">
        <v>750</v>
      </c>
      <c r="D636" s="2" t="s">
        <v>3594</v>
      </c>
      <c r="E636" s="2" t="s">
        <v>57</v>
      </c>
      <c r="F636" s="2" t="s">
        <v>36</v>
      </c>
      <c r="G636" s="2" t="s">
        <v>64</v>
      </c>
      <c r="H636" s="2" t="s">
        <v>3066</v>
      </c>
      <c r="I636" s="3" t="s">
        <v>595</v>
      </c>
      <c r="J636" s="2" t="s">
        <v>3595</v>
      </c>
      <c r="K636" s="2" t="s">
        <v>3596</v>
      </c>
      <c r="L636" s="4" t="n">
        <v>45</v>
      </c>
      <c r="M636" s="4" t="s">
        <v>45</v>
      </c>
      <c r="N636" s="5" t="n">
        <v>45</v>
      </c>
      <c r="O636" s="6" t="n">
        <v>98</v>
      </c>
      <c r="P636" s="6" t="s">
        <v>54</v>
      </c>
      <c r="Q636" s="7" t="n">
        <v>98</v>
      </c>
      <c r="R636" s="8" t="n">
        <v>50</v>
      </c>
      <c r="S636" s="8" t="s">
        <v>53</v>
      </c>
      <c r="T636" s="9" t="n">
        <v>50</v>
      </c>
      <c r="U636" s="10" t="n">
        <v>86</v>
      </c>
      <c r="V636" s="10" t="s">
        <v>42</v>
      </c>
      <c r="W636" s="11" t="n">
        <v>86</v>
      </c>
      <c r="X636" s="12" t="n">
        <v>75</v>
      </c>
      <c r="Y636" s="12" t="s">
        <v>43</v>
      </c>
      <c r="Z636" s="13" t="n">
        <v>75</v>
      </c>
      <c r="AA636" s="14" t="n">
        <v>96</v>
      </c>
      <c r="AB636" s="14" t="s">
        <v>54</v>
      </c>
      <c r="AC636" s="15" t="n">
        <v>96</v>
      </c>
      <c r="AD636" s="2" t="n">
        <f aca="false">SUM(L636,O636,R636,U636,X636,AA636)</f>
        <v>450</v>
      </c>
      <c r="AE636" s="16" t="n">
        <f aca="false">AD636/6</f>
        <v>75</v>
      </c>
      <c r="AF636" s="2" t="str">
        <f aca="false">IF(SUM(COUNTIF(M636,"RA"),COUNTIF(P636,"RA"),COUNTIF(S636,"RA"),COUNTIF(V636,"RA"),COUNTIF(Y636,"RA"),COUNTIF(AB636,"RA"))&gt;0,"FAIL","PASS")</f>
        <v>FAIL</v>
      </c>
    </row>
    <row r="637" customFormat="false" ht="15" hidden="false" customHeight="false" outlineLevel="0" collapsed="false">
      <c r="A637" s="2" t="n">
        <v>636</v>
      </c>
      <c r="B637" s="3" t="s">
        <v>3597</v>
      </c>
      <c r="C637" s="2" t="s">
        <v>790</v>
      </c>
      <c r="D637" s="2" t="s">
        <v>3598</v>
      </c>
      <c r="E637" s="2" t="s">
        <v>57</v>
      </c>
      <c r="F637" s="2" t="s">
        <v>36</v>
      </c>
      <c r="G637" s="2" t="s">
        <v>78</v>
      </c>
      <c r="H637" s="2" t="s">
        <v>3599</v>
      </c>
      <c r="I637" s="3" t="s">
        <v>3600</v>
      </c>
      <c r="J637" s="2" t="s">
        <v>3601</v>
      </c>
      <c r="K637" s="2" t="s">
        <v>3602</v>
      </c>
      <c r="L637" s="4" t="n">
        <v>63</v>
      </c>
      <c r="M637" s="4" t="s">
        <v>44</v>
      </c>
      <c r="N637" s="5" t="n">
        <v>63</v>
      </c>
      <c r="O637" s="6" t="n">
        <v>98</v>
      </c>
      <c r="P637" s="6" t="s">
        <v>54</v>
      </c>
      <c r="Q637" s="7" t="n">
        <v>98</v>
      </c>
      <c r="R637" s="8" t="n">
        <v>69</v>
      </c>
      <c r="S637" s="8" t="s">
        <v>44</v>
      </c>
      <c r="T637" s="9" t="n">
        <v>69</v>
      </c>
      <c r="U637" s="10" t="n">
        <v>94</v>
      </c>
      <c r="V637" s="10" t="s">
        <v>54</v>
      </c>
      <c r="W637" s="11" t="n">
        <v>94</v>
      </c>
      <c r="X637" s="12" t="n">
        <v>63</v>
      </c>
      <c r="Y637" s="12" t="s">
        <v>44</v>
      </c>
      <c r="Z637" s="13" t="n">
        <v>63</v>
      </c>
      <c r="AA637" s="14" t="n">
        <v>85</v>
      </c>
      <c r="AB637" s="14" t="s">
        <v>42</v>
      </c>
      <c r="AC637" s="15" t="n">
        <v>85</v>
      </c>
      <c r="AD637" s="2" t="n">
        <f aca="false">SUM(L637,O637,R637,U637,X637,AA637)</f>
        <v>472</v>
      </c>
      <c r="AE637" s="16" t="n">
        <f aca="false">AD637/6</f>
        <v>78.6666666666667</v>
      </c>
      <c r="AF637" s="2" t="str">
        <f aca="false">IF(SUM(COUNTIF(M637,"RA"),COUNTIF(P637,"RA"),COUNTIF(S637,"RA"),COUNTIF(V637,"RA"),COUNTIF(Y637,"RA"),COUNTIF(AB637,"RA"))&gt;0,"FAIL","PASS")</f>
        <v>PASS</v>
      </c>
    </row>
    <row r="638" customFormat="false" ht="15" hidden="false" customHeight="false" outlineLevel="0" collapsed="false">
      <c r="A638" s="2" t="n">
        <v>637</v>
      </c>
      <c r="B638" s="3" t="s">
        <v>3603</v>
      </c>
      <c r="C638" s="2" t="s">
        <v>750</v>
      </c>
      <c r="D638" s="2" t="s">
        <v>3604</v>
      </c>
      <c r="E638" s="2" t="s">
        <v>35</v>
      </c>
      <c r="F638" s="2" t="s">
        <v>36</v>
      </c>
      <c r="G638" s="2" t="s">
        <v>37</v>
      </c>
      <c r="H638" s="2" t="s">
        <v>1700</v>
      </c>
      <c r="I638" s="3" t="s">
        <v>3605</v>
      </c>
      <c r="J638" s="2" t="s">
        <v>3606</v>
      </c>
      <c r="K638" s="2" t="s">
        <v>3607</v>
      </c>
      <c r="L638" s="4" t="n">
        <v>96</v>
      </c>
      <c r="M638" s="4" t="s">
        <v>54</v>
      </c>
      <c r="N638" s="5" t="n">
        <v>96</v>
      </c>
      <c r="O638" s="6" t="n">
        <v>88</v>
      </c>
      <c r="P638" s="6" t="s">
        <v>42</v>
      </c>
      <c r="Q638" s="7" t="n">
        <v>88</v>
      </c>
      <c r="R638" s="8" t="n">
        <v>86</v>
      </c>
      <c r="S638" s="8" t="s">
        <v>42</v>
      </c>
      <c r="T638" s="9" t="n">
        <v>86</v>
      </c>
      <c r="U638" s="10" t="n">
        <v>87</v>
      </c>
      <c r="V638" s="10" t="s">
        <v>42</v>
      </c>
      <c r="W638" s="11" t="n">
        <v>87</v>
      </c>
      <c r="X638" s="12" t="n">
        <v>45</v>
      </c>
      <c r="Y638" s="12" t="s">
        <v>45</v>
      </c>
      <c r="Z638" s="13" t="n">
        <v>45</v>
      </c>
      <c r="AA638" s="14" t="n">
        <v>91</v>
      </c>
      <c r="AB638" s="14" t="s">
        <v>54</v>
      </c>
      <c r="AC638" s="15" t="n">
        <v>91</v>
      </c>
      <c r="AD638" s="2" t="n">
        <f aca="false">SUM(L638,O638,R638,U638,X638,AA638)</f>
        <v>493</v>
      </c>
      <c r="AE638" s="16" t="n">
        <f aca="false">AD638/6</f>
        <v>82.1666666666667</v>
      </c>
      <c r="AF638" s="2" t="str">
        <f aca="false">IF(SUM(COUNTIF(M638,"RA"),COUNTIF(P638,"RA"),COUNTIF(S638,"RA"),COUNTIF(V638,"RA"),COUNTIF(Y638,"RA"),COUNTIF(AB638,"RA"))&gt;0,"FAIL","PASS")</f>
        <v>FAIL</v>
      </c>
    </row>
    <row r="639" customFormat="false" ht="15" hidden="false" customHeight="false" outlineLevel="0" collapsed="false">
      <c r="A639" s="2" t="n">
        <v>638</v>
      </c>
      <c r="B639" s="3" t="s">
        <v>3608</v>
      </c>
      <c r="C639" s="2" t="s">
        <v>859</v>
      </c>
      <c r="D639" s="2" t="s">
        <v>3609</v>
      </c>
      <c r="E639" s="2" t="s">
        <v>35</v>
      </c>
      <c r="F639" s="2" t="s">
        <v>36</v>
      </c>
      <c r="G639" s="2" t="s">
        <v>44</v>
      </c>
      <c r="H639" s="2" t="s">
        <v>3610</v>
      </c>
      <c r="I639" s="3" t="s">
        <v>3611</v>
      </c>
      <c r="J639" s="2" t="s">
        <v>3612</v>
      </c>
      <c r="K639" s="2" t="s">
        <v>3613</v>
      </c>
      <c r="L639" s="4" t="n">
        <v>81</v>
      </c>
      <c r="M639" s="4" t="s">
        <v>42</v>
      </c>
      <c r="N639" s="5" t="n">
        <v>81</v>
      </c>
      <c r="O639" s="6" t="n">
        <v>63</v>
      </c>
      <c r="P639" s="6" t="s">
        <v>44</v>
      </c>
      <c r="Q639" s="7" t="n">
        <v>63</v>
      </c>
      <c r="R639" s="8" t="n">
        <v>55</v>
      </c>
      <c r="S639" s="8" t="s">
        <v>53</v>
      </c>
      <c r="T639" s="9" t="n">
        <v>55</v>
      </c>
      <c r="U639" s="10" t="n">
        <v>99</v>
      </c>
      <c r="V639" s="10" t="s">
        <v>54</v>
      </c>
      <c r="W639" s="11" t="n">
        <v>99</v>
      </c>
      <c r="X639" s="12" t="n">
        <v>70</v>
      </c>
      <c r="Y639" s="12" t="s">
        <v>43</v>
      </c>
      <c r="Z639" s="13" t="n">
        <v>70</v>
      </c>
      <c r="AA639" s="14" t="n">
        <v>68</v>
      </c>
      <c r="AB639" s="14" t="s">
        <v>44</v>
      </c>
      <c r="AC639" s="15" t="n">
        <v>68</v>
      </c>
      <c r="AD639" s="2" t="n">
        <f aca="false">SUM(L639,O639,R639,U639,X639,AA639)</f>
        <v>436</v>
      </c>
      <c r="AE639" s="16" t="n">
        <f aca="false">AD639/6</f>
        <v>72.6666666666667</v>
      </c>
      <c r="AF639" s="2" t="str">
        <f aca="false">IF(SUM(COUNTIF(M639,"RA"),COUNTIF(P639,"RA"),COUNTIF(S639,"RA"),COUNTIF(V639,"RA"),COUNTIF(Y639,"RA"),COUNTIF(AB639,"RA"))&gt;0,"FAIL","PASS")</f>
        <v>PASS</v>
      </c>
    </row>
    <row r="640" customFormat="false" ht="15" hidden="false" customHeight="false" outlineLevel="0" collapsed="false">
      <c r="A640" s="2" t="n">
        <v>639</v>
      </c>
      <c r="B640" s="3" t="s">
        <v>3614</v>
      </c>
      <c r="C640" s="2" t="s">
        <v>816</v>
      </c>
      <c r="D640" s="2" t="s">
        <v>3615</v>
      </c>
      <c r="E640" s="2" t="s">
        <v>35</v>
      </c>
      <c r="F640" s="2" t="s">
        <v>36</v>
      </c>
      <c r="G640" s="2" t="s">
        <v>48</v>
      </c>
      <c r="H640" s="2" t="s">
        <v>3616</v>
      </c>
      <c r="I640" s="3" t="s">
        <v>2018</v>
      </c>
      <c r="J640" s="2" t="s">
        <v>3617</v>
      </c>
      <c r="K640" s="2" t="s">
        <v>3618</v>
      </c>
      <c r="L640" s="4" t="n">
        <v>81</v>
      </c>
      <c r="M640" s="4" t="s">
        <v>42</v>
      </c>
      <c r="N640" s="5" t="n">
        <v>81</v>
      </c>
      <c r="O640" s="6" t="n">
        <v>75</v>
      </c>
      <c r="P640" s="6" t="s">
        <v>43</v>
      </c>
      <c r="Q640" s="7" t="n">
        <v>75</v>
      </c>
      <c r="R640" s="8" t="n">
        <v>84</v>
      </c>
      <c r="S640" s="8" t="s">
        <v>42</v>
      </c>
      <c r="T640" s="9" t="n">
        <v>84</v>
      </c>
      <c r="U640" s="10" t="n">
        <v>65</v>
      </c>
      <c r="V640" s="10" t="s">
        <v>44</v>
      </c>
      <c r="W640" s="11" t="n">
        <v>65</v>
      </c>
      <c r="X640" s="12" t="n">
        <v>91</v>
      </c>
      <c r="Y640" s="12" t="s">
        <v>54</v>
      </c>
      <c r="Z640" s="13" t="n">
        <v>91</v>
      </c>
      <c r="AA640" s="14" t="n">
        <v>62</v>
      </c>
      <c r="AB640" s="14" t="s">
        <v>44</v>
      </c>
      <c r="AC640" s="15" t="n">
        <v>62</v>
      </c>
      <c r="AD640" s="2" t="n">
        <f aca="false">SUM(L640,O640,R640,U640,X640,AA640)</f>
        <v>458</v>
      </c>
      <c r="AE640" s="16" t="n">
        <f aca="false">AD640/6</f>
        <v>76.3333333333333</v>
      </c>
      <c r="AF640" s="2" t="str">
        <f aca="false">IF(SUM(COUNTIF(M640,"RA"),COUNTIF(P640,"RA"),COUNTIF(S640,"RA"),COUNTIF(V640,"RA"),COUNTIF(Y640,"RA"),COUNTIF(AB640,"RA"))&gt;0,"FAIL","PASS")</f>
        <v>PASS</v>
      </c>
    </row>
    <row r="641" customFormat="false" ht="15" hidden="false" customHeight="false" outlineLevel="0" collapsed="false">
      <c r="A641" s="2" t="n">
        <v>640</v>
      </c>
      <c r="B641" s="3" t="s">
        <v>3619</v>
      </c>
      <c r="C641" s="2" t="s">
        <v>757</v>
      </c>
      <c r="D641" s="2" t="s">
        <v>3620</v>
      </c>
      <c r="E641" s="2" t="s">
        <v>57</v>
      </c>
      <c r="F641" s="2" t="s">
        <v>36</v>
      </c>
      <c r="G641" s="2" t="s">
        <v>37</v>
      </c>
      <c r="H641" s="2" t="s">
        <v>3621</v>
      </c>
      <c r="I641" s="3" t="s">
        <v>2387</v>
      </c>
      <c r="J641" s="2" t="s">
        <v>3622</v>
      </c>
      <c r="K641" s="2" t="s">
        <v>3623</v>
      </c>
      <c r="L641" s="4" t="n">
        <v>63</v>
      </c>
      <c r="M641" s="4" t="s">
        <v>44</v>
      </c>
      <c r="N641" s="5" t="n">
        <v>63</v>
      </c>
      <c r="O641" s="6" t="n">
        <v>71</v>
      </c>
      <c r="P641" s="6" t="s">
        <v>43</v>
      </c>
      <c r="Q641" s="7" t="n">
        <v>71</v>
      </c>
      <c r="R641" s="8" t="n">
        <v>88</v>
      </c>
      <c r="S641" s="8" t="s">
        <v>42</v>
      </c>
      <c r="T641" s="9" t="n">
        <v>88</v>
      </c>
      <c r="U641" s="10" t="n">
        <v>85</v>
      </c>
      <c r="V641" s="10" t="s">
        <v>42</v>
      </c>
      <c r="W641" s="11" t="n">
        <v>85</v>
      </c>
      <c r="X641" s="12" t="n">
        <v>40</v>
      </c>
      <c r="Y641" s="12" t="s">
        <v>45</v>
      </c>
      <c r="Z641" s="13" t="n">
        <v>40</v>
      </c>
      <c r="AA641" s="14" t="n">
        <v>86</v>
      </c>
      <c r="AB641" s="14" t="s">
        <v>42</v>
      </c>
      <c r="AC641" s="15" t="n">
        <v>86</v>
      </c>
      <c r="AD641" s="2" t="n">
        <f aca="false">SUM(L641,O641,R641,U641,X641,AA641)</f>
        <v>433</v>
      </c>
      <c r="AE641" s="16" t="n">
        <f aca="false">AD641/6</f>
        <v>72.1666666666667</v>
      </c>
      <c r="AF641" s="2" t="str">
        <f aca="false">IF(SUM(COUNTIF(M641,"RA"),COUNTIF(P641,"RA"),COUNTIF(S641,"RA"),COUNTIF(V641,"RA"),COUNTIF(Y641,"RA"),COUNTIF(AB641,"RA"))&gt;0,"FAIL","PASS")</f>
        <v>FAIL</v>
      </c>
    </row>
    <row r="642" customFormat="false" ht="15" hidden="false" customHeight="false" outlineLevel="0" collapsed="false">
      <c r="A642" s="2" t="n">
        <v>641</v>
      </c>
      <c r="B642" s="3" t="s">
        <v>3624</v>
      </c>
      <c r="C642" s="2" t="s">
        <v>790</v>
      </c>
      <c r="D642" s="2" t="s">
        <v>3625</v>
      </c>
      <c r="E642" s="2" t="s">
        <v>35</v>
      </c>
      <c r="F642" s="2" t="s">
        <v>36</v>
      </c>
      <c r="G642" s="2" t="s">
        <v>64</v>
      </c>
      <c r="H642" s="2" t="s">
        <v>2445</v>
      </c>
      <c r="I642" s="3" t="s">
        <v>2544</v>
      </c>
      <c r="J642" s="2" t="s">
        <v>3626</v>
      </c>
      <c r="K642" s="2" t="s">
        <v>3627</v>
      </c>
      <c r="L642" s="4" t="n">
        <v>87</v>
      </c>
      <c r="M642" s="4" t="s">
        <v>42</v>
      </c>
      <c r="N642" s="5" t="n">
        <v>87</v>
      </c>
      <c r="O642" s="6" t="n">
        <v>97</v>
      </c>
      <c r="P642" s="6" t="s">
        <v>54</v>
      </c>
      <c r="Q642" s="7" t="n">
        <v>97</v>
      </c>
      <c r="R642" s="8" t="n">
        <v>71</v>
      </c>
      <c r="S642" s="8" t="s">
        <v>43</v>
      </c>
      <c r="T642" s="9" t="n">
        <v>71</v>
      </c>
      <c r="U642" s="10" t="n">
        <v>78</v>
      </c>
      <c r="V642" s="10" t="s">
        <v>43</v>
      </c>
      <c r="W642" s="11" t="n">
        <v>78</v>
      </c>
      <c r="X642" s="12" t="n">
        <v>94</v>
      </c>
      <c r="Y642" s="12" t="s">
        <v>54</v>
      </c>
      <c r="Z642" s="13" t="n">
        <v>94</v>
      </c>
      <c r="AA642" s="14" t="n">
        <v>78</v>
      </c>
      <c r="AB642" s="14" t="s">
        <v>43</v>
      </c>
      <c r="AC642" s="15" t="n">
        <v>78</v>
      </c>
      <c r="AD642" s="2" t="n">
        <f aca="false">SUM(L642,O642,R642,U642,X642,AA642)</f>
        <v>505</v>
      </c>
      <c r="AE642" s="16" t="n">
        <f aca="false">AD642/6</f>
        <v>84.1666666666667</v>
      </c>
      <c r="AF642" s="2" t="str">
        <f aca="false">IF(SUM(COUNTIF(M642,"RA"),COUNTIF(P642,"RA"),COUNTIF(S642,"RA"),COUNTIF(V642,"RA"),COUNTIF(Y642,"RA"),COUNTIF(AB642,"RA"))&gt;0,"FAIL","PASS")</f>
        <v>PASS</v>
      </c>
    </row>
    <row r="643" customFormat="false" ht="15" hidden="false" customHeight="false" outlineLevel="0" collapsed="false">
      <c r="A643" s="2" t="n">
        <v>642</v>
      </c>
      <c r="B643" s="3" t="s">
        <v>3628</v>
      </c>
      <c r="C643" s="2" t="s">
        <v>783</v>
      </c>
      <c r="D643" s="2" t="s">
        <v>3629</v>
      </c>
      <c r="E643" s="2" t="s">
        <v>35</v>
      </c>
      <c r="F643" s="2" t="s">
        <v>36</v>
      </c>
      <c r="G643" s="2" t="s">
        <v>71</v>
      </c>
      <c r="H643" s="2" t="s">
        <v>3630</v>
      </c>
      <c r="I643" s="3" t="s">
        <v>2721</v>
      </c>
      <c r="J643" s="2" t="s">
        <v>3631</v>
      </c>
      <c r="K643" s="2" t="s">
        <v>3632</v>
      </c>
      <c r="L643" s="4" t="n">
        <v>86</v>
      </c>
      <c r="M643" s="4" t="s">
        <v>42</v>
      </c>
      <c r="N643" s="5" t="n">
        <v>86</v>
      </c>
      <c r="O643" s="6" t="n">
        <v>91</v>
      </c>
      <c r="P643" s="6" t="s">
        <v>54</v>
      </c>
      <c r="Q643" s="7" t="n">
        <v>91</v>
      </c>
      <c r="R643" s="8" t="n">
        <v>90</v>
      </c>
      <c r="S643" s="8" t="s">
        <v>54</v>
      </c>
      <c r="T643" s="9" t="n">
        <v>90</v>
      </c>
      <c r="U643" s="10" t="n">
        <v>84</v>
      </c>
      <c r="V643" s="10" t="s">
        <v>42</v>
      </c>
      <c r="W643" s="11" t="n">
        <v>84</v>
      </c>
      <c r="X643" s="12" t="n">
        <v>86</v>
      </c>
      <c r="Y643" s="12" t="s">
        <v>42</v>
      </c>
      <c r="Z643" s="13" t="n">
        <v>86</v>
      </c>
      <c r="AA643" s="14" t="n">
        <v>90</v>
      </c>
      <c r="AB643" s="14" t="s">
        <v>54</v>
      </c>
      <c r="AC643" s="15" t="n">
        <v>90</v>
      </c>
      <c r="AD643" s="2" t="n">
        <f aca="false">SUM(L643,O643,R643,U643,X643,AA643)</f>
        <v>527</v>
      </c>
      <c r="AE643" s="16" t="n">
        <f aca="false">AD643/6</f>
        <v>87.8333333333333</v>
      </c>
      <c r="AF643" s="2" t="str">
        <f aca="false">IF(SUM(COUNTIF(M643,"RA"),COUNTIF(P643,"RA"),COUNTIF(S643,"RA"),COUNTIF(V643,"RA"),COUNTIF(Y643,"RA"),COUNTIF(AB643,"RA"))&gt;0,"FAIL","PASS")</f>
        <v>PASS</v>
      </c>
    </row>
    <row r="644" customFormat="false" ht="15" hidden="false" customHeight="false" outlineLevel="0" collapsed="false">
      <c r="A644" s="2" t="n">
        <v>643</v>
      </c>
      <c r="B644" s="3" t="s">
        <v>3633</v>
      </c>
      <c r="C644" s="2" t="s">
        <v>757</v>
      </c>
      <c r="D644" s="2" t="s">
        <v>3634</v>
      </c>
      <c r="E644" s="2" t="s">
        <v>57</v>
      </c>
      <c r="F644" s="2" t="s">
        <v>36</v>
      </c>
      <c r="G644" s="2" t="s">
        <v>91</v>
      </c>
      <c r="H644" s="2" t="s">
        <v>3635</v>
      </c>
      <c r="I644" s="3" t="s">
        <v>3636</v>
      </c>
      <c r="J644" s="2" t="s">
        <v>3637</v>
      </c>
      <c r="K644" s="2" t="s">
        <v>3638</v>
      </c>
      <c r="L644" s="4" t="n">
        <v>83</v>
      </c>
      <c r="M644" s="4" t="s">
        <v>42</v>
      </c>
      <c r="N644" s="5" t="n">
        <v>83</v>
      </c>
      <c r="O644" s="6" t="n">
        <v>92</v>
      </c>
      <c r="P644" s="6" t="s">
        <v>54</v>
      </c>
      <c r="Q644" s="7" t="n">
        <v>92</v>
      </c>
      <c r="R644" s="8" t="n">
        <v>87</v>
      </c>
      <c r="S644" s="8" t="s">
        <v>42</v>
      </c>
      <c r="T644" s="9" t="n">
        <v>87</v>
      </c>
      <c r="U644" s="10" t="n">
        <v>63</v>
      </c>
      <c r="V644" s="10" t="s">
        <v>44</v>
      </c>
      <c r="W644" s="11" t="n">
        <v>63</v>
      </c>
      <c r="X644" s="12" t="n">
        <v>74</v>
      </c>
      <c r="Y644" s="12" t="s">
        <v>43</v>
      </c>
      <c r="Z644" s="13" t="n">
        <v>74</v>
      </c>
      <c r="AA644" s="14" t="n">
        <v>63</v>
      </c>
      <c r="AB644" s="14" t="s">
        <v>44</v>
      </c>
      <c r="AC644" s="15" t="n">
        <v>63</v>
      </c>
      <c r="AD644" s="2" t="n">
        <f aca="false">SUM(L644,O644,R644,U644,X644,AA644)</f>
        <v>462</v>
      </c>
      <c r="AE644" s="16" t="n">
        <f aca="false">AD644/6</f>
        <v>77</v>
      </c>
      <c r="AF644" s="2" t="str">
        <f aca="false">IF(SUM(COUNTIF(M644,"RA"),COUNTIF(P644,"RA"),COUNTIF(S644,"RA"),COUNTIF(V644,"RA"),COUNTIF(Y644,"RA"),COUNTIF(AB644,"RA"))&gt;0,"FAIL","PASS")</f>
        <v>PASS</v>
      </c>
    </row>
    <row r="645" customFormat="false" ht="15" hidden="false" customHeight="false" outlineLevel="0" collapsed="false">
      <c r="A645" s="2" t="n">
        <v>644</v>
      </c>
      <c r="B645" s="3" t="s">
        <v>3639</v>
      </c>
      <c r="C645" s="2" t="s">
        <v>750</v>
      </c>
      <c r="D645" s="2" t="s">
        <v>3640</v>
      </c>
      <c r="E645" s="2" t="s">
        <v>35</v>
      </c>
      <c r="F645" s="2" t="s">
        <v>36</v>
      </c>
      <c r="G645" s="2" t="s">
        <v>37</v>
      </c>
      <c r="H645" s="2" t="s">
        <v>3641</v>
      </c>
      <c r="I645" s="3" t="s">
        <v>3642</v>
      </c>
      <c r="J645" s="2" t="s">
        <v>3643</v>
      </c>
      <c r="K645" s="2" t="s">
        <v>3644</v>
      </c>
      <c r="L645" s="4" t="n">
        <v>63</v>
      </c>
      <c r="M645" s="4" t="s">
        <v>44</v>
      </c>
      <c r="N645" s="5" t="n">
        <v>63</v>
      </c>
      <c r="O645" s="6" t="n">
        <v>53</v>
      </c>
      <c r="P645" s="6" t="s">
        <v>53</v>
      </c>
      <c r="Q645" s="7" t="n">
        <v>53</v>
      </c>
      <c r="R645" s="8" t="n">
        <v>44</v>
      </c>
      <c r="S645" s="8" t="s">
        <v>45</v>
      </c>
      <c r="T645" s="9" t="n">
        <v>44</v>
      </c>
      <c r="U645" s="10" t="n">
        <v>77</v>
      </c>
      <c r="V645" s="10" t="s">
        <v>43</v>
      </c>
      <c r="W645" s="11" t="n">
        <v>77</v>
      </c>
      <c r="X645" s="12" t="n">
        <v>77</v>
      </c>
      <c r="Y645" s="12" t="s">
        <v>43</v>
      </c>
      <c r="Z645" s="13" t="n">
        <v>77</v>
      </c>
      <c r="AA645" s="14" t="n">
        <v>41</v>
      </c>
      <c r="AB645" s="14" t="s">
        <v>45</v>
      </c>
      <c r="AC645" s="15" t="n">
        <v>41</v>
      </c>
      <c r="AD645" s="2" t="n">
        <f aca="false">SUM(L645,O645,R645,U645,X645,AA645)</f>
        <v>355</v>
      </c>
      <c r="AE645" s="16" t="n">
        <f aca="false">AD645/6</f>
        <v>59.1666666666667</v>
      </c>
      <c r="AF645" s="2" t="str">
        <f aca="false">IF(SUM(COUNTIF(M645,"RA"),COUNTIF(P645,"RA"),COUNTIF(S645,"RA"),COUNTIF(V645,"RA"),COUNTIF(Y645,"RA"),COUNTIF(AB645,"RA"))&gt;0,"FAIL","PASS")</f>
        <v>FAIL</v>
      </c>
    </row>
    <row r="646" customFormat="false" ht="15" hidden="false" customHeight="false" outlineLevel="0" collapsed="false">
      <c r="A646" s="2" t="n">
        <v>645</v>
      </c>
      <c r="B646" s="3" t="s">
        <v>3645</v>
      </c>
      <c r="C646" s="2" t="s">
        <v>803</v>
      </c>
      <c r="D646" s="2" t="s">
        <v>3646</v>
      </c>
      <c r="E646" s="2" t="s">
        <v>57</v>
      </c>
      <c r="F646" s="2" t="s">
        <v>36</v>
      </c>
      <c r="G646" s="2" t="s">
        <v>64</v>
      </c>
      <c r="H646" s="2" t="s">
        <v>3647</v>
      </c>
      <c r="I646" s="3" t="s">
        <v>1842</v>
      </c>
      <c r="J646" s="2" t="s">
        <v>3648</v>
      </c>
      <c r="K646" s="2" t="s">
        <v>3649</v>
      </c>
      <c r="L646" s="4" t="n">
        <v>61</v>
      </c>
      <c r="M646" s="4" t="s">
        <v>44</v>
      </c>
      <c r="N646" s="5" t="n">
        <v>61</v>
      </c>
      <c r="O646" s="6" t="n">
        <v>98</v>
      </c>
      <c r="P646" s="6" t="s">
        <v>54</v>
      </c>
      <c r="Q646" s="7" t="n">
        <v>98</v>
      </c>
      <c r="R646" s="8" t="n">
        <v>60</v>
      </c>
      <c r="S646" s="8" t="s">
        <v>44</v>
      </c>
      <c r="T646" s="9" t="n">
        <v>60</v>
      </c>
      <c r="U646" s="10" t="n">
        <v>44</v>
      </c>
      <c r="V646" s="10" t="s">
        <v>45</v>
      </c>
      <c r="W646" s="11" t="n">
        <v>44</v>
      </c>
      <c r="X646" s="12" t="n">
        <v>63</v>
      </c>
      <c r="Y646" s="12" t="s">
        <v>44</v>
      </c>
      <c r="Z646" s="13" t="n">
        <v>63</v>
      </c>
      <c r="AA646" s="14" t="n">
        <v>94</v>
      </c>
      <c r="AB646" s="14" t="s">
        <v>54</v>
      </c>
      <c r="AC646" s="15" t="n">
        <v>94</v>
      </c>
      <c r="AD646" s="2" t="n">
        <f aca="false">SUM(L646,O646,R646,U646,X646,AA646)</f>
        <v>420</v>
      </c>
      <c r="AE646" s="16" t="n">
        <f aca="false">AD646/6</f>
        <v>70</v>
      </c>
      <c r="AF646" s="2" t="str">
        <f aca="false">IF(SUM(COUNTIF(M646,"RA"),COUNTIF(P646,"RA"),COUNTIF(S646,"RA"),COUNTIF(V646,"RA"),COUNTIF(Y646,"RA"),COUNTIF(AB646,"RA"))&gt;0,"FAIL","PASS")</f>
        <v>FAIL</v>
      </c>
    </row>
    <row r="647" customFormat="false" ht="15" hidden="false" customHeight="false" outlineLevel="0" collapsed="false">
      <c r="A647" s="2" t="n">
        <v>646</v>
      </c>
      <c r="B647" s="3" t="s">
        <v>3650</v>
      </c>
      <c r="C647" s="2" t="s">
        <v>841</v>
      </c>
      <c r="D647" s="2" t="s">
        <v>3651</v>
      </c>
      <c r="E647" s="2" t="s">
        <v>57</v>
      </c>
      <c r="F647" s="2" t="s">
        <v>36</v>
      </c>
      <c r="G647" s="2" t="s">
        <v>91</v>
      </c>
      <c r="H647" s="2" t="s">
        <v>3652</v>
      </c>
      <c r="I647" s="3" t="s">
        <v>3653</v>
      </c>
      <c r="J647" s="2" t="s">
        <v>3654</v>
      </c>
      <c r="K647" s="2" t="s">
        <v>3655</v>
      </c>
      <c r="L647" s="4" t="n">
        <v>86</v>
      </c>
      <c r="M647" s="4" t="s">
        <v>42</v>
      </c>
      <c r="N647" s="5" t="n">
        <v>86</v>
      </c>
      <c r="O647" s="6" t="n">
        <v>66</v>
      </c>
      <c r="P647" s="6" t="s">
        <v>44</v>
      </c>
      <c r="Q647" s="7" t="n">
        <v>66</v>
      </c>
      <c r="R647" s="8" t="n">
        <v>97</v>
      </c>
      <c r="S647" s="8" t="s">
        <v>54</v>
      </c>
      <c r="T647" s="9" t="n">
        <v>97</v>
      </c>
      <c r="U647" s="10" t="n">
        <v>100</v>
      </c>
      <c r="V647" s="10" t="s">
        <v>54</v>
      </c>
      <c r="W647" s="11" t="n">
        <v>100</v>
      </c>
      <c r="X647" s="12" t="n">
        <v>86</v>
      </c>
      <c r="Y647" s="12" t="s">
        <v>42</v>
      </c>
      <c r="Z647" s="13" t="n">
        <v>86</v>
      </c>
      <c r="AA647" s="14" t="n">
        <v>92</v>
      </c>
      <c r="AB647" s="14" t="s">
        <v>54</v>
      </c>
      <c r="AC647" s="15" t="n">
        <v>92</v>
      </c>
      <c r="AD647" s="2" t="n">
        <f aca="false">SUM(L647,O647,R647,U647,X647,AA647)</f>
        <v>527</v>
      </c>
      <c r="AE647" s="16" t="n">
        <f aca="false">AD647/6</f>
        <v>87.8333333333333</v>
      </c>
      <c r="AF647" s="2" t="str">
        <f aca="false">IF(SUM(COUNTIF(M647,"RA"),COUNTIF(P647,"RA"),COUNTIF(S647,"RA"),COUNTIF(V647,"RA"),COUNTIF(Y647,"RA"),COUNTIF(AB647,"RA"))&gt;0,"FAIL","PASS")</f>
        <v>PASS</v>
      </c>
    </row>
    <row r="648" customFormat="false" ht="15" hidden="false" customHeight="false" outlineLevel="0" collapsed="false">
      <c r="A648" s="2" t="n">
        <v>647</v>
      </c>
      <c r="B648" s="3" t="s">
        <v>3656</v>
      </c>
      <c r="C648" s="2" t="s">
        <v>790</v>
      </c>
      <c r="D648" s="2" t="s">
        <v>3657</v>
      </c>
      <c r="E648" s="2" t="s">
        <v>35</v>
      </c>
      <c r="F648" s="2" t="s">
        <v>36</v>
      </c>
      <c r="G648" s="2" t="s">
        <v>37</v>
      </c>
      <c r="H648" s="2" t="s">
        <v>65</v>
      </c>
      <c r="I648" s="3" t="s">
        <v>1739</v>
      </c>
      <c r="J648" s="2" t="s">
        <v>3658</v>
      </c>
      <c r="K648" s="2" t="s">
        <v>3659</v>
      </c>
      <c r="L648" s="4" t="n">
        <v>85</v>
      </c>
      <c r="M648" s="4" t="s">
        <v>42</v>
      </c>
      <c r="N648" s="5" t="n">
        <v>85</v>
      </c>
      <c r="O648" s="6" t="n">
        <v>45</v>
      </c>
      <c r="P648" s="6" t="s">
        <v>45</v>
      </c>
      <c r="Q648" s="7" t="n">
        <v>45</v>
      </c>
      <c r="R648" s="8" t="n">
        <v>64</v>
      </c>
      <c r="S648" s="8" t="s">
        <v>44</v>
      </c>
      <c r="T648" s="9" t="n">
        <v>64</v>
      </c>
      <c r="U648" s="10" t="n">
        <v>81</v>
      </c>
      <c r="V648" s="10" t="s">
        <v>42</v>
      </c>
      <c r="W648" s="11" t="n">
        <v>81</v>
      </c>
      <c r="X648" s="12" t="n">
        <v>98</v>
      </c>
      <c r="Y648" s="12" t="s">
        <v>54</v>
      </c>
      <c r="Z648" s="13" t="n">
        <v>98</v>
      </c>
      <c r="AA648" s="14" t="n">
        <v>68</v>
      </c>
      <c r="AB648" s="14" t="s">
        <v>44</v>
      </c>
      <c r="AC648" s="15" t="n">
        <v>68</v>
      </c>
      <c r="AD648" s="2" t="n">
        <f aca="false">SUM(L648,O648,R648,U648,X648,AA648)</f>
        <v>441</v>
      </c>
      <c r="AE648" s="16" t="n">
        <f aca="false">AD648/6</f>
        <v>73.5</v>
      </c>
      <c r="AF648" s="2" t="str">
        <f aca="false">IF(SUM(COUNTIF(M648,"RA"),COUNTIF(P648,"RA"),COUNTIF(S648,"RA"),COUNTIF(V648,"RA"),COUNTIF(Y648,"RA"),COUNTIF(AB648,"RA"))&gt;0,"FAIL","PASS")</f>
        <v>FAIL</v>
      </c>
    </row>
    <row r="649" customFormat="false" ht="15" hidden="false" customHeight="false" outlineLevel="0" collapsed="false">
      <c r="A649" s="2" t="n">
        <v>648</v>
      </c>
      <c r="B649" s="3" t="s">
        <v>3660</v>
      </c>
      <c r="C649" s="2" t="s">
        <v>816</v>
      </c>
      <c r="D649" s="2" t="s">
        <v>3661</v>
      </c>
      <c r="E649" s="2" t="s">
        <v>35</v>
      </c>
      <c r="F649" s="2" t="s">
        <v>36</v>
      </c>
      <c r="G649" s="2" t="s">
        <v>78</v>
      </c>
      <c r="H649" s="2" t="s">
        <v>1375</v>
      </c>
      <c r="I649" s="3" t="s">
        <v>3662</v>
      </c>
      <c r="J649" s="2" t="s">
        <v>3663</v>
      </c>
      <c r="K649" s="2" t="s">
        <v>3664</v>
      </c>
      <c r="L649" s="4" t="n">
        <v>69</v>
      </c>
      <c r="M649" s="4" t="s">
        <v>44</v>
      </c>
      <c r="N649" s="5" t="n">
        <v>69</v>
      </c>
      <c r="O649" s="6" t="n">
        <v>85</v>
      </c>
      <c r="P649" s="6" t="s">
        <v>42</v>
      </c>
      <c r="Q649" s="7" t="n">
        <v>85</v>
      </c>
      <c r="R649" s="8" t="n">
        <v>81</v>
      </c>
      <c r="S649" s="8" t="s">
        <v>42</v>
      </c>
      <c r="T649" s="9" t="n">
        <v>81</v>
      </c>
      <c r="U649" s="10" t="n">
        <v>74</v>
      </c>
      <c r="V649" s="10" t="s">
        <v>43</v>
      </c>
      <c r="W649" s="11" t="n">
        <v>74</v>
      </c>
      <c r="X649" s="12" t="n">
        <v>99</v>
      </c>
      <c r="Y649" s="12" t="s">
        <v>54</v>
      </c>
      <c r="Z649" s="13" t="n">
        <v>99</v>
      </c>
      <c r="AA649" s="14" t="n">
        <v>88</v>
      </c>
      <c r="AB649" s="14" t="s">
        <v>42</v>
      </c>
      <c r="AC649" s="15" t="n">
        <v>88</v>
      </c>
      <c r="AD649" s="2" t="n">
        <f aca="false">SUM(L649,O649,R649,U649,X649,AA649)</f>
        <v>496</v>
      </c>
      <c r="AE649" s="16" t="n">
        <f aca="false">AD649/6</f>
        <v>82.6666666666667</v>
      </c>
      <c r="AF649" s="2" t="str">
        <f aca="false">IF(SUM(COUNTIF(M649,"RA"),COUNTIF(P649,"RA"),COUNTIF(S649,"RA"),COUNTIF(V649,"RA"),COUNTIF(Y649,"RA"),COUNTIF(AB649,"RA"))&gt;0,"FAIL","PASS")</f>
        <v>PASS</v>
      </c>
    </row>
    <row r="650" customFormat="false" ht="15" hidden="false" customHeight="false" outlineLevel="0" collapsed="false">
      <c r="A650" s="2" t="n">
        <v>649</v>
      </c>
      <c r="B650" s="3" t="s">
        <v>3665</v>
      </c>
      <c r="C650" s="2" t="s">
        <v>757</v>
      </c>
      <c r="D650" s="2" t="s">
        <v>3666</v>
      </c>
      <c r="E650" s="2" t="s">
        <v>35</v>
      </c>
      <c r="F650" s="2" t="s">
        <v>36</v>
      </c>
      <c r="G650" s="2" t="s">
        <v>78</v>
      </c>
      <c r="H650" s="2" t="s">
        <v>2566</v>
      </c>
      <c r="I650" s="3" t="s">
        <v>3667</v>
      </c>
      <c r="J650" s="2" t="s">
        <v>3668</v>
      </c>
      <c r="K650" s="2" t="s">
        <v>3669</v>
      </c>
      <c r="L650" s="4" t="n">
        <v>50</v>
      </c>
      <c r="M650" s="4" t="s">
        <v>53</v>
      </c>
      <c r="N650" s="5" t="n">
        <v>50</v>
      </c>
      <c r="O650" s="6" t="n">
        <v>68</v>
      </c>
      <c r="P650" s="6" t="s">
        <v>44</v>
      </c>
      <c r="Q650" s="7" t="n">
        <v>68</v>
      </c>
      <c r="R650" s="8" t="n">
        <v>53</v>
      </c>
      <c r="S650" s="8" t="s">
        <v>53</v>
      </c>
      <c r="T650" s="9" t="n">
        <v>53</v>
      </c>
      <c r="U650" s="10" t="n">
        <v>46</v>
      </c>
      <c r="V650" s="10" t="s">
        <v>45</v>
      </c>
      <c r="W650" s="11" t="n">
        <v>46</v>
      </c>
      <c r="X650" s="12" t="n">
        <v>79</v>
      </c>
      <c r="Y650" s="12" t="s">
        <v>43</v>
      </c>
      <c r="Z650" s="13" t="n">
        <v>79</v>
      </c>
      <c r="AA650" s="14" t="n">
        <v>91</v>
      </c>
      <c r="AB650" s="14" t="s">
        <v>54</v>
      </c>
      <c r="AC650" s="15" t="n">
        <v>91</v>
      </c>
      <c r="AD650" s="2" t="n">
        <f aca="false">SUM(L650,O650,R650,U650,X650,AA650)</f>
        <v>387</v>
      </c>
      <c r="AE650" s="16" t="n">
        <f aca="false">AD650/6</f>
        <v>64.5</v>
      </c>
      <c r="AF650" s="2" t="str">
        <f aca="false">IF(SUM(COUNTIF(M650,"RA"),COUNTIF(P650,"RA"),COUNTIF(S650,"RA"),COUNTIF(V650,"RA"),COUNTIF(Y650,"RA"),COUNTIF(AB650,"RA"))&gt;0,"FAIL","PASS")</f>
        <v>FAIL</v>
      </c>
    </row>
    <row r="651" customFormat="false" ht="15" hidden="false" customHeight="false" outlineLevel="0" collapsed="false">
      <c r="A651" s="2" t="n">
        <v>650</v>
      </c>
      <c r="B651" s="3" t="s">
        <v>3670</v>
      </c>
      <c r="C651" s="2" t="s">
        <v>841</v>
      </c>
      <c r="D651" s="2" t="s">
        <v>3671</v>
      </c>
      <c r="E651" s="2" t="s">
        <v>35</v>
      </c>
      <c r="F651" s="2" t="s">
        <v>36</v>
      </c>
      <c r="G651" s="2" t="s">
        <v>64</v>
      </c>
      <c r="H651" s="2" t="s">
        <v>3672</v>
      </c>
      <c r="I651" s="3" t="s">
        <v>3673</v>
      </c>
      <c r="J651" s="2" t="s">
        <v>3674</v>
      </c>
      <c r="K651" s="2" t="s">
        <v>3675</v>
      </c>
      <c r="L651" s="4" t="n">
        <v>57</v>
      </c>
      <c r="M651" s="4" t="s">
        <v>53</v>
      </c>
      <c r="N651" s="5" t="n">
        <v>57</v>
      </c>
      <c r="O651" s="6" t="n">
        <v>80</v>
      </c>
      <c r="P651" s="6" t="s">
        <v>42</v>
      </c>
      <c r="Q651" s="7" t="n">
        <v>80</v>
      </c>
      <c r="R651" s="8" t="n">
        <v>96</v>
      </c>
      <c r="S651" s="8" t="s">
        <v>54</v>
      </c>
      <c r="T651" s="9" t="n">
        <v>96</v>
      </c>
      <c r="U651" s="10" t="n">
        <v>69</v>
      </c>
      <c r="V651" s="10" t="s">
        <v>44</v>
      </c>
      <c r="W651" s="11" t="n">
        <v>69</v>
      </c>
      <c r="X651" s="12" t="n">
        <v>92</v>
      </c>
      <c r="Y651" s="12" t="s">
        <v>54</v>
      </c>
      <c r="Z651" s="13" t="n">
        <v>92</v>
      </c>
      <c r="AA651" s="14" t="n">
        <v>52</v>
      </c>
      <c r="AB651" s="14" t="s">
        <v>53</v>
      </c>
      <c r="AC651" s="15" t="n">
        <v>52</v>
      </c>
      <c r="AD651" s="2" t="n">
        <f aca="false">SUM(L651,O651,R651,U651,X651,AA651)</f>
        <v>446</v>
      </c>
      <c r="AE651" s="16" t="n">
        <f aca="false">AD651/6</f>
        <v>74.3333333333333</v>
      </c>
      <c r="AF651" s="2" t="str">
        <f aca="false">IF(SUM(COUNTIF(M651,"RA"),COUNTIF(P651,"RA"),COUNTIF(S651,"RA"),COUNTIF(V651,"RA"),COUNTIF(Y651,"RA"),COUNTIF(AB651,"RA"))&gt;0,"FAIL","PASS")</f>
        <v>PASS</v>
      </c>
    </row>
    <row r="652" customFormat="false" ht="15" hidden="false" customHeight="false" outlineLevel="0" collapsed="false">
      <c r="A652" s="2" t="n">
        <v>651</v>
      </c>
      <c r="B652" s="3" t="s">
        <v>3676</v>
      </c>
      <c r="C652" s="2" t="s">
        <v>750</v>
      </c>
      <c r="D652" s="2" t="s">
        <v>3677</v>
      </c>
      <c r="E652" s="2" t="s">
        <v>35</v>
      </c>
      <c r="F652" s="2" t="s">
        <v>36</v>
      </c>
      <c r="G652" s="2" t="s">
        <v>71</v>
      </c>
      <c r="H652" s="2" t="s">
        <v>3678</v>
      </c>
      <c r="I652" s="3" t="s">
        <v>3679</v>
      </c>
      <c r="J652" s="2" t="s">
        <v>3680</v>
      </c>
      <c r="K652" s="2" t="s">
        <v>3681</v>
      </c>
      <c r="L652" s="4" t="n">
        <v>85</v>
      </c>
      <c r="M652" s="4" t="s">
        <v>42</v>
      </c>
      <c r="N652" s="5" t="n">
        <v>85</v>
      </c>
      <c r="O652" s="6" t="n">
        <v>79</v>
      </c>
      <c r="P652" s="6" t="s">
        <v>43</v>
      </c>
      <c r="Q652" s="7" t="n">
        <v>79</v>
      </c>
      <c r="R652" s="8" t="n">
        <v>97</v>
      </c>
      <c r="S652" s="8" t="s">
        <v>54</v>
      </c>
      <c r="T652" s="9" t="n">
        <v>97</v>
      </c>
      <c r="U652" s="10" t="n">
        <v>87</v>
      </c>
      <c r="V652" s="10" t="s">
        <v>42</v>
      </c>
      <c r="W652" s="11" t="n">
        <v>87</v>
      </c>
      <c r="X652" s="12" t="n">
        <v>99</v>
      </c>
      <c r="Y652" s="12" t="s">
        <v>54</v>
      </c>
      <c r="Z652" s="13" t="n">
        <v>99</v>
      </c>
      <c r="AA652" s="14" t="n">
        <v>48</v>
      </c>
      <c r="AB652" s="14" t="s">
        <v>45</v>
      </c>
      <c r="AC652" s="15" t="n">
        <v>48</v>
      </c>
      <c r="AD652" s="2" t="n">
        <f aca="false">SUM(L652,O652,R652,U652,X652,AA652)</f>
        <v>495</v>
      </c>
      <c r="AE652" s="16" t="n">
        <f aca="false">AD652/6</f>
        <v>82.5</v>
      </c>
      <c r="AF652" s="2" t="str">
        <f aca="false">IF(SUM(COUNTIF(M652,"RA"),COUNTIF(P652,"RA"),COUNTIF(S652,"RA"),COUNTIF(V652,"RA"),COUNTIF(Y652,"RA"),COUNTIF(AB652,"RA"))&gt;0,"FAIL","PASS")</f>
        <v>FAIL</v>
      </c>
    </row>
    <row r="653" customFormat="false" ht="15" hidden="false" customHeight="false" outlineLevel="0" collapsed="false">
      <c r="A653" s="2" t="n">
        <v>652</v>
      </c>
      <c r="B653" s="3" t="s">
        <v>3682</v>
      </c>
      <c r="C653" s="2" t="s">
        <v>757</v>
      </c>
      <c r="D653" s="2" t="s">
        <v>3683</v>
      </c>
      <c r="E653" s="2" t="s">
        <v>35</v>
      </c>
      <c r="F653" s="2" t="s">
        <v>36</v>
      </c>
      <c r="G653" s="2" t="s">
        <v>78</v>
      </c>
      <c r="H653" s="2" t="s">
        <v>3684</v>
      </c>
      <c r="I653" s="3" t="s">
        <v>2704</v>
      </c>
      <c r="J653" s="2" t="s">
        <v>3685</v>
      </c>
      <c r="K653" s="2" t="s">
        <v>3686</v>
      </c>
      <c r="L653" s="4" t="n">
        <v>61</v>
      </c>
      <c r="M653" s="4" t="s">
        <v>44</v>
      </c>
      <c r="N653" s="5" t="n">
        <v>61</v>
      </c>
      <c r="O653" s="6" t="n">
        <v>85</v>
      </c>
      <c r="P653" s="6" t="s">
        <v>42</v>
      </c>
      <c r="Q653" s="7" t="n">
        <v>85</v>
      </c>
      <c r="R653" s="8" t="n">
        <v>79</v>
      </c>
      <c r="S653" s="8" t="s">
        <v>43</v>
      </c>
      <c r="T653" s="9" t="n">
        <v>79</v>
      </c>
      <c r="U653" s="10" t="n">
        <v>94</v>
      </c>
      <c r="V653" s="10" t="s">
        <v>54</v>
      </c>
      <c r="W653" s="11" t="n">
        <v>94</v>
      </c>
      <c r="X653" s="12" t="n">
        <v>58</v>
      </c>
      <c r="Y653" s="12" t="s">
        <v>53</v>
      </c>
      <c r="Z653" s="13" t="n">
        <v>58</v>
      </c>
      <c r="AA653" s="14" t="n">
        <v>89</v>
      </c>
      <c r="AB653" s="14" t="s">
        <v>42</v>
      </c>
      <c r="AC653" s="15" t="n">
        <v>89</v>
      </c>
      <c r="AD653" s="2" t="n">
        <f aca="false">SUM(L653,O653,R653,U653,X653,AA653)</f>
        <v>466</v>
      </c>
      <c r="AE653" s="16" t="n">
        <f aca="false">AD653/6</f>
        <v>77.6666666666667</v>
      </c>
      <c r="AF653" s="2" t="str">
        <f aca="false">IF(SUM(COUNTIF(M653,"RA"),COUNTIF(P653,"RA"),COUNTIF(S653,"RA"),COUNTIF(V653,"RA"),COUNTIF(Y653,"RA"),COUNTIF(AB653,"RA"))&gt;0,"FAIL","PASS")</f>
        <v>PASS</v>
      </c>
    </row>
    <row r="654" customFormat="false" ht="15" hidden="false" customHeight="false" outlineLevel="0" collapsed="false">
      <c r="A654" s="2" t="n">
        <v>653</v>
      </c>
      <c r="B654" s="3" t="s">
        <v>3687</v>
      </c>
      <c r="C654" s="2" t="s">
        <v>757</v>
      </c>
      <c r="D654" s="2" t="s">
        <v>3688</v>
      </c>
      <c r="E654" s="2" t="s">
        <v>35</v>
      </c>
      <c r="F654" s="2" t="s">
        <v>36</v>
      </c>
      <c r="G654" s="2" t="s">
        <v>44</v>
      </c>
      <c r="H654" s="2" t="s">
        <v>3689</v>
      </c>
      <c r="I654" s="3" t="s">
        <v>159</v>
      </c>
      <c r="J654" s="2" t="s">
        <v>3690</v>
      </c>
      <c r="K654" s="2" t="s">
        <v>3691</v>
      </c>
      <c r="L654" s="4" t="n">
        <v>80</v>
      </c>
      <c r="M654" s="4" t="s">
        <v>42</v>
      </c>
      <c r="N654" s="5" t="n">
        <v>80</v>
      </c>
      <c r="O654" s="6" t="n">
        <v>72</v>
      </c>
      <c r="P654" s="6" t="s">
        <v>43</v>
      </c>
      <c r="Q654" s="7" t="n">
        <v>72</v>
      </c>
      <c r="R654" s="8" t="n">
        <v>93</v>
      </c>
      <c r="S654" s="8" t="s">
        <v>54</v>
      </c>
      <c r="T654" s="9" t="n">
        <v>93</v>
      </c>
      <c r="U654" s="10" t="n">
        <v>98</v>
      </c>
      <c r="V654" s="10" t="s">
        <v>54</v>
      </c>
      <c r="W654" s="11" t="n">
        <v>98</v>
      </c>
      <c r="X654" s="12" t="n">
        <v>73</v>
      </c>
      <c r="Y654" s="12" t="s">
        <v>43</v>
      </c>
      <c r="Z654" s="13" t="n">
        <v>73</v>
      </c>
      <c r="AA654" s="14" t="n">
        <v>92</v>
      </c>
      <c r="AB654" s="14" t="s">
        <v>54</v>
      </c>
      <c r="AC654" s="15" t="n">
        <v>92</v>
      </c>
      <c r="AD654" s="2" t="n">
        <f aca="false">SUM(L654,O654,R654,U654,X654,AA654)</f>
        <v>508</v>
      </c>
      <c r="AE654" s="16" t="n">
        <f aca="false">AD654/6</f>
        <v>84.6666666666667</v>
      </c>
      <c r="AF654" s="2" t="str">
        <f aca="false">IF(SUM(COUNTIF(M654,"RA"),COUNTIF(P654,"RA"),COUNTIF(S654,"RA"),COUNTIF(V654,"RA"),COUNTIF(Y654,"RA"),COUNTIF(AB654,"RA"))&gt;0,"FAIL","PASS")</f>
        <v>PASS</v>
      </c>
    </row>
    <row r="655" customFormat="false" ht="15" hidden="false" customHeight="false" outlineLevel="0" collapsed="false">
      <c r="A655" s="2" t="n">
        <v>654</v>
      </c>
      <c r="B655" s="3" t="s">
        <v>3692</v>
      </c>
      <c r="C655" s="2" t="s">
        <v>783</v>
      </c>
      <c r="D655" s="2" t="s">
        <v>3693</v>
      </c>
      <c r="E655" s="2" t="s">
        <v>57</v>
      </c>
      <c r="F655" s="2" t="s">
        <v>36</v>
      </c>
      <c r="G655" s="2" t="s">
        <v>91</v>
      </c>
      <c r="H655" s="2" t="s">
        <v>3694</v>
      </c>
      <c r="I655" s="3" t="s">
        <v>3695</v>
      </c>
      <c r="J655" s="2" t="s">
        <v>3696</v>
      </c>
      <c r="K655" s="2" t="s">
        <v>3697</v>
      </c>
      <c r="L655" s="4" t="n">
        <v>55</v>
      </c>
      <c r="M655" s="4" t="s">
        <v>53</v>
      </c>
      <c r="N655" s="5" t="n">
        <v>55</v>
      </c>
      <c r="O655" s="6" t="n">
        <v>40</v>
      </c>
      <c r="P655" s="6" t="s">
        <v>45</v>
      </c>
      <c r="Q655" s="7" t="n">
        <v>40</v>
      </c>
      <c r="R655" s="8" t="n">
        <v>64</v>
      </c>
      <c r="S655" s="8" t="s">
        <v>44</v>
      </c>
      <c r="T655" s="9" t="n">
        <v>64</v>
      </c>
      <c r="U655" s="10" t="n">
        <v>81</v>
      </c>
      <c r="V655" s="10" t="s">
        <v>42</v>
      </c>
      <c r="W655" s="11" t="n">
        <v>81</v>
      </c>
      <c r="X655" s="12" t="n">
        <v>81</v>
      </c>
      <c r="Y655" s="12" t="s">
        <v>42</v>
      </c>
      <c r="Z655" s="13" t="n">
        <v>81</v>
      </c>
      <c r="AA655" s="14" t="n">
        <v>55</v>
      </c>
      <c r="AB655" s="14" t="s">
        <v>53</v>
      </c>
      <c r="AC655" s="15" t="n">
        <v>55</v>
      </c>
      <c r="AD655" s="2" t="n">
        <f aca="false">SUM(L655,O655,R655,U655,X655,AA655)</f>
        <v>376</v>
      </c>
      <c r="AE655" s="16" t="n">
        <f aca="false">AD655/6</f>
        <v>62.6666666666667</v>
      </c>
      <c r="AF655" s="2" t="str">
        <f aca="false">IF(SUM(COUNTIF(M655,"RA"),COUNTIF(P655,"RA"),COUNTIF(S655,"RA"),COUNTIF(V655,"RA"),COUNTIF(Y655,"RA"),COUNTIF(AB655,"RA"))&gt;0,"FAIL","PASS")</f>
        <v>FAIL</v>
      </c>
    </row>
    <row r="656" customFormat="false" ht="15" hidden="false" customHeight="false" outlineLevel="0" collapsed="false">
      <c r="A656" s="2" t="n">
        <v>655</v>
      </c>
      <c r="B656" s="3" t="s">
        <v>3698</v>
      </c>
      <c r="C656" s="2" t="s">
        <v>757</v>
      </c>
      <c r="D656" s="2" t="s">
        <v>3699</v>
      </c>
      <c r="E656" s="2" t="s">
        <v>57</v>
      </c>
      <c r="F656" s="2" t="s">
        <v>36</v>
      </c>
      <c r="G656" s="2" t="s">
        <v>37</v>
      </c>
      <c r="H656" s="2" t="s">
        <v>3700</v>
      </c>
      <c r="I656" s="3" t="s">
        <v>450</v>
      </c>
      <c r="J656" s="2" t="s">
        <v>3701</v>
      </c>
      <c r="K656" s="2" t="s">
        <v>3702</v>
      </c>
      <c r="L656" s="4" t="n">
        <v>62</v>
      </c>
      <c r="M656" s="4" t="s">
        <v>44</v>
      </c>
      <c r="N656" s="5" t="n">
        <v>62</v>
      </c>
      <c r="O656" s="6" t="n">
        <v>95</v>
      </c>
      <c r="P656" s="6" t="s">
        <v>54</v>
      </c>
      <c r="Q656" s="7" t="n">
        <v>95</v>
      </c>
      <c r="R656" s="8" t="n">
        <v>93</v>
      </c>
      <c r="S656" s="8" t="s">
        <v>54</v>
      </c>
      <c r="T656" s="9" t="n">
        <v>93</v>
      </c>
      <c r="U656" s="10" t="n">
        <v>57</v>
      </c>
      <c r="V656" s="10" t="s">
        <v>53</v>
      </c>
      <c r="W656" s="11" t="n">
        <v>57</v>
      </c>
      <c r="X656" s="12" t="n">
        <v>96</v>
      </c>
      <c r="Y656" s="12" t="s">
        <v>54</v>
      </c>
      <c r="Z656" s="13" t="n">
        <v>96</v>
      </c>
      <c r="AA656" s="14" t="n">
        <v>72</v>
      </c>
      <c r="AB656" s="14" t="s">
        <v>43</v>
      </c>
      <c r="AC656" s="15" t="n">
        <v>72</v>
      </c>
      <c r="AD656" s="2" t="n">
        <f aca="false">SUM(L656,O656,R656,U656,X656,AA656)</f>
        <v>475</v>
      </c>
      <c r="AE656" s="16" t="n">
        <f aca="false">AD656/6</f>
        <v>79.1666666666667</v>
      </c>
      <c r="AF656" s="2" t="str">
        <f aca="false">IF(SUM(COUNTIF(M656,"RA"),COUNTIF(P656,"RA"),COUNTIF(S656,"RA"),COUNTIF(V656,"RA"),COUNTIF(Y656,"RA"),COUNTIF(AB656,"RA"))&gt;0,"FAIL","PASS")</f>
        <v>PASS</v>
      </c>
    </row>
    <row r="657" customFormat="false" ht="15" hidden="false" customHeight="false" outlineLevel="0" collapsed="false">
      <c r="A657" s="2" t="n">
        <v>656</v>
      </c>
      <c r="B657" s="3" t="s">
        <v>3703</v>
      </c>
      <c r="C657" s="2" t="s">
        <v>757</v>
      </c>
      <c r="D657" s="2" t="s">
        <v>3704</v>
      </c>
      <c r="E657" s="2" t="s">
        <v>35</v>
      </c>
      <c r="F657" s="2" t="s">
        <v>36</v>
      </c>
      <c r="G657" s="2" t="s">
        <v>48</v>
      </c>
      <c r="H657" s="2" t="s">
        <v>3705</v>
      </c>
      <c r="I657" s="3" t="s">
        <v>349</v>
      </c>
      <c r="J657" s="2" t="s">
        <v>3706</v>
      </c>
      <c r="K657" s="2" t="s">
        <v>3707</v>
      </c>
      <c r="L657" s="4" t="n">
        <v>51</v>
      </c>
      <c r="M657" s="4" t="s">
        <v>53</v>
      </c>
      <c r="N657" s="5" t="n">
        <v>51</v>
      </c>
      <c r="O657" s="6" t="n">
        <v>70</v>
      </c>
      <c r="P657" s="6" t="s">
        <v>43</v>
      </c>
      <c r="Q657" s="7" t="n">
        <v>70</v>
      </c>
      <c r="R657" s="8" t="n">
        <v>92</v>
      </c>
      <c r="S657" s="8" t="s">
        <v>54</v>
      </c>
      <c r="T657" s="9" t="n">
        <v>92</v>
      </c>
      <c r="U657" s="10" t="n">
        <v>100</v>
      </c>
      <c r="V657" s="10" t="s">
        <v>54</v>
      </c>
      <c r="W657" s="11" t="n">
        <v>100</v>
      </c>
      <c r="X657" s="12" t="n">
        <v>94</v>
      </c>
      <c r="Y657" s="12" t="s">
        <v>54</v>
      </c>
      <c r="Z657" s="13" t="n">
        <v>94</v>
      </c>
      <c r="AA657" s="14" t="n">
        <v>88</v>
      </c>
      <c r="AB657" s="14" t="s">
        <v>42</v>
      </c>
      <c r="AC657" s="15" t="n">
        <v>88</v>
      </c>
      <c r="AD657" s="2" t="n">
        <f aca="false">SUM(L657,O657,R657,U657,X657,AA657)</f>
        <v>495</v>
      </c>
      <c r="AE657" s="16" t="n">
        <f aca="false">AD657/6</f>
        <v>82.5</v>
      </c>
      <c r="AF657" s="2" t="str">
        <f aca="false">IF(SUM(COUNTIF(M657,"RA"),COUNTIF(P657,"RA"),COUNTIF(S657,"RA"),COUNTIF(V657,"RA"),COUNTIF(Y657,"RA"),COUNTIF(AB657,"RA"))&gt;0,"FAIL","PASS")</f>
        <v>PASS</v>
      </c>
    </row>
    <row r="658" customFormat="false" ht="15" hidden="false" customHeight="false" outlineLevel="0" collapsed="false">
      <c r="A658" s="2" t="n">
        <v>657</v>
      </c>
      <c r="B658" s="3" t="s">
        <v>3708</v>
      </c>
      <c r="C658" s="2" t="s">
        <v>912</v>
      </c>
      <c r="D658" s="2" t="s">
        <v>3709</v>
      </c>
      <c r="E658" s="2" t="s">
        <v>35</v>
      </c>
      <c r="F658" s="2" t="s">
        <v>36</v>
      </c>
      <c r="G658" s="2" t="s">
        <v>48</v>
      </c>
      <c r="H658" s="2" t="s">
        <v>3710</v>
      </c>
      <c r="I658" s="3" t="s">
        <v>3711</v>
      </c>
      <c r="J658" s="2" t="s">
        <v>3712</v>
      </c>
      <c r="K658" s="2" t="s">
        <v>3713</v>
      </c>
      <c r="L658" s="4" t="n">
        <v>96</v>
      </c>
      <c r="M658" s="4" t="s">
        <v>54</v>
      </c>
      <c r="N658" s="5" t="n">
        <v>96</v>
      </c>
      <c r="O658" s="6" t="n">
        <v>92</v>
      </c>
      <c r="P658" s="6" t="s">
        <v>54</v>
      </c>
      <c r="Q658" s="7" t="n">
        <v>92</v>
      </c>
      <c r="R658" s="8" t="n">
        <v>78</v>
      </c>
      <c r="S658" s="8" t="s">
        <v>43</v>
      </c>
      <c r="T658" s="9" t="n">
        <v>78</v>
      </c>
      <c r="U658" s="10" t="n">
        <v>87</v>
      </c>
      <c r="V658" s="10" t="s">
        <v>42</v>
      </c>
      <c r="W658" s="11" t="n">
        <v>87</v>
      </c>
      <c r="X658" s="12" t="n">
        <v>45</v>
      </c>
      <c r="Y658" s="12" t="s">
        <v>45</v>
      </c>
      <c r="Z658" s="13" t="n">
        <v>45</v>
      </c>
      <c r="AA658" s="14" t="n">
        <v>82</v>
      </c>
      <c r="AB658" s="14" t="s">
        <v>42</v>
      </c>
      <c r="AC658" s="15" t="n">
        <v>82</v>
      </c>
      <c r="AD658" s="2" t="n">
        <f aca="false">SUM(L658,O658,R658,U658,X658,AA658)</f>
        <v>480</v>
      </c>
      <c r="AE658" s="16" t="n">
        <f aca="false">AD658/6</f>
        <v>80</v>
      </c>
      <c r="AF658" s="2" t="str">
        <f aca="false">IF(SUM(COUNTIF(M658,"RA"),COUNTIF(P658,"RA"),COUNTIF(S658,"RA"),COUNTIF(V658,"RA"),COUNTIF(Y658,"RA"),COUNTIF(AB658,"RA"))&gt;0,"FAIL","PASS")</f>
        <v>FAIL</v>
      </c>
    </row>
    <row r="659" customFormat="false" ht="15" hidden="false" customHeight="false" outlineLevel="0" collapsed="false">
      <c r="A659" s="2" t="n">
        <v>658</v>
      </c>
      <c r="B659" s="3" t="s">
        <v>3714</v>
      </c>
      <c r="C659" s="2" t="s">
        <v>803</v>
      </c>
      <c r="D659" s="2" t="s">
        <v>3715</v>
      </c>
      <c r="E659" s="2" t="s">
        <v>57</v>
      </c>
      <c r="F659" s="2" t="s">
        <v>36</v>
      </c>
      <c r="G659" s="2" t="s">
        <v>37</v>
      </c>
      <c r="H659" s="2" t="s">
        <v>3716</v>
      </c>
      <c r="I659" s="3" t="s">
        <v>2656</v>
      </c>
      <c r="J659" s="2" t="s">
        <v>3717</v>
      </c>
      <c r="K659" s="2" t="s">
        <v>3718</v>
      </c>
      <c r="L659" s="4" t="n">
        <v>94</v>
      </c>
      <c r="M659" s="4" t="s">
        <v>54</v>
      </c>
      <c r="N659" s="5" t="n">
        <v>94</v>
      </c>
      <c r="O659" s="6" t="n">
        <v>50</v>
      </c>
      <c r="P659" s="6" t="s">
        <v>53</v>
      </c>
      <c r="Q659" s="7" t="n">
        <v>50</v>
      </c>
      <c r="R659" s="8" t="n">
        <v>75</v>
      </c>
      <c r="S659" s="8" t="s">
        <v>43</v>
      </c>
      <c r="T659" s="9" t="n">
        <v>75</v>
      </c>
      <c r="U659" s="10" t="n">
        <v>86</v>
      </c>
      <c r="V659" s="10" t="s">
        <v>42</v>
      </c>
      <c r="W659" s="11" t="n">
        <v>86</v>
      </c>
      <c r="X659" s="12" t="n">
        <v>86</v>
      </c>
      <c r="Y659" s="12" t="s">
        <v>42</v>
      </c>
      <c r="Z659" s="13" t="n">
        <v>86</v>
      </c>
      <c r="AA659" s="14" t="n">
        <v>95</v>
      </c>
      <c r="AB659" s="14" t="s">
        <v>54</v>
      </c>
      <c r="AC659" s="15" t="n">
        <v>95</v>
      </c>
      <c r="AD659" s="2" t="n">
        <f aca="false">SUM(L659,O659,R659,U659,X659,AA659)</f>
        <v>486</v>
      </c>
      <c r="AE659" s="16" t="n">
        <f aca="false">AD659/6</f>
        <v>81</v>
      </c>
      <c r="AF659" s="2" t="str">
        <f aca="false">IF(SUM(COUNTIF(M659,"RA"),COUNTIF(P659,"RA"),COUNTIF(S659,"RA"),COUNTIF(V659,"RA"),COUNTIF(Y659,"RA"),COUNTIF(AB659,"RA"))&gt;0,"FAIL","PASS")</f>
        <v>PASS</v>
      </c>
    </row>
    <row r="660" customFormat="false" ht="15" hidden="false" customHeight="false" outlineLevel="0" collapsed="false">
      <c r="A660" s="2" t="n">
        <v>659</v>
      </c>
      <c r="B660" s="3" t="s">
        <v>3719</v>
      </c>
      <c r="C660" s="2" t="s">
        <v>841</v>
      </c>
      <c r="D660" s="2" t="s">
        <v>3720</v>
      </c>
      <c r="E660" s="2" t="s">
        <v>57</v>
      </c>
      <c r="F660" s="2" t="s">
        <v>36</v>
      </c>
      <c r="G660" s="2" t="s">
        <v>42</v>
      </c>
      <c r="H660" s="2" t="s">
        <v>1607</v>
      </c>
      <c r="I660" s="3" t="s">
        <v>2530</v>
      </c>
      <c r="J660" s="2" t="s">
        <v>3721</v>
      </c>
      <c r="K660" s="2" t="s">
        <v>3722</v>
      </c>
      <c r="L660" s="4" t="n">
        <v>59</v>
      </c>
      <c r="M660" s="4" t="s">
        <v>53</v>
      </c>
      <c r="N660" s="5" t="n">
        <v>59</v>
      </c>
      <c r="O660" s="6" t="n">
        <v>73</v>
      </c>
      <c r="P660" s="6" t="s">
        <v>43</v>
      </c>
      <c r="Q660" s="7" t="n">
        <v>73</v>
      </c>
      <c r="R660" s="8" t="n">
        <v>62</v>
      </c>
      <c r="S660" s="8" t="s">
        <v>44</v>
      </c>
      <c r="T660" s="9" t="n">
        <v>62</v>
      </c>
      <c r="U660" s="10" t="n">
        <v>56</v>
      </c>
      <c r="V660" s="10" t="s">
        <v>53</v>
      </c>
      <c r="W660" s="11" t="n">
        <v>56</v>
      </c>
      <c r="X660" s="12" t="n">
        <v>70</v>
      </c>
      <c r="Y660" s="12" t="s">
        <v>43</v>
      </c>
      <c r="Z660" s="13" t="n">
        <v>70</v>
      </c>
      <c r="AA660" s="14" t="n">
        <v>57</v>
      </c>
      <c r="AB660" s="14" t="s">
        <v>53</v>
      </c>
      <c r="AC660" s="15" t="n">
        <v>57</v>
      </c>
      <c r="AD660" s="2" t="n">
        <f aca="false">SUM(L660,O660,R660,U660,X660,AA660)</f>
        <v>377</v>
      </c>
      <c r="AE660" s="16" t="n">
        <f aca="false">AD660/6</f>
        <v>62.8333333333333</v>
      </c>
      <c r="AF660" s="2" t="str">
        <f aca="false">IF(SUM(COUNTIF(M660,"RA"),COUNTIF(P660,"RA"),COUNTIF(S660,"RA"),COUNTIF(V660,"RA"),COUNTIF(Y660,"RA"),COUNTIF(AB660,"RA"))&gt;0,"FAIL","PASS")</f>
        <v>PASS</v>
      </c>
    </row>
    <row r="661" customFormat="false" ht="15" hidden="false" customHeight="false" outlineLevel="0" collapsed="false">
      <c r="A661" s="2" t="n">
        <v>660</v>
      </c>
      <c r="B661" s="3" t="s">
        <v>3723</v>
      </c>
      <c r="C661" s="2" t="s">
        <v>841</v>
      </c>
      <c r="D661" s="2" t="s">
        <v>3724</v>
      </c>
      <c r="E661" s="2" t="s">
        <v>57</v>
      </c>
      <c r="F661" s="2" t="s">
        <v>36</v>
      </c>
      <c r="G661" s="2" t="s">
        <v>42</v>
      </c>
      <c r="H661" s="2" t="s">
        <v>3725</v>
      </c>
      <c r="I661" s="3" t="s">
        <v>1186</v>
      </c>
      <c r="J661" s="2" t="s">
        <v>3726</v>
      </c>
      <c r="K661" s="2" t="s">
        <v>3727</v>
      </c>
      <c r="L661" s="4" t="n">
        <v>65</v>
      </c>
      <c r="M661" s="4" t="s">
        <v>44</v>
      </c>
      <c r="N661" s="5" t="n">
        <v>65</v>
      </c>
      <c r="O661" s="6" t="n">
        <v>78</v>
      </c>
      <c r="P661" s="6" t="s">
        <v>43</v>
      </c>
      <c r="Q661" s="7" t="n">
        <v>78</v>
      </c>
      <c r="R661" s="8" t="n">
        <v>60</v>
      </c>
      <c r="S661" s="8" t="s">
        <v>44</v>
      </c>
      <c r="T661" s="9" t="n">
        <v>60</v>
      </c>
      <c r="U661" s="10" t="n">
        <v>98</v>
      </c>
      <c r="V661" s="10" t="s">
        <v>54</v>
      </c>
      <c r="W661" s="11" t="n">
        <v>98</v>
      </c>
      <c r="X661" s="12" t="n">
        <v>99</v>
      </c>
      <c r="Y661" s="12" t="s">
        <v>54</v>
      </c>
      <c r="Z661" s="13" t="n">
        <v>99</v>
      </c>
      <c r="AA661" s="14" t="n">
        <v>50</v>
      </c>
      <c r="AB661" s="14" t="s">
        <v>53</v>
      </c>
      <c r="AC661" s="15" t="n">
        <v>50</v>
      </c>
      <c r="AD661" s="2" t="n">
        <f aca="false">SUM(L661,O661,R661,U661,X661,AA661)</f>
        <v>450</v>
      </c>
      <c r="AE661" s="16" t="n">
        <f aca="false">AD661/6</f>
        <v>75</v>
      </c>
      <c r="AF661" s="2" t="str">
        <f aca="false">IF(SUM(COUNTIF(M661,"RA"),COUNTIF(P661,"RA"),COUNTIF(S661,"RA"),COUNTIF(V661,"RA"),COUNTIF(Y661,"RA"),COUNTIF(AB661,"RA"))&gt;0,"FAIL","PASS")</f>
        <v>PASS</v>
      </c>
    </row>
    <row r="662" customFormat="false" ht="15" hidden="false" customHeight="false" outlineLevel="0" collapsed="false">
      <c r="A662" s="2" t="n">
        <v>661</v>
      </c>
      <c r="B662" s="3" t="s">
        <v>3728</v>
      </c>
      <c r="C662" s="2" t="s">
        <v>783</v>
      </c>
      <c r="D662" s="2" t="s">
        <v>3729</v>
      </c>
      <c r="E662" s="2" t="s">
        <v>57</v>
      </c>
      <c r="F662" s="2" t="s">
        <v>36</v>
      </c>
      <c r="G662" s="2" t="s">
        <v>64</v>
      </c>
      <c r="H662" s="2" t="s">
        <v>3730</v>
      </c>
      <c r="I662" s="3" t="s">
        <v>1602</v>
      </c>
      <c r="J662" s="2" t="s">
        <v>3731</v>
      </c>
      <c r="K662" s="2" t="s">
        <v>3732</v>
      </c>
      <c r="L662" s="4" t="n">
        <v>73</v>
      </c>
      <c r="M662" s="4" t="s">
        <v>43</v>
      </c>
      <c r="N662" s="5" t="n">
        <v>73</v>
      </c>
      <c r="O662" s="6" t="n">
        <v>58</v>
      </c>
      <c r="P662" s="6" t="s">
        <v>53</v>
      </c>
      <c r="Q662" s="7" t="n">
        <v>58</v>
      </c>
      <c r="R662" s="8" t="n">
        <v>69</v>
      </c>
      <c r="S662" s="8" t="s">
        <v>44</v>
      </c>
      <c r="T662" s="9" t="n">
        <v>69</v>
      </c>
      <c r="U662" s="10" t="n">
        <v>86</v>
      </c>
      <c r="V662" s="10" t="s">
        <v>42</v>
      </c>
      <c r="W662" s="11" t="n">
        <v>86</v>
      </c>
      <c r="X662" s="12" t="n">
        <v>98</v>
      </c>
      <c r="Y662" s="12" t="s">
        <v>54</v>
      </c>
      <c r="Z662" s="13" t="n">
        <v>98</v>
      </c>
      <c r="AA662" s="14" t="n">
        <v>72</v>
      </c>
      <c r="AB662" s="14" t="s">
        <v>43</v>
      </c>
      <c r="AC662" s="15" t="n">
        <v>72</v>
      </c>
      <c r="AD662" s="2" t="n">
        <f aca="false">SUM(L662,O662,R662,U662,X662,AA662)</f>
        <v>456</v>
      </c>
      <c r="AE662" s="16" t="n">
        <f aca="false">AD662/6</f>
        <v>76</v>
      </c>
      <c r="AF662" s="2" t="str">
        <f aca="false">IF(SUM(COUNTIF(M662,"RA"),COUNTIF(P662,"RA"),COUNTIF(S662,"RA"),COUNTIF(V662,"RA"),COUNTIF(Y662,"RA"),COUNTIF(AB662,"RA"))&gt;0,"FAIL","PASS")</f>
        <v>PASS</v>
      </c>
    </row>
    <row r="663" customFormat="false" ht="15" hidden="false" customHeight="false" outlineLevel="0" collapsed="false">
      <c r="A663" s="2" t="n">
        <v>662</v>
      </c>
      <c r="B663" s="3" t="s">
        <v>3733</v>
      </c>
      <c r="C663" s="2" t="s">
        <v>859</v>
      </c>
      <c r="D663" s="2" t="s">
        <v>3734</v>
      </c>
      <c r="E663" s="2" t="s">
        <v>35</v>
      </c>
      <c r="F663" s="2" t="s">
        <v>36</v>
      </c>
      <c r="G663" s="2" t="s">
        <v>64</v>
      </c>
      <c r="H663" s="2" t="s">
        <v>3735</v>
      </c>
      <c r="I663" s="3" t="s">
        <v>3736</v>
      </c>
      <c r="J663" s="2" t="s">
        <v>3737</v>
      </c>
      <c r="K663" s="2" t="s">
        <v>3738</v>
      </c>
      <c r="L663" s="4" t="n">
        <v>83</v>
      </c>
      <c r="M663" s="4" t="s">
        <v>42</v>
      </c>
      <c r="N663" s="5" t="n">
        <v>83</v>
      </c>
      <c r="O663" s="6" t="n">
        <v>54</v>
      </c>
      <c r="P663" s="6" t="s">
        <v>53</v>
      </c>
      <c r="Q663" s="7" t="n">
        <v>54</v>
      </c>
      <c r="R663" s="8" t="n">
        <v>68</v>
      </c>
      <c r="S663" s="8" t="s">
        <v>44</v>
      </c>
      <c r="T663" s="9" t="n">
        <v>68</v>
      </c>
      <c r="U663" s="10" t="n">
        <v>87</v>
      </c>
      <c r="V663" s="10" t="s">
        <v>42</v>
      </c>
      <c r="W663" s="11" t="n">
        <v>87</v>
      </c>
      <c r="X663" s="12" t="n">
        <v>83</v>
      </c>
      <c r="Y663" s="12" t="s">
        <v>42</v>
      </c>
      <c r="Z663" s="13" t="n">
        <v>83</v>
      </c>
      <c r="AA663" s="14" t="n">
        <v>56</v>
      </c>
      <c r="AB663" s="14" t="s">
        <v>53</v>
      </c>
      <c r="AC663" s="15" t="n">
        <v>56</v>
      </c>
      <c r="AD663" s="2" t="n">
        <f aca="false">SUM(L663,O663,R663,U663,X663,AA663)</f>
        <v>431</v>
      </c>
      <c r="AE663" s="16" t="n">
        <f aca="false">AD663/6</f>
        <v>71.8333333333333</v>
      </c>
      <c r="AF663" s="2" t="str">
        <f aca="false">IF(SUM(COUNTIF(M663,"RA"),COUNTIF(P663,"RA"),COUNTIF(S663,"RA"),COUNTIF(V663,"RA"),COUNTIF(Y663,"RA"),COUNTIF(AB663,"RA"))&gt;0,"FAIL","PASS")</f>
        <v>PASS</v>
      </c>
    </row>
    <row r="664" customFormat="false" ht="15" hidden="false" customHeight="false" outlineLevel="0" collapsed="false">
      <c r="A664" s="2" t="n">
        <v>663</v>
      </c>
      <c r="B664" s="3" t="s">
        <v>3739</v>
      </c>
      <c r="C664" s="2" t="s">
        <v>790</v>
      </c>
      <c r="D664" s="2" t="s">
        <v>3740</v>
      </c>
      <c r="E664" s="2" t="s">
        <v>57</v>
      </c>
      <c r="F664" s="2" t="s">
        <v>36</v>
      </c>
      <c r="G664" s="2" t="s">
        <v>37</v>
      </c>
      <c r="H664" s="2" t="s">
        <v>2643</v>
      </c>
      <c r="I664" s="3" t="s">
        <v>1243</v>
      </c>
      <c r="J664" s="2" t="s">
        <v>3741</v>
      </c>
      <c r="K664" s="2" t="s">
        <v>3742</v>
      </c>
      <c r="L664" s="4" t="n">
        <v>76</v>
      </c>
      <c r="M664" s="4" t="s">
        <v>43</v>
      </c>
      <c r="N664" s="5" t="n">
        <v>76</v>
      </c>
      <c r="O664" s="6" t="n">
        <v>62</v>
      </c>
      <c r="P664" s="6" t="s">
        <v>44</v>
      </c>
      <c r="Q664" s="7" t="n">
        <v>62</v>
      </c>
      <c r="R664" s="8" t="n">
        <v>83</v>
      </c>
      <c r="S664" s="8" t="s">
        <v>42</v>
      </c>
      <c r="T664" s="9" t="n">
        <v>83</v>
      </c>
      <c r="U664" s="10" t="n">
        <v>95</v>
      </c>
      <c r="V664" s="10" t="s">
        <v>54</v>
      </c>
      <c r="W664" s="11" t="n">
        <v>95</v>
      </c>
      <c r="X664" s="12" t="n">
        <v>70</v>
      </c>
      <c r="Y664" s="12" t="s">
        <v>43</v>
      </c>
      <c r="Z664" s="13" t="n">
        <v>70</v>
      </c>
      <c r="AA664" s="14" t="n">
        <v>63</v>
      </c>
      <c r="AB664" s="14" t="s">
        <v>44</v>
      </c>
      <c r="AC664" s="15" t="n">
        <v>63</v>
      </c>
      <c r="AD664" s="2" t="n">
        <f aca="false">SUM(L664,O664,R664,U664,X664,AA664)</f>
        <v>449</v>
      </c>
      <c r="AE664" s="16" t="n">
        <f aca="false">AD664/6</f>
        <v>74.8333333333333</v>
      </c>
      <c r="AF664" s="2" t="str">
        <f aca="false">IF(SUM(COUNTIF(M664,"RA"),COUNTIF(P664,"RA"),COUNTIF(S664,"RA"),COUNTIF(V664,"RA"),COUNTIF(Y664,"RA"),COUNTIF(AB664,"RA"))&gt;0,"FAIL","PASS")</f>
        <v>PASS</v>
      </c>
    </row>
    <row r="665" customFormat="false" ht="15" hidden="false" customHeight="false" outlineLevel="0" collapsed="false">
      <c r="A665" s="2" t="n">
        <v>664</v>
      </c>
      <c r="B665" s="3" t="s">
        <v>3743</v>
      </c>
      <c r="C665" s="2" t="s">
        <v>757</v>
      </c>
      <c r="D665" s="2" t="s">
        <v>3744</v>
      </c>
      <c r="E665" s="2" t="s">
        <v>57</v>
      </c>
      <c r="F665" s="2" t="s">
        <v>36</v>
      </c>
      <c r="G665" s="2" t="s">
        <v>78</v>
      </c>
      <c r="H665" s="2" t="s">
        <v>3745</v>
      </c>
      <c r="I665" s="3" t="s">
        <v>3746</v>
      </c>
      <c r="J665" s="2" t="s">
        <v>3747</v>
      </c>
      <c r="K665" s="2" t="s">
        <v>3748</v>
      </c>
      <c r="L665" s="4" t="n">
        <v>84</v>
      </c>
      <c r="M665" s="4" t="s">
        <v>42</v>
      </c>
      <c r="N665" s="5" t="n">
        <v>84</v>
      </c>
      <c r="O665" s="6" t="n">
        <v>81</v>
      </c>
      <c r="P665" s="6" t="s">
        <v>42</v>
      </c>
      <c r="Q665" s="7" t="n">
        <v>81</v>
      </c>
      <c r="R665" s="8" t="n">
        <v>83</v>
      </c>
      <c r="S665" s="8" t="s">
        <v>42</v>
      </c>
      <c r="T665" s="9" t="n">
        <v>83</v>
      </c>
      <c r="U665" s="10" t="n">
        <v>57</v>
      </c>
      <c r="V665" s="10" t="s">
        <v>53</v>
      </c>
      <c r="W665" s="11" t="n">
        <v>57</v>
      </c>
      <c r="X665" s="12" t="n">
        <v>87</v>
      </c>
      <c r="Y665" s="12" t="s">
        <v>42</v>
      </c>
      <c r="Z665" s="13" t="n">
        <v>87</v>
      </c>
      <c r="AA665" s="14" t="n">
        <v>73</v>
      </c>
      <c r="AB665" s="14" t="s">
        <v>43</v>
      </c>
      <c r="AC665" s="15" t="n">
        <v>73</v>
      </c>
      <c r="AD665" s="2" t="n">
        <f aca="false">SUM(L665,O665,R665,U665,X665,AA665)</f>
        <v>465</v>
      </c>
      <c r="AE665" s="16" t="n">
        <f aca="false">AD665/6</f>
        <v>77.5</v>
      </c>
      <c r="AF665" s="2" t="str">
        <f aca="false">IF(SUM(COUNTIF(M665,"RA"),COUNTIF(P665,"RA"),COUNTIF(S665,"RA"),COUNTIF(V665,"RA"),COUNTIF(Y665,"RA"),COUNTIF(AB665,"RA"))&gt;0,"FAIL","PASS")</f>
        <v>PASS</v>
      </c>
    </row>
    <row r="666" customFormat="false" ht="15" hidden="false" customHeight="false" outlineLevel="0" collapsed="false">
      <c r="A666" s="2" t="n">
        <v>665</v>
      </c>
      <c r="B666" s="3" t="s">
        <v>3749</v>
      </c>
      <c r="C666" s="2" t="s">
        <v>750</v>
      </c>
      <c r="D666" s="2" t="s">
        <v>3750</v>
      </c>
      <c r="E666" s="2" t="s">
        <v>57</v>
      </c>
      <c r="F666" s="2" t="s">
        <v>36</v>
      </c>
      <c r="G666" s="2" t="s">
        <v>48</v>
      </c>
      <c r="H666" s="2" t="s">
        <v>1607</v>
      </c>
      <c r="I666" s="3" t="s">
        <v>2197</v>
      </c>
      <c r="J666" s="2" t="s">
        <v>3751</v>
      </c>
      <c r="K666" s="2" t="s">
        <v>3752</v>
      </c>
      <c r="L666" s="4" t="n">
        <v>71</v>
      </c>
      <c r="M666" s="4" t="s">
        <v>43</v>
      </c>
      <c r="N666" s="5" t="n">
        <v>71</v>
      </c>
      <c r="O666" s="6" t="n">
        <v>83</v>
      </c>
      <c r="P666" s="6" t="s">
        <v>42</v>
      </c>
      <c r="Q666" s="7" t="n">
        <v>83</v>
      </c>
      <c r="R666" s="8" t="n">
        <v>69</v>
      </c>
      <c r="S666" s="8" t="s">
        <v>44</v>
      </c>
      <c r="T666" s="9" t="n">
        <v>69</v>
      </c>
      <c r="U666" s="10" t="n">
        <v>87</v>
      </c>
      <c r="V666" s="10" t="s">
        <v>42</v>
      </c>
      <c r="W666" s="11" t="n">
        <v>87</v>
      </c>
      <c r="X666" s="12" t="n">
        <v>99</v>
      </c>
      <c r="Y666" s="12" t="s">
        <v>54</v>
      </c>
      <c r="Z666" s="13" t="n">
        <v>99</v>
      </c>
      <c r="AA666" s="14" t="n">
        <v>86</v>
      </c>
      <c r="AB666" s="14" t="s">
        <v>42</v>
      </c>
      <c r="AC666" s="15" t="n">
        <v>86</v>
      </c>
      <c r="AD666" s="2" t="n">
        <f aca="false">SUM(L666,O666,R666,U666,X666,AA666)</f>
        <v>495</v>
      </c>
      <c r="AE666" s="16" t="n">
        <f aca="false">AD666/6</f>
        <v>82.5</v>
      </c>
      <c r="AF666" s="2" t="str">
        <f aca="false">IF(SUM(COUNTIF(M666,"RA"),COUNTIF(P666,"RA"),COUNTIF(S666,"RA"),COUNTIF(V666,"RA"),COUNTIF(Y666,"RA"),COUNTIF(AB666,"RA"))&gt;0,"FAIL","PASS")</f>
        <v>PASS</v>
      </c>
    </row>
    <row r="667" customFormat="false" ht="15" hidden="false" customHeight="false" outlineLevel="0" collapsed="false">
      <c r="A667" s="2" t="n">
        <v>666</v>
      </c>
      <c r="B667" s="3" t="s">
        <v>3753</v>
      </c>
      <c r="C667" s="2" t="s">
        <v>783</v>
      </c>
      <c r="D667" s="2" t="s">
        <v>3754</v>
      </c>
      <c r="E667" s="2" t="s">
        <v>35</v>
      </c>
      <c r="F667" s="2" t="s">
        <v>36</v>
      </c>
      <c r="G667" s="2" t="s">
        <v>48</v>
      </c>
      <c r="H667" s="2" t="s">
        <v>3755</v>
      </c>
      <c r="I667" s="3" t="s">
        <v>2225</v>
      </c>
      <c r="J667" s="2" t="s">
        <v>3756</v>
      </c>
      <c r="K667" s="2" t="s">
        <v>3757</v>
      </c>
      <c r="L667" s="4" t="n">
        <v>86</v>
      </c>
      <c r="M667" s="4" t="s">
        <v>42</v>
      </c>
      <c r="N667" s="5" t="n">
        <v>86</v>
      </c>
      <c r="O667" s="6" t="n">
        <v>63</v>
      </c>
      <c r="P667" s="6" t="s">
        <v>44</v>
      </c>
      <c r="Q667" s="7" t="n">
        <v>63</v>
      </c>
      <c r="R667" s="8" t="n">
        <v>60</v>
      </c>
      <c r="S667" s="8" t="s">
        <v>44</v>
      </c>
      <c r="T667" s="9" t="n">
        <v>60</v>
      </c>
      <c r="U667" s="10" t="n">
        <v>80</v>
      </c>
      <c r="V667" s="10" t="s">
        <v>42</v>
      </c>
      <c r="W667" s="11" t="n">
        <v>80</v>
      </c>
      <c r="X667" s="12" t="n">
        <v>76</v>
      </c>
      <c r="Y667" s="12" t="s">
        <v>43</v>
      </c>
      <c r="Z667" s="13" t="n">
        <v>76</v>
      </c>
      <c r="AA667" s="14" t="n">
        <v>78</v>
      </c>
      <c r="AB667" s="14" t="s">
        <v>43</v>
      </c>
      <c r="AC667" s="15" t="n">
        <v>78</v>
      </c>
      <c r="AD667" s="2" t="n">
        <f aca="false">SUM(L667,O667,R667,U667,X667,AA667)</f>
        <v>443</v>
      </c>
      <c r="AE667" s="16" t="n">
        <f aca="false">AD667/6</f>
        <v>73.8333333333333</v>
      </c>
      <c r="AF667" s="2" t="str">
        <f aca="false">IF(SUM(COUNTIF(M667,"RA"),COUNTIF(P667,"RA"),COUNTIF(S667,"RA"),COUNTIF(V667,"RA"),COUNTIF(Y667,"RA"),COUNTIF(AB667,"RA"))&gt;0,"FAIL","PASS")</f>
        <v>PASS</v>
      </c>
    </row>
    <row r="668" customFormat="false" ht="15" hidden="false" customHeight="false" outlineLevel="0" collapsed="false">
      <c r="A668" s="2" t="n">
        <v>667</v>
      </c>
      <c r="B668" s="3" t="s">
        <v>3758</v>
      </c>
      <c r="C668" s="2" t="s">
        <v>912</v>
      </c>
      <c r="D668" s="2" t="s">
        <v>3759</v>
      </c>
      <c r="E668" s="2" t="s">
        <v>35</v>
      </c>
      <c r="F668" s="2" t="s">
        <v>36</v>
      </c>
      <c r="G668" s="2" t="s">
        <v>42</v>
      </c>
      <c r="H668" s="2" t="s">
        <v>2874</v>
      </c>
      <c r="I668" s="3" t="s">
        <v>3760</v>
      </c>
      <c r="J668" s="2" t="s">
        <v>3761</v>
      </c>
      <c r="K668" s="2" t="s">
        <v>3762</v>
      </c>
      <c r="L668" s="4" t="n">
        <v>93</v>
      </c>
      <c r="M668" s="4" t="s">
        <v>54</v>
      </c>
      <c r="N668" s="5" t="n">
        <v>93</v>
      </c>
      <c r="O668" s="6" t="n">
        <v>93</v>
      </c>
      <c r="P668" s="6" t="s">
        <v>54</v>
      </c>
      <c r="Q668" s="7" t="n">
        <v>93</v>
      </c>
      <c r="R668" s="8" t="n">
        <v>83</v>
      </c>
      <c r="S668" s="8" t="s">
        <v>42</v>
      </c>
      <c r="T668" s="9" t="n">
        <v>83</v>
      </c>
      <c r="U668" s="10" t="n">
        <v>85</v>
      </c>
      <c r="V668" s="10" t="s">
        <v>42</v>
      </c>
      <c r="W668" s="11" t="n">
        <v>85</v>
      </c>
      <c r="X668" s="12" t="n">
        <v>60</v>
      </c>
      <c r="Y668" s="12" t="s">
        <v>44</v>
      </c>
      <c r="Z668" s="13" t="n">
        <v>60</v>
      </c>
      <c r="AA668" s="14" t="n">
        <v>75</v>
      </c>
      <c r="AB668" s="14" t="s">
        <v>43</v>
      </c>
      <c r="AC668" s="15" t="n">
        <v>75</v>
      </c>
      <c r="AD668" s="2" t="n">
        <f aca="false">SUM(L668,O668,R668,U668,X668,AA668)</f>
        <v>489</v>
      </c>
      <c r="AE668" s="16" t="n">
        <f aca="false">AD668/6</f>
        <v>81.5</v>
      </c>
      <c r="AF668" s="2" t="str">
        <f aca="false">IF(SUM(COUNTIF(M668,"RA"),COUNTIF(P668,"RA"),COUNTIF(S668,"RA"),COUNTIF(V668,"RA"),COUNTIF(Y668,"RA"),COUNTIF(AB668,"RA"))&gt;0,"FAIL","PASS")</f>
        <v>PASS</v>
      </c>
    </row>
    <row r="669" customFormat="false" ht="15" hidden="false" customHeight="false" outlineLevel="0" collapsed="false">
      <c r="A669" s="2" t="n">
        <v>668</v>
      </c>
      <c r="B669" s="3" t="s">
        <v>3763</v>
      </c>
      <c r="C669" s="2" t="s">
        <v>803</v>
      </c>
      <c r="D669" s="2" t="s">
        <v>3764</v>
      </c>
      <c r="E669" s="2" t="s">
        <v>35</v>
      </c>
      <c r="F669" s="2" t="s">
        <v>36</v>
      </c>
      <c r="G669" s="2" t="s">
        <v>48</v>
      </c>
      <c r="H669" s="2" t="s">
        <v>3765</v>
      </c>
      <c r="I669" s="3" t="s">
        <v>343</v>
      </c>
      <c r="J669" s="2" t="s">
        <v>3766</v>
      </c>
      <c r="K669" s="2" t="s">
        <v>3767</v>
      </c>
      <c r="L669" s="4" t="n">
        <v>63</v>
      </c>
      <c r="M669" s="4" t="s">
        <v>44</v>
      </c>
      <c r="N669" s="5" t="n">
        <v>63</v>
      </c>
      <c r="O669" s="6" t="n">
        <v>99</v>
      </c>
      <c r="P669" s="6" t="s">
        <v>54</v>
      </c>
      <c r="Q669" s="7" t="n">
        <v>99</v>
      </c>
      <c r="R669" s="8" t="n">
        <v>77</v>
      </c>
      <c r="S669" s="8" t="s">
        <v>43</v>
      </c>
      <c r="T669" s="9" t="n">
        <v>77</v>
      </c>
      <c r="U669" s="10" t="n">
        <v>68</v>
      </c>
      <c r="V669" s="10" t="s">
        <v>44</v>
      </c>
      <c r="W669" s="11" t="n">
        <v>68</v>
      </c>
      <c r="X669" s="12" t="n">
        <v>64</v>
      </c>
      <c r="Y669" s="12" t="s">
        <v>44</v>
      </c>
      <c r="Z669" s="13" t="n">
        <v>64</v>
      </c>
      <c r="AA669" s="14" t="n">
        <v>91</v>
      </c>
      <c r="AB669" s="14" t="s">
        <v>54</v>
      </c>
      <c r="AC669" s="15" t="n">
        <v>91</v>
      </c>
      <c r="AD669" s="2" t="n">
        <f aca="false">SUM(L669,O669,R669,U669,X669,AA669)</f>
        <v>462</v>
      </c>
      <c r="AE669" s="16" t="n">
        <f aca="false">AD669/6</f>
        <v>77</v>
      </c>
      <c r="AF669" s="2" t="str">
        <f aca="false">IF(SUM(COUNTIF(M669,"RA"),COUNTIF(P669,"RA"),COUNTIF(S669,"RA"),COUNTIF(V669,"RA"),COUNTIF(Y669,"RA"),COUNTIF(AB669,"RA"))&gt;0,"FAIL","PASS")</f>
        <v>PASS</v>
      </c>
    </row>
    <row r="670" customFormat="false" ht="15" hidden="false" customHeight="false" outlineLevel="0" collapsed="false">
      <c r="A670" s="2" t="n">
        <v>669</v>
      </c>
      <c r="B670" s="3" t="s">
        <v>3768</v>
      </c>
      <c r="C670" s="2" t="s">
        <v>912</v>
      </c>
      <c r="D670" s="2" t="s">
        <v>3769</v>
      </c>
      <c r="E670" s="2" t="s">
        <v>57</v>
      </c>
      <c r="F670" s="2" t="s">
        <v>36</v>
      </c>
      <c r="G670" s="2" t="s">
        <v>78</v>
      </c>
      <c r="H670" s="2" t="s">
        <v>1369</v>
      </c>
      <c r="I670" s="3" t="s">
        <v>926</v>
      </c>
      <c r="J670" s="2" t="s">
        <v>3770</v>
      </c>
      <c r="K670" s="2" t="s">
        <v>3771</v>
      </c>
      <c r="L670" s="4" t="n">
        <v>70</v>
      </c>
      <c r="M670" s="4" t="s">
        <v>43</v>
      </c>
      <c r="N670" s="5" t="n">
        <v>70</v>
      </c>
      <c r="O670" s="6" t="n">
        <v>49</v>
      </c>
      <c r="P670" s="6" t="s">
        <v>45</v>
      </c>
      <c r="Q670" s="7" t="n">
        <v>49</v>
      </c>
      <c r="R670" s="8" t="n">
        <v>57</v>
      </c>
      <c r="S670" s="8" t="s">
        <v>53</v>
      </c>
      <c r="T670" s="9" t="n">
        <v>57</v>
      </c>
      <c r="U670" s="10" t="n">
        <v>66</v>
      </c>
      <c r="V670" s="10" t="s">
        <v>44</v>
      </c>
      <c r="W670" s="11" t="n">
        <v>66</v>
      </c>
      <c r="X670" s="12" t="n">
        <v>46</v>
      </c>
      <c r="Y670" s="12" t="s">
        <v>45</v>
      </c>
      <c r="Z670" s="13" t="n">
        <v>46</v>
      </c>
      <c r="AA670" s="14" t="n">
        <v>85</v>
      </c>
      <c r="AB670" s="14" t="s">
        <v>42</v>
      </c>
      <c r="AC670" s="15" t="n">
        <v>85</v>
      </c>
      <c r="AD670" s="2" t="n">
        <f aca="false">SUM(L670,O670,R670,U670,X670,AA670)</f>
        <v>373</v>
      </c>
      <c r="AE670" s="16" t="n">
        <f aca="false">AD670/6</f>
        <v>62.1666666666667</v>
      </c>
      <c r="AF670" s="2" t="str">
        <f aca="false">IF(SUM(COUNTIF(M670,"RA"),COUNTIF(P670,"RA"),COUNTIF(S670,"RA"),COUNTIF(V670,"RA"),COUNTIF(Y670,"RA"),COUNTIF(AB670,"RA"))&gt;0,"FAIL","PASS")</f>
        <v>FAIL</v>
      </c>
    </row>
    <row r="671" customFormat="false" ht="15" hidden="false" customHeight="false" outlineLevel="0" collapsed="false">
      <c r="A671" s="2" t="n">
        <v>670</v>
      </c>
      <c r="B671" s="3" t="s">
        <v>3772</v>
      </c>
      <c r="C671" s="2" t="s">
        <v>859</v>
      </c>
      <c r="D671" s="2" t="s">
        <v>3773</v>
      </c>
      <c r="E671" s="2" t="s">
        <v>35</v>
      </c>
      <c r="F671" s="2" t="s">
        <v>36</v>
      </c>
      <c r="G671" s="2" t="s">
        <v>71</v>
      </c>
      <c r="H671" s="2" t="s">
        <v>3774</v>
      </c>
      <c r="I671" s="3" t="s">
        <v>66</v>
      </c>
      <c r="J671" s="2" t="s">
        <v>3775</v>
      </c>
      <c r="K671" s="2" t="s">
        <v>3776</v>
      </c>
      <c r="L671" s="4" t="n">
        <v>89</v>
      </c>
      <c r="M671" s="4" t="s">
        <v>42</v>
      </c>
      <c r="N671" s="5" t="n">
        <v>89</v>
      </c>
      <c r="O671" s="6" t="n">
        <v>74</v>
      </c>
      <c r="P671" s="6" t="s">
        <v>43</v>
      </c>
      <c r="Q671" s="7" t="n">
        <v>74</v>
      </c>
      <c r="R671" s="8" t="n">
        <v>61</v>
      </c>
      <c r="S671" s="8" t="s">
        <v>44</v>
      </c>
      <c r="T671" s="9" t="n">
        <v>61</v>
      </c>
      <c r="U671" s="10" t="n">
        <v>66</v>
      </c>
      <c r="V671" s="10" t="s">
        <v>44</v>
      </c>
      <c r="W671" s="11" t="n">
        <v>66</v>
      </c>
      <c r="X671" s="12" t="n">
        <v>65</v>
      </c>
      <c r="Y671" s="12" t="s">
        <v>44</v>
      </c>
      <c r="Z671" s="13" t="n">
        <v>65</v>
      </c>
      <c r="AA671" s="14" t="n">
        <v>69</v>
      </c>
      <c r="AB671" s="14" t="s">
        <v>44</v>
      </c>
      <c r="AC671" s="15" t="n">
        <v>69</v>
      </c>
      <c r="AD671" s="2" t="n">
        <f aca="false">SUM(L671,O671,R671,U671,X671,AA671)</f>
        <v>424</v>
      </c>
      <c r="AE671" s="16" t="n">
        <f aca="false">AD671/6</f>
        <v>70.6666666666667</v>
      </c>
      <c r="AF671" s="2" t="str">
        <f aca="false">IF(SUM(COUNTIF(M671,"RA"),COUNTIF(P671,"RA"),COUNTIF(S671,"RA"),COUNTIF(V671,"RA"),COUNTIF(Y671,"RA"),COUNTIF(AB671,"RA"))&gt;0,"FAIL","PASS")</f>
        <v>PASS</v>
      </c>
    </row>
    <row r="672" customFormat="false" ht="15" hidden="false" customHeight="false" outlineLevel="0" collapsed="false">
      <c r="A672" s="2" t="n">
        <v>671</v>
      </c>
      <c r="B672" s="3" t="s">
        <v>3777</v>
      </c>
      <c r="C672" s="2" t="s">
        <v>757</v>
      </c>
      <c r="D672" s="2" t="s">
        <v>3778</v>
      </c>
      <c r="E672" s="2" t="s">
        <v>57</v>
      </c>
      <c r="F672" s="2" t="s">
        <v>36</v>
      </c>
      <c r="G672" s="2" t="s">
        <v>48</v>
      </c>
      <c r="H672" s="2" t="s">
        <v>1983</v>
      </c>
      <c r="I672" s="3" t="s">
        <v>3779</v>
      </c>
      <c r="J672" s="2" t="s">
        <v>3780</v>
      </c>
      <c r="K672" s="2" t="s">
        <v>3781</v>
      </c>
      <c r="L672" s="4" t="n">
        <v>68</v>
      </c>
      <c r="M672" s="4" t="s">
        <v>44</v>
      </c>
      <c r="N672" s="5" t="n">
        <v>68</v>
      </c>
      <c r="O672" s="6" t="n">
        <v>81</v>
      </c>
      <c r="P672" s="6" t="s">
        <v>42</v>
      </c>
      <c r="Q672" s="7" t="n">
        <v>81</v>
      </c>
      <c r="R672" s="8" t="n">
        <v>89</v>
      </c>
      <c r="S672" s="8" t="s">
        <v>42</v>
      </c>
      <c r="T672" s="9" t="n">
        <v>89</v>
      </c>
      <c r="U672" s="10" t="n">
        <v>75</v>
      </c>
      <c r="V672" s="10" t="s">
        <v>43</v>
      </c>
      <c r="W672" s="11" t="n">
        <v>75</v>
      </c>
      <c r="X672" s="12" t="n">
        <v>61</v>
      </c>
      <c r="Y672" s="12" t="s">
        <v>44</v>
      </c>
      <c r="Z672" s="13" t="n">
        <v>61</v>
      </c>
      <c r="AA672" s="14" t="n">
        <v>78</v>
      </c>
      <c r="AB672" s="14" t="s">
        <v>43</v>
      </c>
      <c r="AC672" s="15" t="n">
        <v>78</v>
      </c>
      <c r="AD672" s="2" t="n">
        <f aca="false">SUM(L672,O672,R672,U672,X672,AA672)</f>
        <v>452</v>
      </c>
      <c r="AE672" s="16" t="n">
        <f aca="false">AD672/6</f>
        <v>75.3333333333333</v>
      </c>
      <c r="AF672" s="2" t="str">
        <f aca="false">IF(SUM(COUNTIF(M672,"RA"),COUNTIF(P672,"RA"),COUNTIF(S672,"RA"),COUNTIF(V672,"RA"),COUNTIF(Y672,"RA"),COUNTIF(AB672,"RA"))&gt;0,"FAIL","PASS")</f>
        <v>PASS</v>
      </c>
    </row>
    <row r="673" customFormat="false" ht="15" hidden="false" customHeight="false" outlineLevel="0" collapsed="false">
      <c r="A673" s="2" t="n">
        <v>672</v>
      </c>
      <c r="B673" s="3" t="s">
        <v>3782</v>
      </c>
      <c r="C673" s="2" t="s">
        <v>803</v>
      </c>
      <c r="D673" s="2" t="s">
        <v>3783</v>
      </c>
      <c r="E673" s="2" t="s">
        <v>35</v>
      </c>
      <c r="F673" s="2" t="s">
        <v>36</v>
      </c>
      <c r="G673" s="2" t="s">
        <v>37</v>
      </c>
      <c r="H673" s="2" t="s">
        <v>1055</v>
      </c>
      <c r="I673" s="3" t="s">
        <v>231</v>
      </c>
      <c r="J673" s="2" t="s">
        <v>3784</v>
      </c>
      <c r="K673" s="2" t="s">
        <v>3785</v>
      </c>
      <c r="L673" s="4" t="n">
        <v>85</v>
      </c>
      <c r="M673" s="4" t="s">
        <v>42</v>
      </c>
      <c r="N673" s="5" t="n">
        <v>85</v>
      </c>
      <c r="O673" s="6" t="n">
        <v>49</v>
      </c>
      <c r="P673" s="6" t="s">
        <v>45</v>
      </c>
      <c r="Q673" s="7" t="n">
        <v>49</v>
      </c>
      <c r="R673" s="8" t="n">
        <v>57</v>
      </c>
      <c r="S673" s="8" t="s">
        <v>53</v>
      </c>
      <c r="T673" s="9" t="n">
        <v>57</v>
      </c>
      <c r="U673" s="10" t="n">
        <v>95</v>
      </c>
      <c r="V673" s="10" t="s">
        <v>54</v>
      </c>
      <c r="W673" s="11" t="n">
        <v>95</v>
      </c>
      <c r="X673" s="12" t="n">
        <v>85</v>
      </c>
      <c r="Y673" s="12" t="s">
        <v>42</v>
      </c>
      <c r="Z673" s="13" t="n">
        <v>85</v>
      </c>
      <c r="AA673" s="14" t="n">
        <v>79</v>
      </c>
      <c r="AB673" s="14" t="s">
        <v>43</v>
      </c>
      <c r="AC673" s="15" t="n">
        <v>79</v>
      </c>
      <c r="AD673" s="2" t="n">
        <f aca="false">SUM(L673,O673,R673,U673,X673,AA673)</f>
        <v>450</v>
      </c>
      <c r="AE673" s="16" t="n">
        <f aca="false">AD673/6</f>
        <v>75</v>
      </c>
      <c r="AF673" s="2" t="str">
        <f aca="false">IF(SUM(COUNTIF(M673,"RA"),COUNTIF(P673,"RA"),COUNTIF(S673,"RA"),COUNTIF(V673,"RA"),COUNTIF(Y673,"RA"),COUNTIF(AB673,"RA"))&gt;0,"FAIL","PASS")</f>
        <v>FAIL</v>
      </c>
    </row>
    <row r="674" customFormat="false" ht="15" hidden="false" customHeight="false" outlineLevel="0" collapsed="false">
      <c r="A674" s="2" t="n">
        <v>673</v>
      </c>
      <c r="B674" s="3" t="s">
        <v>3786</v>
      </c>
      <c r="C674" s="2" t="s">
        <v>912</v>
      </c>
      <c r="D674" s="2" t="s">
        <v>3787</v>
      </c>
      <c r="E674" s="2" t="s">
        <v>57</v>
      </c>
      <c r="F674" s="2" t="s">
        <v>36</v>
      </c>
      <c r="G674" s="2" t="s">
        <v>64</v>
      </c>
      <c r="H674" s="2" t="s">
        <v>3788</v>
      </c>
      <c r="I674" s="3" t="s">
        <v>636</v>
      </c>
      <c r="J674" s="2" t="s">
        <v>3789</v>
      </c>
      <c r="K674" s="2" t="s">
        <v>3790</v>
      </c>
      <c r="L674" s="4" t="n">
        <v>72</v>
      </c>
      <c r="M674" s="4" t="s">
        <v>43</v>
      </c>
      <c r="N674" s="5" t="n">
        <v>72</v>
      </c>
      <c r="O674" s="6" t="n">
        <v>92</v>
      </c>
      <c r="P674" s="6" t="s">
        <v>54</v>
      </c>
      <c r="Q674" s="7" t="n">
        <v>92</v>
      </c>
      <c r="R674" s="8" t="n">
        <v>90</v>
      </c>
      <c r="S674" s="8" t="s">
        <v>54</v>
      </c>
      <c r="T674" s="9" t="n">
        <v>90</v>
      </c>
      <c r="U674" s="10" t="n">
        <v>83</v>
      </c>
      <c r="V674" s="10" t="s">
        <v>42</v>
      </c>
      <c r="W674" s="11" t="n">
        <v>83</v>
      </c>
      <c r="X674" s="12" t="n">
        <v>69</v>
      </c>
      <c r="Y674" s="12" t="s">
        <v>44</v>
      </c>
      <c r="Z674" s="13" t="n">
        <v>69</v>
      </c>
      <c r="AA674" s="14" t="n">
        <v>82</v>
      </c>
      <c r="AB674" s="14" t="s">
        <v>42</v>
      </c>
      <c r="AC674" s="15" t="n">
        <v>82</v>
      </c>
      <c r="AD674" s="2" t="n">
        <f aca="false">SUM(L674,O674,R674,U674,X674,AA674)</f>
        <v>488</v>
      </c>
      <c r="AE674" s="16" t="n">
        <f aca="false">AD674/6</f>
        <v>81.3333333333333</v>
      </c>
      <c r="AF674" s="2" t="str">
        <f aca="false">IF(SUM(COUNTIF(M674,"RA"),COUNTIF(P674,"RA"),COUNTIF(S674,"RA"),COUNTIF(V674,"RA"),COUNTIF(Y674,"RA"),COUNTIF(AB674,"RA"))&gt;0,"FAIL","PASS")</f>
        <v>PASS</v>
      </c>
    </row>
    <row r="675" customFormat="false" ht="15" hidden="false" customHeight="false" outlineLevel="0" collapsed="false">
      <c r="A675" s="2" t="n">
        <v>674</v>
      </c>
      <c r="B675" s="3" t="s">
        <v>3791</v>
      </c>
      <c r="C675" s="2" t="s">
        <v>816</v>
      </c>
      <c r="D675" s="2" t="s">
        <v>3792</v>
      </c>
      <c r="E675" s="2" t="s">
        <v>57</v>
      </c>
      <c r="F675" s="2" t="s">
        <v>36</v>
      </c>
      <c r="G675" s="2" t="s">
        <v>71</v>
      </c>
      <c r="H675" s="2" t="s">
        <v>3793</v>
      </c>
      <c r="I675" s="3" t="s">
        <v>3794</v>
      </c>
      <c r="J675" s="2" t="s">
        <v>3795</v>
      </c>
      <c r="K675" s="2" t="s">
        <v>3796</v>
      </c>
      <c r="L675" s="4" t="n">
        <v>62</v>
      </c>
      <c r="M675" s="4" t="s">
        <v>44</v>
      </c>
      <c r="N675" s="5" t="n">
        <v>62</v>
      </c>
      <c r="O675" s="6" t="n">
        <v>62</v>
      </c>
      <c r="P675" s="6" t="s">
        <v>44</v>
      </c>
      <c r="Q675" s="7" t="n">
        <v>62</v>
      </c>
      <c r="R675" s="8" t="n">
        <v>98</v>
      </c>
      <c r="S675" s="8" t="s">
        <v>54</v>
      </c>
      <c r="T675" s="9" t="n">
        <v>98</v>
      </c>
      <c r="U675" s="10" t="n">
        <v>88</v>
      </c>
      <c r="V675" s="10" t="s">
        <v>42</v>
      </c>
      <c r="W675" s="11" t="n">
        <v>88</v>
      </c>
      <c r="X675" s="12" t="n">
        <v>99</v>
      </c>
      <c r="Y675" s="12" t="s">
        <v>54</v>
      </c>
      <c r="Z675" s="13" t="n">
        <v>99</v>
      </c>
      <c r="AA675" s="14" t="n">
        <v>85</v>
      </c>
      <c r="AB675" s="14" t="s">
        <v>42</v>
      </c>
      <c r="AC675" s="15" t="n">
        <v>85</v>
      </c>
      <c r="AD675" s="2" t="n">
        <f aca="false">SUM(L675,O675,R675,U675,X675,AA675)</f>
        <v>494</v>
      </c>
      <c r="AE675" s="16" t="n">
        <f aca="false">AD675/6</f>
        <v>82.3333333333333</v>
      </c>
      <c r="AF675" s="2" t="str">
        <f aca="false">IF(SUM(COUNTIF(M675,"RA"),COUNTIF(P675,"RA"),COUNTIF(S675,"RA"),COUNTIF(V675,"RA"),COUNTIF(Y675,"RA"),COUNTIF(AB675,"RA"))&gt;0,"FAIL","PASS")</f>
        <v>PASS</v>
      </c>
    </row>
    <row r="676" customFormat="false" ht="15" hidden="false" customHeight="false" outlineLevel="0" collapsed="false">
      <c r="A676" s="2" t="n">
        <v>675</v>
      </c>
      <c r="B676" s="3" t="s">
        <v>3797</v>
      </c>
      <c r="C676" s="2" t="s">
        <v>770</v>
      </c>
      <c r="D676" s="2" t="s">
        <v>3798</v>
      </c>
      <c r="E676" s="2" t="s">
        <v>57</v>
      </c>
      <c r="F676" s="2" t="s">
        <v>36</v>
      </c>
      <c r="G676" s="2" t="s">
        <v>91</v>
      </c>
      <c r="H676" s="2" t="s">
        <v>3799</v>
      </c>
      <c r="I676" s="3" t="s">
        <v>3800</v>
      </c>
      <c r="J676" s="2" t="s">
        <v>3801</v>
      </c>
      <c r="K676" s="2" t="s">
        <v>3802</v>
      </c>
      <c r="L676" s="4" t="n">
        <v>80</v>
      </c>
      <c r="M676" s="4" t="s">
        <v>42</v>
      </c>
      <c r="N676" s="5" t="n">
        <v>80</v>
      </c>
      <c r="O676" s="6" t="n">
        <v>50</v>
      </c>
      <c r="P676" s="6" t="s">
        <v>53</v>
      </c>
      <c r="Q676" s="7" t="n">
        <v>50</v>
      </c>
      <c r="R676" s="8" t="n">
        <v>98</v>
      </c>
      <c r="S676" s="8" t="s">
        <v>54</v>
      </c>
      <c r="T676" s="9" t="n">
        <v>98</v>
      </c>
      <c r="U676" s="10" t="n">
        <v>76</v>
      </c>
      <c r="V676" s="10" t="s">
        <v>43</v>
      </c>
      <c r="W676" s="11" t="n">
        <v>76</v>
      </c>
      <c r="X676" s="12" t="n">
        <v>49</v>
      </c>
      <c r="Y676" s="12" t="s">
        <v>45</v>
      </c>
      <c r="Z676" s="13" t="n">
        <v>49</v>
      </c>
      <c r="AA676" s="14" t="n">
        <v>79</v>
      </c>
      <c r="AB676" s="14" t="s">
        <v>43</v>
      </c>
      <c r="AC676" s="15" t="n">
        <v>79</v>
      </c>
      <c r="AD676" s="2" t="n">
        <f aca="false">SUM(L676,O676,R676,U676,X676,AA676)</f>
        <v>432</v>
      </c>
      <c r="AE676" s="16" t="n">
        <f aca="false">AD676/6</f>
        <v>72</v>
      </c>
      <c r="AF676" s="2" t="str">
        <f aca="false">IF(SUM(COUNTIF(M676,"RA"),COUNTIF(P676,"RA"),COUNTIF(S676,"RA"),COUNTIF(V676,"RA"),COUNTIF(Y676,"RA"),COUNTIF(AB676,"RA"))&gt;0,"FAIL","PASS")</f>
        <v>FAIL</v>
      </c>
    </row>
    <row r="677" customFormat="false" ht="15" hidden="false" customHeight="false" outlineLevel="0" collapsed="false">
      <c r="A677" s="2" t="n">
        <v>676</v>
      </c>
      <c r="B677" s="3" t="s">
        <v>3803</v>
      </c>
      <c r="C677" s="2" t="s">
        <v>750</v>
      </c>
      <c r="D677" s="2" t="s">
        <v>3804</v>
      </c>
      <c r="E677" s="2" t="s">
        <v>57</v>
      </c>
      <c r="F677" s="2" t="s">
        <v>36</v>
      </c>
      <c r="G677" s="2" t="s">
        <v>78</v>
      </c>
      <c r="H677" s="2" t="s">
        <v>342</v>
      </c>
      <c r="I677" s="3" t="s">
        <v>3805</v>
      </c>
      <c r="J677" s="2" t="s">
        <v>3806</v>
      </c>
      <c r="K677" s="2" t="s">
        <v>3807</v>
      </c>
      <c r="L677" s="4" t="n">
        <v>75</v>
      </c>
      <c r="M677" s="4" t="s">
        <v>43</v>
      </c>
      <c r="N677" s="5" t="n">
        <v>75</v>
      </c>
      <c r="O677" s="6" t="n">
        <v>98</v>
      </c>
      <c r="P677" s="6" t="s">
        <v>54</v>
      </c>
      <c r="Q677" s="7" t="n">
        <v>98</v>
      </c>
      <c r="R677" s="8" t="n">
        <v>87</v>
      </c>
      <c r="S677" s="8" t="s">
        <v>42</v>
      </c>
      <c r="T677" s="9" t="n">
        <v>87</v>
      </c>
      <c r="U677" s="10" t="n">
        <v>40</v>
      </c>
      <c r="V677" s="10" t="s">
        <v>45</v>
      </c>
      <c r="W677" s="11" t="n">
        <v>40</v>
      </c>
      <c r="X677" s="12" t="n">
        <v>85</v>
      </c>
      <c r="Y677" s="12" t="s">
        <v>42</v>
      </c>
      <c r="Z677" s="13" t="n">
        <v>85</v>
      </c>
      <c r="AA677" s="14" t="n">
        <v>69</v>
      </c>
      <c r="AB677" s="14" t="s">
        <v>44</v>
      </c>
      <c r="AC677" s="15" t="n">
        <v>69</v>
      </c>
      <c r="AD677" s="2" t="n">
        <f aca="false">SUM(L677,O677,R677,U677,X677,AA677)</f>
        <v>454</v>
      </c>
      <c r="AE677" s="16" t="n">
        <f aca="false">AD677/6</f>
        <v>75.6666666666667</v>
      </c>
      <c r="AF677" s="2" t="str">
        <f aca="false">IF(SUM(COUNTIF(M677,"RA"),COUNTIF(P677,"RA"),COUNTIF(S677,"RA"),COUNTIF(V677,"RA"),COUNTIF(Y677,"RA"),COUNTIF(AB677,"RA"))&gt;0,"FAIL","PASS")</f>
        <v>FAIL</v>
      </c>
    </row>
    <row r="678" customFormat="false" ht="15" hidden="false" customHeight="false" outlineLevel="0" collapsed="false">
      <c r="A678" s="2" t="n">
        <v>677</v>
      </c>
      <c r="B678" s="3" t="s">
        <v>3808</v>
      </c>
      <c r="C678" s="2" t="s">
        <v>803</v>
      </c>
      <c r="D678" s="2" t="s">
        <v>3809</v>
      </c>
      <c r="E678" s="2" t="s">
        <v>35</v>
      </c>
      <c r="F678" s="2" t="s">
        <v>36</v>
      </c>
      <c r="G678" s="2" t="s">
        <v>71</v>
      </c>
      <c r="H678" s="2" t="s">
        <v>752</v>
      </c>
      <c r="I678" s="3" t="s">
        <v>707</v>
      </c>
      <c r="J678" s="2" t="s">
        <v>3810</v>
      </c>
      <c r="K678" s="2" t="s">
        <v>3811</v>
      </c>
      <c r="L678" s="4" t="n">
        <v>47</v>
      </c>
      <c r="M678" s="4" t="s">
        <v>45</v>
      </c>
      <c r="N678" s="5" t="n">
        <v>47</v>
      </c>
      <c r="O678" s="6" t="n">
        <v>65</v>
      </c>
      <c r="P678" s="6" t="s">
        <v>44</v>
      </c>
      <c r="Q678" s="7" t="n">
        <v>65</v>
      </c>
      <c r="R678" s="8" t="n">
        <v>68</v>
      </c>
      <c r="S678" s="8" t="s">
        <v>44</v>
      </c>
      <c r="T678" s="9" t="n">
        <v>68</v>
      </c>
      <c r="U678" s="10" t="n">
        <v>63</v>
      </c>
      <c r="V678" s="10" t="s">
        <v>44</v>
      </c>
      <c r="W678" s="11" t="n">
        <v>63</v>
      </c>
      <c r="X678" s="12" t="n">
        <v>79</v>
      </c>
      <c r="Y678" s="12" t="s">
        <v>43</v>
      </c>
      <c r="Z678" s="13" t="n">
        <v>79</v>
      </c>
      <c r="AA678" s="14" t="n">
        <v>79</v>
      </c>
      <c r="AB678" s="14" t="s">
        <v>43</v>
      </c>
      <c r="AC678" s="15" t="n">
        <v>79</v>
      </c>
      <c r="AD678" s="2" t="n">
        <f aca="false">SUM(L678,O678,R678,U678,X678,AA678)</f>
        <v>401</v>
      </c>
      <c r="AE678" s="16" t="n">
        <f aca="false">AD678/6</f>
        <v>66.8333333333333</v>
      </c>
      <c r="AF678" s="2" t="str">
        <f aca="false">IF(SUM(COUNTIF(M678,"RA"),COUNTIF(P678,"RA"),COUNTIF(S678,"RA"),COUNTIF(V678,"RA"),COUNTIF(Y678,"RA"),COUNTIF(AB678,"RA"))&gt;0,"FAIL","PASS")</f>
        <v>FAIL</v>
      </c>
    </row>
    <row r="679" customFormat="false" ht="15" hidden="false" customHeight="false" outlineLevel="0" collapsed="false">
      <c r="A679" s="2" t="n">
        <v>678</v>
      </c>
      <c r="B679" s="3" t="s">
        <v>3812</v>
      </c>
      <c r="C679" s="2" t="s">
        <v>790</v>
      </c>
      <c r="D679" s="2" t="s">
        <v>3813</v>
      </c>
      <c r="E679" s="2" t="s">
        <v>57</v>
      </c>
      <c r="F679" s="2" t="s">
        <v>36</v>
      </c>
      <c r="G679" s="2" t="s">
        <v>48</v>
      </c>
      <c r="H679" s="2" t="s">
        <v>3814</v>
      </c>
      <c r="I679" s="3" t="s">
        <v>3815</v>
      </c>
      <c r="J679" s="2" t="s">
        <v>3816</v>
      </c>
      <c r="K679" s="2" t="s">
        <v>3817</v>
      </c>
      <c r="L679" s="4" t="n">
        <v>51</v>
      </c>
      <c r="M679" s="4" t="s">
        <v>53</v>
      </c>
      <c r="N679" s="5" t="n">
        <v>51</v>
      </c>
      <c r="O679" s="6" t="n">
        <v>81</v>
      </c>
      <c r="P679" s="6" t="s">
        <v>42</v>
      </c>
      <c r="Q679" s="7" t="n">
        <v>81</v>
      </c>
      <c r="R679" s="8" t="n">
        <v>64</v>
      </c>
      <c r="S679" s="8" t="s">
        <v>44</v>
      </c>
      <c r="T679" s="9" t="n">
        <v>64</v>
      </c>
      <c r="U679" s="10" t="n">
        <v>77</v>
      </c>
      <c r="V679" s="10" t="s">
        <v>43</v>
      </c>
      <c r="W679" s="11" t="n">
        <v>77</v>
      </c>
      <c r="X679" s="12" t="n">
        <v>66</v>
      </c>
      <c r="Y679" s="12" t="s">
        <v>44</v>
      </c>
      <c r="Z679" s="13" t="n">
        <v>66</v>
      </c>
      <c r="AA679" s="14" t="n">
        <v>96</v>
      </c>
      <c r="AB679" s="14" t="s">
        <v>54</v>
      </c>
      <c r="AC679" s="15" t="n">
        <v>96</v>
      </c>
      <c r="AD679" s="2" t="n">
        <f aca="false">SUM(L679,O679,R679,U679,X679,AA679)</f>
        <v>435</v>
      </c>
      <c r="AE679" s="16" t="n">
        <f aca="false">AD679/6</f>
        <v>72.5</v>
      </c>
      <c r="AF679" s="2" t="str">
        <f aca="false">IF(SUM(COUNTIF(M679,"RA"),COUNTIF(P679,"RA"),COUNTIF(S679,"RA"),COUNTIF(V679,"RA"),COUNTIF(Y679,"RA"),COUNTIF(AB679,"RA"))&gt;0,"FAIL","PASS")</f>
        <v>PASS</v>
      </c>
    </row>
    <row r="680" customFormat="false" ht="15" hidden="false" customHeight="false" outlineLevel="0" collapsed="false">
      <c r="A680" s="2" t="n">
        <v>679</v>
      </c>
      <c r="B680" s="3" t="s">
        <v>3818</v>
      </c>
      <c r="C680" s="2" t="s">
        <v>803</v>
      </c>
      <c r="D680" s="2" t="s">
        <v>3819</v>
      </c>
      <c r="E680" s="2" t="s">
        <v>35</v>
      </c>
      <c r="F680" s="2" t="s">
        <v>36</v>
      </c>
      <c r="G680" s="2" t="s">
        <v>37</v>
      </c>
      <c r="H680" s="2" t="s">
        <v>3820</v>
      </c>
      <c r="I680" s="3" t="s">
        <v>1067</v>
      </c>
      <c r="J680" s="2" t="s">
        <v>3821</v>
      </c>
      <c r="K680" s="2" t="s">
        <v>3822</v>
      </c>
      <c r="L680" s="4" t="n">
        <v>97</v>
      </c>
      <c r="M680" s="4" t="s">
        <v>54</v>
      </c>
      <c r="N680" s="5" t="n">
        <v>97</v>
      </c>
      <c r="O680" s="6" t="n">
        <v>99</v>
      </c>
      <c r="P680" s="6" t="s">
        <v>54</v>
      </c>
      <c r="Q680" s="7" t="n">
        <v>99</v>
      </c>
      <c r="R680" s="8" t="n">
        <v>74</v>
      </c>
      <c r="S680" s="8" t="s">
        <v>43</v>
      </c>
      <c r="T680" s="9" t="n">
        <v>74</v>
      </c>
      <c r="U680" s="10" t="n">
        <v>73</v>
      </c>
      <c r="V680" s="10" t="s">
        <v>43</v>
      </c>
      <c r="W680" s="11" t="n">
        <v>73</v>
      </c>
      <c r="X680" s="12" t="n">
        <v>52</v>
      </c>
      <c r="Y680" s="12" t="s">
        <v>53</v>
      </c>
      <c r="Z680" s="13" t="n">
        <v>52</v>
      </c>
      <c r="AA680" s="14" t="n">
        <v>93</v>
      </c>
      <c r="AB680" s="14" t="s">
        <v>54</v>
      </c>
      <c r="AC680" s="15" t="n">
        <v>93</v>
      </c>
      <c r="AD680" s="2" t="n">
        <f aca="false">SUM(L680,O680,R680,U680,X680,AA680)</f>
        <v>488</v>
      </c>
      <c r="AE680" s="16" t="n">
        <f aca="false">AD680/6</f>
        <v>81.3333333333333</v>
      </c>
      <c r="AF680" s="2" t="str">
        <f aca="false">IF(SUM(COUNTIF(M680,"RA"),COUNTIF(P680,"RA"),COUNTIF(S680,"RA"),COUNTIF(V680,"RA"),COUNTIF(Y680,"RA"),COUNTIF(AB680,"RA"))&gt;0,"FAIL","PASS")</f>
        <v>PASS</v>
      </c>
    </row>
    <row r="681" customFormat="false" ht="15" hidden="false" customHeight="false" outlineLevel="0" collapsed="false">
      <c r="A681" s="2" t="n">
        <v>680</v>
      </c>
      <c r="B681" s="3" t="s">
        <v>3823</v>
      </c>
      <c r="C681" s="2" t="s">
        <v>859</v>
      </c>
      <c r="D681" s="2" t="s">
        <v>3824</v>
      </c>
      <c r="E681" s="2" t="s">
        <v>35</v>
      </c>
      <c r="F681" s="2" t="s">
        <v>36</v>
      </c>
      <c r="G681" s="2" t="s">
        <v>78</v>
      </c>
      <c r="H681" s="2" t="s">
        <v>3426</v>
      </c>
      <c r="I681" s="3" t="s">
        <v>3825</v>
      </c>
      <c r="J681" s="2" t="s">
        <v>3826</v>
      </c>
      <c r="K681" s="2" t="s">
        <v>3827</v>
      </c>
      <c r="L681" s="4" t="n">
        <v>88</v>
      </c>
      <c r="M681" s="4" t="s">
        <v>42</v>
      </c>
      <c r="N681" s="5" t="n">
        <v>88</v>
      </c>
      <c r="O681" s="6" t="n">
        <v>72</v>
      </c>
      <c r="P681" s="6" t="s">
        <v>43</v>
      </c>
      <c r="Q681" s="7" t="n">
        <v>72</v>
      </c>
      <c r="R681" s="8" t="n">
        <v>76</v>
      </c>
      <c r="S681" s="8" t="s">
        <v>43</v>
      </c>
      <c r="T681" s="9" t="n">
        <v>76</v>
      </c>
      <c r="U681" s="10" t="n">
        <v>71</v>
      </c>
      <c r="V681" s="10" t="s">
        <v>43</v>
      </c>
      <c r="W681" s="11" t="n">
        <v>71</v>
      </c>
      <c r="X681" s="12" t="n">
        <v>53</v>
      </c>
      <c r="Y681" s="12" t="s">
        <v>53</v>
      </c>
      <c r="Z681" s="13" t="n">
        <v>53</v>
      </c>
      <c r="AA681" s="14" t="n">
        <v>75</v>
      </c>
      <c r="AB681" s="14" t="s">
        <v>43</v>
      </c>
      <c r="AC681" s="15" t="n">
        <v>75</v>
      </c>
      <c r="AD681" s="2" t="n">
        <f aca="false">SUM(L681,O681,R681,U681,X681,AA681)</f>
        <v>435</v>
      </c>
      <c r="AE681" s="16" t="n">
        <f aca="false">AD681/6</f>
        <v>72.5</v>
      </c>
      <c r="AF681" s="2" t="str">
        <f aca="false">IF(SUM(COUNTIF(M681,"RA"),COUNTIF(P681,"RA"),COUNTIF(S681,"RA"),COUNTIF(V681,"RA"),COUNTIF(Y681,"RA"),COUNTIF(AB681,"RA"))&gt;0,"FAIL","PASS")</f>
        <v>PASS</v>
      </c>
    </row>
    <row r="682" customFormat="false" ht="15" hidden="false" customHeight="false" outlineLevel="0" collapsed="false">
      <c r="A682" s="2" t="n">
        <v>681</v>
      </c>
      <c r="B682" s="3" t="s">
        <v>3828</v>
      </c>
      <c r="C682" s="2" t="s">
        <v>816</v>
      </c>
      <c r="D682" s="2" t="s">
        <v>3829</v>
      </c>
      <c r="E682" s="2" t="s">
        <v>35</v>
      </c>
      <c r="F682" s="2" t="s">
        <v>36</v>
      </c>
      <c r="G682" s="2" t="s">
        <v>37</v>
      </c>
      <c r="H682" s="2" t="s">
        <v>98</v>
      </c>
      <c r="I682" s="3" t="s">
        <v>1027</v>
      </c>
      <c r="J682" s="2" t="s">
        <v>3830</v>
      </c>
      <c r="K682" s="2" t="s">
        <v>3831</v>
      </c>
      <c r="L682" s="4" t="n">
        <v>63</v>
      </c>
      <c r="M682" s="4" t="s">
        <v>44</v>
      </c>
      <c r="N682" s="5" t="n">
        <v>63</v>
      </c>
      <c r="O682" s="6" t="n">
        <v>99</v>
      </c>
      <c r="P682" s="6" t="s">
        <v>54</v>
      </c>
      <c r="Q682" s="7" t="n">
        <v>99</v>
      </c>
      <c r="R682" s="8" t="n">
        <v>95</v>
      </c>
      <c r="S682" s="8" t="s">
        <v>54</v>
      </c>
      <c r="T682" s="9" t="n">
        <v>95</v>
      </c>
      <c r="U682" s="10" t="n">
        <v>79</v>
      </c>
      <c r="V682" s="10" t="s">
        <v>43</v>
      </c>
      <c r="W682" s="11" t="n">
        <v>79</v>
      </c>
      <c r="X682" s="12" t="n">
        <v>90</v>
      </c>
      <c r="Y682" s="12" t="s">
        <v>54</v>
      </c>
      <c r="Z682" s="13" t="n">
        <v>90</v>
      </c>
      <c r="AA682" s="14" t="n">
        <v>76</v>
      </c>
      <c r="AB682" s="14" t="s">
        <v>43</v>
      </c>
      <c r="AC682" s="15" t="n">
        <v>76</v>
      </c>
      <c r="AD682" s="2" t="n">
        <f aca="false">SUM(L682,O682,R682,U682,X682,AA682)</f>
        <v>502</v>
      </c>
      <c r="AE682" s="16" t="n">
        <f aca="false">AD682/6</f>
        <v>83.6666666666667</v>
      </c>
      <c r="AF682" s="2" t="str">
        <f aca="false">IF(SUM(COUNTIF(M682,"RA"),COUNTIF(P682,"RA"),COUNTIF(S682,"RA"),COUNTIF(V682,"RA"),COUNTIF(Y682,"RA"),COUNTIF(AB682,"RA"))&gt;0,"FAIL","PASS")</f>
        <v>PASS</v>
      </c>
    </row>
    <row r="683" customFormat="false" ht="15" hidden="false" customHeight="false" outlineLevel="0" collapsed="false">
      <c r="A683" s="2" t="n">
        <v>682</v>
      </c>
      <c r="B683" s="3" t="s">
        <v>3832</v>
      </c>
      <c r="C683" s="2" t="s">
        <v>859</v>
      </c>
      <c r="D683" s="2" t="s">
        <v>3833</v>
      </c>
      <c r="E683" s="2" t="s">
        <v>35</v>
      </c>
      <c r="F683" s="2" t="s">
        <v>36</v>
      </c>
      <c r="G683" s="2" t="s">
        <v>64</v>
      </c>
      <c r="H683" s="2" t="s">
        <v>3834</v>
      </c>
      <c r="I683" s="3" t="s">
        <v>3835</v>
      </c>
      <c r="J683" s="2" t="s">
        <v>3836</v>
      </c>
      <c r="K683" s="2" t="s">
        <v>3837</v>
      </c>
      <c r="L683" s="4" t="n">
        <v>96</v>
      </c>
      <c r="M683" s="4" t="s">
        <v>54</v>
      </c>
      <c r="N683" s="5" t="n">
        <v>96</v>
      </c>
      <c r="O683" s="6" t="n">
        <v>95</v>
      </c>
      <c r="P683" s="6" t="s">
        <v>54</v>
      </c>
      <c r="Q683" s="7" t="n">
        <v>95</v>
      </c>
      <c r="R683" s="8" t="n">
        <v>76</v>
      </c>
      <c r="S683" s="8" t="s">
        <v>43</v>
      </c>
      <c r="T683" s="9" t="n">
        <v>76</v>
      </c>
      <c r="U683" s="10" t="n">
        <v>44</v>
      </c>
      <c r="V683" s="10" t="s">
        <v>45</v>
      </c>
      <c r="W683" s="11" t="n">
        <v>44</v>
      </c>
      <c r="X683" s="12" t="n">
        <v>73</v>
      </c>
      <c r="Y683" s="12" t="s">
        <v>43</v>
      </c>
      <c r="Z683" s="13" t="n">
        <v>73</v>
      </c>
      <c r="AA683" s="14" t="n">
        <v>66</v>
      </c>
      <c r="AB683" s="14" t="s">
        <v>44</v>
      </c>
      <c r="AC683" s="15" t="n">
        <v>66</v>
      </c>
      <c r="AD683" s="2" t="n">
        <f aca="false">SUM(L683,O683,R683,U683,X683,AA683)</f>
        <v>450</v>
      </c>
      <c r="AE683" s="16" t="n">
        <f aca="false">AD683/6</f>
        <v>75</v>
      </c>
      <c r="AF683" s="2" t="str">
        <f aca="false">IF(SUM(COUNTIF(M683,"RA"),COUNTIF(P683,"RA"),COUNTIF(S683,"RA"),COUNTIF(V683,"RA"),COUNTIF(Y683,"RA"),COUNTIF(AB683,"RA"))&gt;0,"FAIL","PASS")</f>
        <v>FAIL</v>
      </c>
    </row>
    <row r="684" customFormat="false" ht="15" hidden="false" customHeight="false" outlineLevel="0" collapsed="false">
      <c r="A684" s="2" t="n">
        <v>683</v>
      </c>
      <c r="B684" s="3" t="s">
        <v>3838</v>
      </c>
      <c r="C684" s="2" t="s">
        <v>750</v>
      </c>
      <c r="D684" s="2" t="s">
        <v>3839</v>
      </c>
      <c r="E684" s="2" t="s">
        <v>57</v>
      </c>
      <c r="F684" s="2" t="s">
        <v>36</v>
      </c>
      <c r="G684" s="2" t="s">
        <v>44</v>
      </c>
      <c r="H684" s="2" t="s">
        <v>3840</v>
      </c>
      <c r="I684" s="3" t="s">
        <v>1376</v>
      </c>
      <c r="J684" s="2" t="s">
        <v>3841</v>
      </c>
      <c r="K684" s="2" t="s">
        <v>3842</v>
      </c>
      <c r="L684" s="4" t="n">
        <v>68</v>
      </c>
      <c r="M684" s="4" t="s">
        <v>44</v>
      </c>
      <c r="N684" s="5" t="n">
        <v>68</v>
      </c>
      <c r="O684" s="6" t="n">
        <v>92</v>
      </c>
      <c r="P684" s="6" t="s">
        <v>54</v>
      </c>
      <c r="Q684" s="7" t="n">
        <v>92</v>
      </c>
      <c r="R684" s="8" t="n">
        <v>78</v>
      </c>
      <c r="S684" s="8" t="s">
        <v>43</v>
      </c>
      <c r="T684" s="9" t="n">
        <v>78</v>
      </c>
      <c r="U684" s="10" t="n">
        <v>92</v>
      </c>
      <c r="V684" s="10" t="s">
        <v>54</v>
      </c>
      <c r="W684" s="11" t="n">
        <v>92</v>
      </c>
      <c r="X684" s="12" t="n">
        <v>97</v>
      </c>
      <c r="Y684" s="12" t="s">
        <v>54</v>
      </c>
      <c r="Z684" s="13" t="n">
        <v>97</v>
      </c>
      <c r="AA684" s="14" t="n">
        <v>87</v>
      </c>
      <c r="AB684" s="14" t="s">
        <v>42</v>
      </c>
      <c r="AC684" s="15" t="n">
        <v>87</v>
      </c>
      <c r="AD684" s="2" t="n">
        <f aca="false">SUM(L684,O684,R684,U684,X684,AA684)</f>
        <v>514</v>
      </c>
      <c r="AE684" s="16" t="n">
        <f aca="false">AD684/6</f>
        <v>85.6666666666667</v>
      </c>
      <c r="AF684" s="2" t="str">
        <f aca="false">IF(SUM(COUNTIF(M684,"RA"),COUNTIF(P684,"RA"),COUNTIF(S684,"RA"),COUNTIF(V684,"RA"),COUNTIF(Y684,"RA"),COUNTIF(AB684,"RA"))&gt;0,"FAIL","PASS")</f>
        <v>PASS</v>
      </c>
    </row>
    <row r="685" customFormat="false" ht="15" hidden="false" customHeight="false" outlineLevel="0" collapsed="false">
      <c r="A685" s="2" t="n">
        <v>684</v>
      </c>
      <c r="B685" s="3" t="s">
        <v>3843</v>
      </c>
      <c r="C685" s="2" t="s">
        <v>803</v>
      </c>
      <c r="D685" s="2" t="s">
        <v>3844</v>
      </c>
      <c r="E685" s="2" t="s">
        <v>35</v>
      </c>
      <c r="F685" s="2" t="s">
        <v>36</v>
      </c>
      <c r="G685" s="2" t="s">
        <v>48</v>
      </c>
      <c r="H685" s="2" t="s">
        <v>3765</v>
      </c>
      <c r="I685" s="3" t="s">
        <v>3845</v>
      </c>
      <c r="J685" s="2" t="s">
        <v>3846</v>
      </c>
      <c r="K685" s="2" t="s">
        <v>3847</v>
      </c>
      <c r="L685" s="4" t="n">
        <v>83</v>
      </c>
      <c r="M685" s="4" t="s">
        <v>42</v>
      </c>
      <c r="N685" s="5" t="n">
        <v>83</v>
      </c>
      <c r="O685" s="6" t="n">
        <v>64</v>
      </c>
      <c r="P685" s="6" t="s">
        <v>44</v>
      </c>
      <c r="Q685" s="7" t="n">
        <v>64</v>
      </c>
      <c r="R685" s="8" t="n">
        <v>47</v>
      </c>
      <c r="S685" s="8" t="s">
        <v>45</v>
      </c>
      <c r="T685" s="9" t="n">
        <v>47</v>
      </c>
      <c r="U685" s="10" t="n">
        <v>91</v>
      </c>
      <c r="V685" s="10" t="s">
        <v>54</v>
      </c>
      <c r="W685" s="11" t="n">
        <v>91</v>
      </c>
      <c r="X685" s="12" t="n">
        <v>86</v>
      </c>
      <c r="Y685" s="12" t="s">
        <v>42</v>
      </c>
      <c r="Z685" s="13" t="n">
        <v>86</v>
      </c>
      <c r="AA685" s="14" t="n">
        <v>95</v>
      </c>
      <c r="AB685" s="14" t="s">
        <v>54</v>
      </c>
      <c r="AC685" s="15" t="n">
        <v>95</v>
      </c>
      <c r="AD685" s="2" t="n">
        <f aca="false">SUM(L685,O685,R685,U685,X685,AA685)</f>
        <v>466</v>
      </c>
      <c r="AE685" s="16" t="n">
        <f aca="false">AD685/6</f>
        <v>77.6666666666667</v>
      </c>
      <c r="AF685" s="2" t="str">
        <f aca="false">IF(SUM(COUNTIF(M685,"RA"),COUNTIF(P685,"RA"),COUNTIF(S685,"RA"),COUNTIF(V685,"RA"),COUNTIF(Y685,"RA"),COUNTIF(AB685,"RA"))&gt;0,"FAIL","PASS")</f>
        <v>FAIL</v>
      </c>
    </row>
    <row r="686" customFormat="false" ht="15" hidden="false" customHeight="false" outlineLevel="0" collapsed="false">
      <c r="A686" s="2" t="n">
        <v>685</v>
      </c>
      <c r="B686" s="3" t="s">
        <v>3848</v>
      </c>
      <c r="C686" s="2" t="s">
        <v>770</v>
      </c>
      <c r="D686" s="2" t="s">
        <v>3849</v>
      </c>
      <c r="E686" s="2" t="s">
        <v>57</v>
      </c>
      <c r="F686" s="2" t="s">
        <v>36</v>
      </c>
      <c r="G686" s="2" t="s">
        <v>64</v>
      </c>
      <c r="H686" s="2" t="s">
        <v>3850</v>
      </c>
      <c r="I686" s="3" t="s">
        <v>3851</v>
      </c>
      <c r="J686" s="2" t="s">
        <v>3852</v>
      </c>
      <c r="K686" s="2" t="s">
        <v>3853</v>
      </c>
      <c r="L686" s="4" t="n">
        <v>80</v>
      </c>
      <c r="M686" s="4" t="s">
        <v>42</v>
      </c>
      <c r="N686" s="5" t="n">
        <v>80</v>
      </c>
      <c r="O686" s="6" t="n">
        <v>40</v>
      </c>
      <c r="P686" s="6" t="s">
        <v>45</v>
      </c>
      <c r="Q686" s="7" t="n">
        <v>40</v>
      </c>
      <c r="R686" s="8" t="n">
        <v>50</v>
      </c>
      <c r="S686" s="8" t="s">
        <v>53</v>
      </c>
      <c r="T686" s="9" t="n">
        <v>50</v>
      </c>
      <c r="U686" s="10" t="n">
        <v>75</v>
      </c>
      <c r="V686" s="10" t="s">
        <v>43</v>
      </c>
      <c r="W686" s="11" t="n">
        <v>75</v>
      </c>
      <c r="X686" s="12" t="n">
        <v>93</v>
      </c>
      <c r="Y686" s="12" t="s">
        <v>54</v>
      </c>
      <c r="Z686" s="13" t="n">
        <v>93</v>
      </c>
      <c r="AA686" s="14" t="n">
        <v>51</v>
      </c>
      <c r="AB686" s="14" t="s">
        <v>53</v>
      </c>
      <c r="AC686" s="15" t="n">
        <v>51</v>
      </c>
      <c r="AD686" s="2" t="n">
        <f aca="false">SUM(L686,O686,R686,U686,X686,AA686)</f>
        <v>389</v>
      </c>
      <c r="AE686" s="16" t="n">
        <f aca="false">AD686/6</f>
        <v>64.8333333333333</v>
      </c>
      <c r="AF686" s="2" t="str">
        <f aca="false">IF(SUM(COUNTIF(M686,"RA"),COUNTIF(P686,"RA"),COUNTIF(S686,"RA"),COUNTIF(V686,"RA"),COUNTIF(Y686,"RA"),COUNTIF(AB686,"RA"))&gt;0,"FAIL","PASS")</f>
        <v>FAIL</v>
      </c>
    </row>
    <row r="687" customFormat="false" ht="15" hidden="false" customHeight="false" outlineLevel="0" collapsed="false">
      <c r="A687" s="2" t="n">
        <v>686</v>
      </c>
      <c r="B687" s="3" t="s">
        <v>3854</v>
      </c>
      <c r="C687" s="2" t="s">
        <v>750</v>
      </c>
      <c r="D687" s="2" t="s">
        <v>3855</v>
      </c>
      <c r="E687" s="2" t="s">
        <v>57</v>
      </c>
      <c r="F687" s="2" t="s">
        <v>36</v>
      </c>
      <c r="G687" s="2" t="s">
        <v>64</v>
      </c>
      <c r="H687" s="2" t="s">
        <v>3856</v>
      </c>
      <c r="I687" s="3" t="s">
        <v>3857</v>
      </c>
      <c r="J687" s="2" t="s">
        <v>3858</v>
      </c>
      <c r="K687" s="2" t="s">
        <v>3859</v>
      </c>
      <c r="L687" s="4" t="n">
        <v>70</v>
      </c>
      <c r="M687" s="4" t="s">
        <v>43</v>
      </c>
      <c r="N687" s="5" t="n">
        <v>70</v>
      </c>
      <c r="O687" s="6" t="n">
        <v>87</v>
      </c>
      <c r="P687" s="6" t="s">
        <v>42</v>
      </c>
      <c r="Q687" s="7" t="n">
        <v>87</v>
      </c>
      <c r="R687" s="8" t="n">
        <v>96</v>
      </c>
      <c r="S687" s="8" t="s">
        <v>54</v>
      </c>
      <c r="T687" s="9" t="n">
        <v>96</v>
      </c>
      <c r="U687" s="10" t="n">
        <v>94</v>
      </c>
      <c r="V687" s="10" t="s">
        <v>54</v>
      </c>
      <c r="W687" s="11" t="n">
        <v>94</v>
      </c>
      <c r="X687" s="12" t="n">
        <v>70</v>
      </c>
      <c r="Y687" s="12" t="s">
        <v>43</v>
      </c>
      <c r="Z687" s="13" t="n">
        <v>70</v>
      </c>
      <c r="AA687" s="14" t="n">
        <v>42</v>
      </c>
      <c r="AB687" s="14" t="s">
        <v>45</v>
      </c>
      <c r="AC687" s="15" t="n">
        <v>42</v>
      </c>
      <c r="AD687" s="2" t="n">
        <f aca="false">SUM(L687,O687,R687,U687,X687,AA687)</f>
        <v>459</v>
      </c>
      <c r="AE687" s="16" t="n">
        <f aca="false">AD687/6</f>
        <v>76.5</v>
      </c>
      <c r="AF687" s="2" t="str">
        <f aca="false">IF(SUM(COUNTIF(M687,"RA"),COUNTIF(P687,"RA"),COUNTIF(S687,"RA"),COUNTIF(V687,"RA"),COUNTIF(Y687,"RA"),COUNTIF(AB687,"RA"))&gt;0,"FAIL","PASS")</f>
        <v>FAIL</v>
      </c>
    </row>
    <row r="688" customFormat="false" ht="15" hidden="false" customHeight="false" outlineLevel="0" collapsed="false">
      <c r="A688" s="2" t="n">
        <v>687</v>
      </c>
      <c r="B688" s="3" t="s">
        <v>3860</v>
      </c>
      <c r="C688" s="2" t="s">
        <v>783</v>
      </c>
      <c r="D688" s="2" t="s">
        <v>3861</v>
      </c>
      <c r="E688" s="2" t="s">
        <v>35</v>
      </c>
      <c r="F688" s="2" t="s">
        <v>36</v>
      </c>
      <c r="G688" s="2" t="s">
        <v>78</v>
      </c>
      <c r="H688" s="2" t="s">
        <v>3862</v>
      </c>
      <c r="I688" s="3" t="s">
        <v>3863</v>
      </c>
      <c r="J688" s="2" t="s">
        <v>3864</v>
      </c>
      <c r="K688" s="2" t="s">
        <v>3865</v>
      </c>
      <c r="L688" s="4" t="n">
        <v>75</v>
      </c>
      <c r="M688" s="4" t="s">
        <v>43</v>
      </c>
      <c r="N688" s="5" t="n">
        <v>75</v>
      </c>
      <c r="O688" s="6" t="n">
        <v>76</v>
      </c>
      <c r="P688" s="6" t="s">
        <v>43</v>
      </c>
      <c r="Q688" s="7" t="n">
        <v>76</v>
      </c>
      <c r="R688" s="8" t="n">
        <v>95</v>
      </c>
      <c r="S688" s="8" t="s">
        <v>54</v>
      </c>
      <c r="T688" s="9" t="n">
        <v>95</v>
      </c>
      <c r="U688" s="10" t="n">
        <v>90</v>
      </c>
      <c r="V688" s="10" t="s">
        <v>54</v>
      </c>
      <c r="W688" s="11" t="n">
        <v>90</v>
      </c>
      <c r="X688" s="12" t="n">
        <v>69</v>
      </c>
      <c r="Y688" s="12" t="s">
        <v>44</v>
      </c>
      <c r="Z688" s="13" t="n">
        <v>69</v>
      </c>
      <c r="AA688" s="14" t="n">
        <v>74</v>
      </c>
      <c r="AB688" s="14" t="s">
        <v>43</v>
      </c>
      <c r="AC688" s="15" t="n">
        <v>74</v>
      </c>
      <c r="AD688" s="2" t="n">
        <f aca="false">SUM(L688,O688,R688,U688,X688,AA688)</f>
        <v>479</v>
      </c>
      <c r="AE688" s="16" t="n">
        <f aca="false">AD688/6</f>
        <v>79.8333333333333</v>
      </c>
      <c r="AF688" s="2" t="str">
        <f aca="false">IF(SUM(COUNTIF(M688,"RA"),COUNTIF(P688,"RA"),COUNTIF(S688,"RA"),COUNTIF(V688,"RA"),COUNTIF(Y688,"RA"),COUNTIF(AB688,"RA"))&gt;0,"FAIL","PASS")</f>
        <v>PASS</v>
      </c>
    </row>
    <row r="689" customFormat="false" ht="15" hidden="false" customHeight="false" outlineLevel="0" collapsed="false">
      <c r="A689" s="2" t="n">
        <v>688</v>
      </c>
      <c r="B689" s="3" t="s">
        <v>3866</v>
      </c>
      <c r="C689" s="2" t="s">
        <v>912</v>
      </c>
      <c r="D689" s="2" t="s">
        <v>3867</v>
      </c>
      <c r="E689" s="2" t="s">
        <v>57</v>
      </c>
      <c r="F689" s="2" t="s">
        <v>36</v>
      </c>
      <c r="G689" s="2" t="s">
        <v>48</v>
      </c>
      <c r="H689" s="2" t="s">
        <v>2874</v>
      </c>
      <c r="I689" s="3" t="s">
        <v>3653</v>
      </c>
      <c r="J689" s="2" t="s">
        <v>3868</v>
      </c>
      <c r="K689" s="2" t="s">
        <v>3869</v>
      </c>
      <c r="L689" s="4" t="n">
        <v>65</v>
      </c>
      <c r="M689" s="4" t="s">
        <v>44</v>
      </c>
      <c r="N689" s="5" t="n">
        <v>65</v>
      </c>
      <c r="O689" s="6" t="n">
        <v>70</v>
      </c>
      <c r="P689" s="6" t="s">
        <v>43</v>
      </c>
      <c r="Q689" s="7" t="n">
        <v>70</v>
      </c>
      <c r="R689" s="8" t="n">
        <v>91</v>
      </c>
      <c r="S689" s="8" t="s">
        <v>54</v>
      </c>
      <c r="T689" s="9" t="n">
        <v>91</v>
      </c>
      <c r="U689" s="10" t="n">
        <v>72</v>
      </c>
      <c r="V689" s="10" t="s">
        <v>43</v>
      </c>
      <c r="W689" s="11" t="n">
        <v>72</v>
      </c>
      <c r="X689" s="12" t="n">
        <v>62</v>
      </c>
      <c r="Y689" s="12" t="s">
        <v>44</v>
      </c>
      <c r="Z689" s="13" t="n">
        <v>62</v>
      </c>
      <c r="AA689" s="14" t="n">
        <v>83</v>
      </c>
      <c r="AB689" s="14" t="s">
        <v>42</v>
      </c>
      <c r="AC689" s="15" t="n">
        <v>83</v>
      </c>
      <c r="AD689" s="2" t="n">
        <f aca="false">SUM(L689,O689,R689,U689,X689,AA689)</f>
        <v>443</v>
      </c>
      <c r="AE689" s="16" t="n">
        <f aca="false">AD689/6</f>
        <v>73.8333333333333</v>
      </c>
      <c r="AF689" s="2" t="str">
        <f aca="false">IF(SUM(COUNTIF(M689,"RA"),COUNTIF(P689,"RA"),COUNTIF(S689,"RA"),COUNTIF(V689,"RA"),COUNTIF(Y689,"RA"),COUNTIF(AB689,"RA"))&gt;0,"FAIL","PASS")</f>
        <v>PASS</v>
      </c>
    </row>
    <row r="690" customFormat="false" ht="15" hidden="false" customHeight="false" outlineLevel="0" collapsed="false">
      <c r="A690" s="2" t="n">
        <v>689</v>
      </c>
      <c r="B690" s="3" t="s">
        <v>3870</v>
      </c>
      <c r="C690" s="2" t="s">
        <v>783</v>
      </c>
      <c r="D690" s="2" t="s">
        <v>3871</v>
      </c>
      <c r="E690" s="2" t="s">
        <v>57</v>
      </c>
      <c r="F690" s="2" t="s">
        <v>36</v>
      </c>
      <c r="G690" s="2" t="s">
        <v>37</v>
      </c>
      <c r="H690" s="2" t="s">
        <v>3872</v>
      </c>
      <c r="I690" s="3" t="s">
        <v>3873</v>
      </c>
      <c r="J690" s="2" t="s">
        <v>3874</v>
      </c>
      <c r="K690" s="2" t="s">
        <v>3875</v>
      </c>
      <c r="L690" s="4" t="n">
        <v>79</v>
      </c>
      <c r="M690" s="4" t="s">
        <v>43</v>
      </c>
      <c r="N690" s="5" t="n">
        <v>79</v>
      </c>
      <c r="O690" s="6" t="n">
        <v>61</v>
      </c>
      <c r="P690" s="6" t="s">
        <v>44</v>
      </c>
      <c r="Q690" s="7" t="n">
        <v>61</v>
      </c>
      <c r="R690" s="8" t="n">
        <v>45</v>
      </c>
      <c r="S690" s="8" t="s">
        <v>45</v>
      </c>
      <c r="T690" s="9" t="n">
        <v>45</v>
      </c>
      <c r="U690" s="10" t="n">
        <v>78</v>
      </c>
      <c r="V690" s="10" t="s">
        <v>43</v>
      </c>
      <c r="W690" s="11" t="n">
        <v>78</v>
      </c>
      <c r="X690" s="12" t="n">
        <v>60</v>
      </c>
      <c r="Y690" s="12" t="s">
        <v>44</v>
      </c>
      <c r="Z690" s="13" t="n">
        <v>60</v>
      </c>
      <c r="AA690" s="14" t="n">
        <v>73</v>
      </c>
      <c r="AB690" s="14" t="s">
        <v>43</v>
      </c>
      <c r="AC690" s="15" t="n">
        <v>73</v>
      </c>
      <c r="AD690" s="2" t="n">
        <f aca="false">SUM(L690,O690,R690,U690,X690,AA690)</f>
        <v>396</v>
      </c>
      <c r="AE690" s="16" t="n">
        <f aca="false">AD690/6</f>
        <v>66</v>
      </c>
      <c r="AF690" s="2" t="str">
        <f aca="false">IF(SUM(COUNTIF(M690,"RA"),COUNTIF(P690,"RA"),COUNTIF(S690,"RA"),COUNTIF(V690,"RA"),COUNTIF(Y690,"RA"),COUNTIF(AB690,"RA"))&gt;0,"FAIL","PASS")</f>
        <v>FAIL</v>
      </c>
    </row>
    <row r="691" customFormat="false" ht="15" hidden="false" customHeight="false" outlineLevel="0" collapsed="false">
      <c r="A691" s="2" t="n">
        <v>690</v>
      </c>
      <c r="B691" s="3" t="s">
        <v>3876</v>
      </c>
      <c r="C691" s="2" t="s">
        <v>803</v>
      </c>
      <c r="D691" s="2" t="s">
        <v>3877</v>
      </c>
      <c r="E691" s="2" t="s">
        <v>35</v>
      </c>
      <c r="F691" s="2" t="s">
        <v>36</v>
      </c>
      <c r="G691" s="2" t="s">
        <v>91</v>
      </c>
      <c r="H691" s="2" t="s">
        <v>3878</v>
      </c>
      <c r="I691" s="3" t="s">
        <v>3879</v>
      </c>
      <c r="J691" s="2" t="s">
        <v>3880</v>
      </c>
      <c r="K691" s="2" t="s">
        <v>3881</v>
      </c>
      <c r="L691" s="4" t="n">
        <v>63</v>
      </c>
      <c r="M691" s="4" t="s">
        <v>44</v>
      </c>
      <c r="N691" s="5" t="n">
        <v>63</v>
      </c>
      <c r="O691" s="6" t="n">
        <v>65</v>
      </c>
      <c r="P691" s="6" t="s">
        <v>44</v>
      </c>
      <c r="Q691" s="7" t="n">
        <v>65</v>
      </c>
      <c r="R691" s="8" t="n">
        <v>43</v>
      </c>
      <c r="S691" s="8" t="s">
        <v>45</v>
      </c>
      <c r="T691" s="9" t="n">
        <v>43</v>
      </c>
      <c r="U691" s="10" t="n">
        <v>90</v>
      </c>
      <c r="V691" s="10" t="s">
        <v>54</v>
      </c>
      <c r="W691" s="11" t="n">
        <v>90</v>
      </c>
      <c r="X691" s="12" t="n">
        <v>80</v>
      </c>
      <c r="Y691" s="12" t="s">
        <v>42</v>
      </c>
      <c r="Z691" s="13" t="n">
        <v>80</v>
      </c>
      <c r="AA691" s="14" t="n">
        <v>100</v>
      </c>
      <c r="AB691" s="14" t="s">
        <v>54</v>
      </c>
      <c r="AC691" s="15" t="n">
        <v>100</v>
      </c>
      <c r="AD691" s="2" t="n">
        <f aca="false">SUM(L691,O691,R691,U691,X691,AA691)</f>
        <v>441</v>
      </c>
      <c r="AE691" s="16" t="n">
        <f aca="false">AD691/6</f>
        <v>73.5</v>
      </c>
      <c r="AF691" s="2" t="str">
        <f aca="false">IF(SUM(COUNTIF(M691,"RA"),COUNTIF(P691,"RA"),COUNTIF(S691,"RA"),COUNTIF(V691,"RA"),COUNTIF(Y691,"RA"),COUNTIF(AB691,"RA"))&gt;0,"FAIL","PASS")</f>
        <v>FAIL</v>
      </c>
    </row>
    <row r="692" customFormat="false" ht="15" hidden="false" customHeight="false" outlineLevel="0" collapsed="false">
      <c r="A692" s="2" t="n">
        <v>691</v>
      </c>
      <c r="B692" s="3" t="s">
        <v>3882</v>
      </c>
      <c r="C692" s="2" t="s">
        <v>816</v>
      </c>
      <c r="D692" s="2" t="s">
        <v>3883</v>
      </c>
      <c r="E692" s="2" t="s">
        <v>35</v>
      </c>
      <c r="F692" s="2" t="s">
        <v>36</v>
      </c>
      <c r="G692" s="2" t="s">
        <v>71</v>
      </c>
      <c r="H692" s="2" t="s">
        <v>3884</v>
      </c>
      <c r="I692" s="3" t="s">
        <v>509</v>
      </c>
      <c r="J692" s="2" t="s">
        <v>3885</v>
      </c>
      <c r="K692" s="2" t="s">
        <v>3886</v>
      </c>
      <c r="L692" s="4" t="n">
        <v>81</v>
      </c>
      <c r="M692" s="4" t="s">
        <v>42</v>
      </c>
      <c r="N692" s="5" t="n">
        <v>81</v>
      </c>
      <c r="O692" s="6" t="n">
        <v>92</v>
      </c>
      <c r="P692" s="6" t="s">
        <v>54</v>
      </c>
      <c r="Q692" s="7" t="n">
        <v>92</v>
      </c>
      <c r="R692" s="8" t="n">
        <v>85</v>
      </c>
      <c r="S692" s="8" t="s">
        <v>42</v>
      </c>
      <c r="T692" s="9" t="n">
        <v>85</v>
      </c>
      <c r="U692" s="10" t="n">
        <v>85</v>
      </c>
      <c r="V692" s="10" t="s">
        <v>42</v>
      </c>
      <c r="W692" s="11" t="n">
        <v>85</v>
      </c>
      <c r="X692" s="12" t="n">
        <v>63</v>
      </c>
      <c r="Y692" s="12" t="s">
        <v>44</v>
      </c>
      <c r="Z692" s="13" t="n">
        <v>63</v>
      </c>
      <c r="AA692" s="14" t="n">
        <v>81</v>
      </c>
      <c r="AB692" s="14" t="s">
        <v>42</v>
      </c>
      <c r="AC692" s="15" t="n">
        <v>81</v>
      </c>
      <c r="AD692" s="2" t="n">
        <f aca="false">SUM(L692,O692,R692,U692,X692,AA692)</f>
        <v>487</v>
      </c>
      <c r="AE692" s="16" t="n">
        <f aca="false">AD692/6</f>
        <v>81.1666666666667</v>
      </c>
      <c r="AF692" s="2" t="str">
        <f aca="false">IF(SUM(COUNTIF(M692,"RA"),COUNTIF(P692,"RA"),COUNTIF(S692,"RA"),COUNTIF(V692,"RA"),COUNTIF(Y692,"RA"),COUNTIF(AB692,"RA"))&gt;0,"FAIL","PASS")</f>
        <v>PASS</v>
      </c>
    </row>
    <row r="693" customFormat="false" ht="15" hidden="false" customHeight="false" outlineLevel="0" collapsed="false">
      <c r="A693" s="2" t="n">
        <v>692</v>
      </c>
      <c r="B693" s="3" t="s">
        <v>3887</v>
      </c>
      <c r="C693" s="2" t="s">
        <v>912</v>
      </c>
      <c r="D693" s="2" t="s">
        <v>3888</v>
      </c>
      <c r="E693" s="2" t="s">
        <v>35</v>
      </c>
      <c r="F693" s="2" t="s">
        <v>36</v>
      </c>
      <c r="G693" s="2" t="s">
        <v>91</v>
      </c>
      <c r="H693" s="2" t="s">
        <v>805</v>
      </c>
      <c r="I693" s="3" t="s">
        <v>3889</v>
      </c>
      <c r="J693" s="2" t="s">
        <v>3890</v>
      </c>
      <c r="K693" s="2" t="s">
        <v>3891</v>
      </c>
      <c r="L693" s="4" t="n">
        <v>64</v>
      </c>
      <c r="M693" s="4" t="s">
        <v>44</v>
      </c>
      <c r="N693" s="5" t="n">
        <v>64</v>
      </c>
      <c r="O693" s="6" t="n">
        <v>99</v>
      </c>
      <c r="P693" s="6" t="s">
        <v>54</v>
      </c>
      <c r="Q693" s="7" t="n">
        <v>99</v>
      </c>
      <c r="R693" s="8" t="n">
        <v>89</v>
      </c>
      <c r="S693" s="8" t="s">
        <v>42</v>
      </c>
      <c r="T693" s="9" t="n">
        <v>89</v>
      </c>
      <c r="U693" s="10" t="n">
        <v>93</v>
      </c>
      <c r="V693" s="10" t="s">
        <v>54</v>
      </c>
      <c r="W693" s="11" t="n">
        <v>93</v>
      </c>
      <c r="X693" s="12" t="n">
        <v>57</v>
      </c>
      <c r="Y693" s="12" t="s">
        <v>53</v>
      </c>
      <c r="Z693" s="13" t="n">
        <v>57</v>
      </c>
      <c r="AA693" s="14" t="n">
        <v>97</v>
      </c>
      <c r="AB693" s="14" t="s">
        <v>54</v>
      </c>
      <c r="AC693" s="15" t="n">
        <v>97</v>
      </c>
      <c r="AD693" s="2" t="n">
        <f aca="false">SUM(L693,O693,R693,U693,X693,AA693)</f>
        <v>499</v>
      </c>
      <c r="AE693" s="16" t="n">
        <f aca="false">AD693/6</f>
        <v>83.1666666666667</v>
      </c>
      <c r="AF693" s="2" t="str">
        <f aca="false">IF(SUM(COUNTIF(M693,"RA"),COUNTIF(P693,"RA"),COUNTIF(S693,"RA"),COUNTIF(V693,"RA"),COUNTIF(Y693,"RA"),COUNTIF(AB693,"RA"))&gt;0,"FAIL","PASS")</f>
        <v>PASS</v>
      </c>
    </row>
    <row r="694" customFormat="false" ht="15" hidden="false" customHeight="false" outlineLevel="0" collapsed="false">
      <c r="A694" s="2" t="n">
        <v>693</v>
      </c>
      <c r="B694" s="3" t="s">
        <v>3892</v>
      </c>
      <c r="C694" s="2" t="s">
        <v>770</v>
      </c>
      <c r="D694" s="2" t="s">
        <v>3893</v>
      </c>
      <c r="E694" s="2" t="s">
        <v>57</v>
      </c>
      <c r="F694" s="2" t="s">
        <v>36</v>
      </c>
      <c r="G694" s="2" t="s">
        <v>42</v>
      </c>
      <c r="H694" s="2" t="s">
        <v>3072</v>
      </c>
      <c r="I694" s="3" t="s">
        <v>3894</v>
      </c>
      <c r="J694" s="2" t="s">
        <v>3895</v>
      </c>
      <c r="K694" s="2" t="s">
        <v>3896</v>
      </c>
      <c r="L694" s="4" t="n">
        <v>87</v>
      </c>
      <c r="M694" s="4" t="s">
        <v>42</v>
      </c>
      <c r="N694" s="5" t="n">
        <v>87</v>
      </c>
      <c r="O694" s="6" t="n">
        <v>64</v>
      </c>
      <c r="P694" s="6" t="s">
        <v>44</v>
      </c>
      <c r="Q694" s="7" t="n">
        <v>64</v>
      </c>
      <c r="R694" s="8" t="n">
        <v>94</v>
      </c>
      <c r="S694" s="8" t="s">
        <v>54</v>
      </c>
      <c r="T694" s="9" t="n">
        <v>94</v>
      </c>
      <c r="U694" s="10" t="n">
        <v>80</v>
      </c>
      <c r="V694" s="10" t="s">
        <v>42</v>
      </c>
      <c r="W694" s="11" t="n">
        <v>80</v>
      </c>
      <c r="X694" s="12" t="n">
        <v>65</v>
      </c>
      <c r="Y694" s="12" t="s">
        <v>44</v>
      </c>
      <c r="Z694" s="13" t="n">
        <v>65</v>
      </c>
      <c r="AA694" s="14" t="n">
        <v>45</v>
      </c>
      <c r="AB694" s="14" t="s">
        <v>45</v>
      </c>
      <c r="AC694" s="15" t="n">
        <v>45</v>
      </c>
      <c r="AD694" s="2" t="n">
        <f aca="false">SUM(L694,O694,R694,U694,X694,AA694)</f>
        <v>435</v>
      </c>
      <c r="AE694" s="16" t="n">
        <f aca="false">AD694/6</f>
        <v>72.5</v>
      </c>
      <c r="AF694" s="2" t="str">
        <f aca="false">IF(SUM(COUNTIF(M694,"RA"),COUNTIF(P694,"RA"),COUNTIF(S694,"RA"),COUNTIF(V694,"RA"),COUNTIF(Y694,"RA"),COUNTIF(AB694,"RA"))&gt;0,"FAIL","PASS")</f>
        <v>FAIL</v>
      </c>
    </row>
    <row r="695" customFormat="false" ht="15" hidden="false" customHeight="false" outlineLevel="0" collapsed="false">
      <c r="A695" s="2" t="n">
        <v>694</v>
      </c>
      <c r="B695" s="3" t="s">
        <v>3897</v>
      </c>
      <c r="C695" s="2" t="s">
        <v>783</v>
      </c>
      <c r="D695" s="2" t="s">
        <v>3898</v>
      </c>
      <c r="E695" s="2" t="s">
        <v>35</v>
      </c>
      <c r="F695" s="2" t="s">
        <v>36</v>
      </c>
      <c r="G695" s="2" t="s">
        <v>48</v>
      </c>
      <c r="H695" s="2" t="s">
        <v>2236</v>
      </c>
      <c r="I695" s="3" t="s">
        <v>844</v>
      </c>
      <c r="J695" s="2" t="s">
        <v>3899</v>
      </c>
      <c r="K695" s="2" t="s">
        <v>3900</v>
      </c>
      <c r="L695" s="4" t="n">
        <v>73</v>
      </c>
      <c r="M695" s="4" t="s">
        <v>43</v>
      </c>
      <c r="N695" s="5" t="n">
        <v>73</v>
      </c>
      <c r="O695" s="6" t="n">
        <v>81</v>
      </c>
      <c r="P695" s="6" t="s">
        <v>42</v>
      </c>
      <c r="Q695" s="7" t="n">
        <v>81</v>
      </c>
      <c r="R695" s="8" t="n">
        <v>92</v>
      </c>
      <c r="S695" s="8" t="s">
        <v>54</v>
      </c>
      <c r="T695" s="9" t="n">
        <v>92</v>
      </c>
      <c r="U695" s="10" t="n">
        <v>61</v>
      </c>
      <c r="V695" s="10" t="s">
        <v>44</v>
      </c>
      <c r="W695" s="11" t="n">
        <v>61</v>
      </c>
      <c r="X695" s="12" t="n">
        <v>52</v>
      </c>
      <c r="Y695" s="12" t="s">
        <v>53</v>
      </c>
      <c r="Z695" s="13" t="n">
        <v>52</v>
      </c>
      <c r="AA695" s="14" t="n">
        <v>50</v>
      </c>
      <c r="AB695" s="14" t="s">
        <v>53</v>
      </c>
      <c r="AC695" s="15" t="n">
        <v>50</v>
      </c>
      <c r="AD695" s="2" t="n">
        <f aca="false">SUM(L695,O695,R695,U695,X695,AA695)</f>
        <v>409</v>
      </c>
      <c r="AE695" s="16" t="n">
        <f aca="false">AD695/6</f>
        <v>68.1666666666667</v>
      </c>
      <c r="AF695" s="2" t="str">
        <f aca="false">IF(SUM(COUNTIF(M695,"RA"),COUNTIF(P695,"RA"),COUNTIF(S695,"RA"),COUNTIF(V695,"RA"),COUNTIF(Y695,"RA"),COUNTIF(AB695,"RA"))&gt;0,"FAIL","PASS")</f>
        <v>PASS</v>
      </c>
    </row>
    <row r="696" customFormat="false" ht="15" hidden="false" customHeight="false" outlineLevel="0" collapsed="false">
      <c r="A696" s="2" t="n">
        <v>695</v>
      </c>
      <c r="B696" s="3" t="s">
        <v>3901</v>
      </c>
      <c r="C696" s="2" t="s">
        <v>750</v>
      </c>
      <c r="D696" s="2" t="s">
        <v>3902</v>
      </c>
      <c r="E696" s="2" t="s">
        <v>57</v>
      </c>
      <c r="F696" s="2" t="s">
        <v>36</v>
      </c>
      <c r="G696" s="2" t="s">
        <v>64</v>
      </c>
      <c r="H696" s="2" t="s">
        <v>3903</v>
      </c>
      <c r="I696" s="3" t="s">
        <v>3611</v>
      </c>
      <c r="J696" s="2" t="s">
        <v>3904</v>
      </c>
      <c r="K696" s="2" t="s">
        <v>3905</v>
      </c>
      <c r="L696" s="4" t="n">
        <v>90</v>
      </c>
      <c r="M696" s="4" t="s">
        <v>54</v>
      </c>
      <c r="N696" s="5" t="n">
        <v>90</v>
      </c>
      <c r="O696" s="6" t="n">
        <v>82</v>
      </c>
      <c r="P696" s="6" t="s">
        <v>42</v>
      </c>
      <c r="Q696" s="7" t="n">
        <v>82</v>
      </c>
      <c r="R696" s="8" t="n">
        <v>53</v>
      </c>
      <c r="S696" s="8" t="s">
        <v>53</v>
      </c>
      <c r="T696" s="9" t="n">
        <v>53</v>
      </c>
      <c r="U696" s="10" t="n">
        <v>53</v>
      </c>
      <c r="V696" s="10" t="s">
        <v>53</v>
      </c>
      <c r="W696" s="11" t="n">
        <v>53</v>
      </c>
      <c r="X696" s="12" t="n">
        <v>66</v>
      </c>
      <c r="Y696" s="12" t="s">
        <v>44</v>
      </c>
      <c r="Z696" s="13" t="n">
        <v>66</v>
      </c>
      <c r="AA696" s="14" t="n">
        <v>74</v>
      </c>
      <c r="AB696" s="14" t="s">
        <v>43</v>
      </c>
      <c r="AC696" s="15" t="n">
        <v>74</v>
      </c>
      <c r="AD696" s="2" t="n">
        <f aca="false">SUM(L696,O696,R696,U696,X696,AA696)</f>
        <v>418</v>
      </c>
      <c r="AE696" s="16" t="n">
        <f aca="false">AD696/6</f>
        <v>69.6666666666667</v>
      </c>
      <c r="AF696" s="2" t="str">
        <f aca="false">IF(SUM(COUNTIF(M696,"RA"),COUNTIF(P696,"RA"),COUNTIF(S696,"RA"),COUNTIF(V696,"RA"),COUNTIF(Y696,"RA"),COUNTIF(AB696,"RA"))&gt;0,"FAIL","PASS")</f>
        <v>PASS</v>
      </c>
    </row>
    <row r="697" customFormat="false" ht="15" hidden="false" customHeight="false" outlineLevel="0" collapsed="false">
      <c r="A697" s="2" t="n">
        <v>696</v>
      </c>
      <c r="B697" s="3" t="s">
        <v>3906</v>
      </c>
      <c r="C697" s="2" t="s">
        <v>912</v>
      </c>
      <c r="D697" s="2" t="s">
        <v>3907</v>
      </c>
      <c r="E697" s="2" t="s">
        <v>57</v>
      </c>
      <c r="F697" s="2" t="s">
        <v>36</v>
      </c>
      <c r="G697" s="2" t="s">
        <v>48</v>
      </c>
      <c r="H697" s="2" t="s">
        <v>3908</v>
      </c>
      <c r="I697" s="3" t="s">
        <v>2704</v>
      </c>
      <c r="J697" s="2" t="s">
        <v>3909</v>
      </c>
      <c r="K697" s="2" t="s">
        <v>3910</v>
      </c>
      <c r="L697" s="4" t="n">
        <v>74</v>
      </c>
      <c r="M697" s="4" t="s">
        <v>43</v>
      </c>
      <c r="N697" s="5" t="n">
        <v>74</v>
      </c>
      <c r="O697" s="6" t="n">
        <v>60</v>
      </c>
      <c r="P697" s="6" t="s">
        <v>44</v>
      </c>
      <c r="Q697" s="7" t="n">
        <v>60</v>
      </c>
      <c r="R697" s="8" t="n">
        <v>93</v>
      </c>
      <c r="S697" s="8" t="s">
        <v>54</v>
      </c>
      <c r="T697" s="9" t="n">
        <v>93</v>
      </c>
      <c r="U697" s="10" t="n">
        <v>83</v>
      </c>
      <c r="V697" s="10" t="s">
        <v>42</v>
      </c>
      <c r="W697" s="11" t="n">
        <v>83</v>
      </c>
      <c r="X697" s="12" t="n">
        <v>97</v>
      </c>
      <c r="Y697" s="12" t="s">
        <v>54</v>
      </c>
      <c r="Z697" s="13" t="n">
        <v>97</v>
      </c>
      <c r="AA697" s="14" t="n">
        <v>86</v>
      </c>
      <c r="AB697" s="14" t="s">
        <v>42</v>
      </c>
      <c r="AC697" s="15" t="n">
        <v>86</v>
      </c>
      <c r="AD697" s="2" t="n">
        <f aca="false">SUM(L697,O697,R697,U697,X697,AA697)</f>
        <v>493</v>
      </c>
      <c r="AE697" s="16" t="n">
        <f aca="false">AD697/6</f>
        <v>82.1666666666667</v>
      </c>
      <c r="AF697" s="2" t="str">
        <f aca="false">IF(SUM(COUNTIF(M697,"RA"),COUNTIF(P697,"RA"),COUNTIF(S697,"RA"),COUNTIF(V697,"RA"),COUNTIF(Y697,"RA"),COUNTIF(AB697,"RA"))&gt;0,"FAIL","PASS")</f>
        <v>PASS</v>
      </c>
    </row>
    <row r="698" customFormat="false" ht="15" hidden="false" customHeight="false" outlineLevel="0" collapsed="false">
      <c r="A698" s="2" t="n">
        <v>697</v>
      </c>
      <c r="B698" s="3" t="s">
        <v>3911</v>
      </c>
      <c r="C698" s="2" t="s">
        <v>841</v>
      </c>
      <c r="D698" s="2" t="s">
        <v>3912</v>
      </c>
      <c r="E698" s="2" t="s">
        <v>35</v>
      </c>
      <c r="F698" s="2" t="s">
        <v>36</v>
      </c>
      <c r="G698" s="2" t="s">
        <v>91</v>
      </c>
      <c r="H698" s="2" t="s">
        <v>3913</v>
      </c>
      <c r="I698" s="3" t="s">
        <v>3914</v>
      </c>
      <c r="J698" s="2" t="s">
        <v>3915</v>
      </c>
      <c r="K698" s="2" t="s">
        <v>3916</v>
      </c>
      <c r="L698" s="4" t="n">
        <v>79</v>
      </c>
      <c r="M698" s="4" t="s">
        <v>43</v>
      </c>
      <c r="N698" s="5" t="n">
        <v>79</v>
      </c>
      <c r="O698" s="6" t="n">
        <v>94</v>
      </c>
      <c r="P698" s="6" t="s">
        <v>54</v>
      </c>
      <c r="Q698" s="7" t="n">
        <v>94</v>
      </c>
      <c r="R698" s="8" t="n">
        <v>72</v>
      </c>
      <c r="S698" s="8" t="s">
        <v>43</v>
      </c>
      <c r="T698" s="9" t="n">
        <v>72</v>
      </c>
      <c r="U698" s="10" t="n">
        <v>78</v>
      </c>
      <c r="V698" s="10" t="s">
        <v>43</v>
      </c>
      <c r="W698" s="11" t="n">
        <v>78</v>
      </c>
      <c r="X698" s="12" t="n">
        <v>72</v>
      </c>
      <c r="Y698" s="12" t="s">
        <v>43</v>
      </c>
      <c r="Z698" s="13" t="n">
        <v>72</v>
      </c>
      <c r="AA698" s="14" t="n">
        <v>79</v>
      </c>
      <c r="AB698" s="14" t="s">
        <v>43</v>
      </c>
      <c r="AC698" s="15" t="n">
        <v>79</v>
      </c>
      <c r="AD698" s="2" t="n">
        <f aca="false">SUM(L698,O698,R698,U698,X698,AA698)</f>
        <v>474</v>
      </c>
      <c r="AE698" s="16" t="n">
        <f aca="false">AD698/6</f>
        <v>79</v>
      </c>
      <c r="AF698" s="2" t="str">
        <f aca="false">IF(SUM(COUNTIF(M698,"RA"),COUNTIF(P698,"RA"),COUNTIF(S698,"RA"),COUNTIF(V698,"RA"),COUNTIF(Y698,"RA"),COUNTIF(AB698,"RA"))&gt;0,"FAIL","PASS")</f>
        <v>PASS</v>
      </c>
    </row>
    <row r="699" customFormat="false" ht="15" hidden="false" customHeight="false" outlineLevel="0" collapsed="false">
      <c r="A699" s="2" t="n">
        <v>698</v>
      </c>
      <c r="B699" s="3" t="s">
        <v>3917</v>
      </c>
      <c r="C699" s="2" t="s">
        <v>841</v>
      </c>
      <c r="D699" s="2" t="s">
        <v>3918</v>
      </c>
      <c r="E699" s="2" t="s">
        <v>35</v>
      </c>
      <c r="F699" s="2" t="s">
        <v>36</v>
      </c>
      <c r="G699" s="2" t="s">
        <v>78</v>
      </c>
      <c r="H699" s="2" t="s">
        <v>3919</v>
      </c>
      <c r="I699" s="3" t="s">
        <v>3222</v>
      </c>
      <c r="J699" s="2" t="s">
        <v>3920</v>
      </c>
      <c r="K699" s="2" t="s">
        <v>3921</v>
      </c>
      <c r="L699" s="4" t="n">
        <v>88</v>
      </c>
      <c r="M699" s="4" t="s">
        <v>42</v>
      </c>
      <c r="N699" s="5" t="n">
        <v>88</v>
      </c>
      <c r="O699" s="6" t="n">
        <v>81</v>
      </c>
      <c r="P699" s="6" t="s">
        <v>42</v>
      </c>
      <c r="Q699" s="7" t="n">
        <v>81</v>
      </c>
      <c r="R699" s="8" t="n">
        <v>93</v>
      </c>
      <c r="S699" s="8" t="s">
        <v>54</v>
      </c>
      <c r="T699" s="9" t="n">
        <v>93</v>
      </c>
      <c r="U699" s="10" t="n">
        <v>76</v>
      </c>
      <c r="V699" s="10" t="s">
        <v>43</v>
      </c>
      <c r="W699" s="11" t="n">
        <v>76</v>
      </c>
      <c r="X699" s="12" t="n">
        <v>77</v>
      </c>
      <c r="Y699" s="12" t="s">
        <v>43</v>
      </c>
      <c r="Z699" s="13" t="n">
        <v>77</v>
      </c>
      <c r="AA699" s="14" t="n">
        <v>47</v>
      </c>
      <c r="AB699" s="14" t="s">
        <v>45</v>
      </c>
      <c r="AC699" s="15" t="n">
        <v>47</v>
      </c>
      <c r="AD699" s="2" t="n">
        <f aca="false">SUM(L699,O699,R699,U699,X699,AA699)</f>
        <v>462</v>
      </c>
      <c r="AE699" s="16" t="n">
        <f aca="false">AD699/6</f>
        <v>77</v>
      </c>
      <c r="AF699" s="2" t="str">
        <f aca="false">IF(SUM(COUNTIF(M699,"RA"),COUNTIF(P699,"RA"),COUNTIF(S699,"RA"),COUNTIF(V699,"RA"),COUNTIF(Y699,"RA"),COUNTIF(AB699,"RA"))&gt;0,"FAIL","PASS")</f>
        <v>FAIL</v>
      </c>
    </row>
    <row r="700" customFormat="false" ht="15" hidden="false" customHeight="false" outlineLevel="0" collapsed="false">
      <c r="A700" s="2" t="n">
        <v>699</v>
      </c>
      <c r="B700" s="3" t="s">
        <v>3922</v>
      </c>
      <c r="C700" s="2" t="s">
        <v>803</v>
      </c>
      <c r="D700" s="2" t="s">
        <v>3923</v>
      </c>
      <c r="E700" s="2" t="s">
        <v>57</v>
      </c>
      <c r="F700" s="2" t="s">
        <v>36</v>
      </c>
      <c r="G700" s="2" t="s">
        <v>42</v>
      </c>
      <c r="H700" s="2" t="s">
        <v>3924</v>
      </c>
      <c r="I700" s="3" t="s">
        <v>3925</v>
      </c>
      <c r="J700" s="2" t="s">
        <v>3926</v>
      </c>
      <c r="K700" s="2" t="s">
        <v>3927</v>
      </c>
      <c r="L700" s="4" t="n">
        <v>66</v>
      </c>
      <c r="M700" s="4" t="s">
        <v>44</v>
      </c>
      <c r="N700" s="5" t="n">
        <v>66</v>
      </c>
      <c r="O700" s="6" t="n">
        <v>91</v>
      </c>
      <c r="P700" s="6" t="s">
        <v>54</v>
      </c>
      <c r="Q700" s="7" t="n">
        <v>91</v>
      </c>
      <c r="R700" s="8" t="n">
        <v>53</v>
      </c>
      <c r="S700" s="8" t="s">
        <v>53</v>
      </c>
      <c r="T700" s="9" t="n">
        <v>53</v>
      </c>
      <c r="U700" s="10" t="n">
        <v>71</v>
      </c>
      <c r="V700" s="10" t="s">
        <v>43</v>
      </c>
      <c r="W700" s="11" t="n">
        <v>71</v>
      </c>
      <c r="X700" s="12" t="n">
        <v>98</v>
      </c>
      <c r="Y700" s="12" t="s">
        <v>54</v>
      </c>
      <c r="Z700" s="13" t="n">
        <v>98</v>
      </c>
      <c r="AA700" s="14" t="n">
        <v>72</v>
      </c>
      <c r="AB700" s="14" t="s">
        <v>43</v>
      </c>
      <c r="AC700" s="15" t="n">
        <v>72</v>
      </c>
      <c r="AD700" s="2" t="n">
        <f aca="false">SUM(L700,O700,R700,U700,X700,AA700)</f>
        <v>451</v>
      </c>
      <c r="AE700" s="16" t="n">
        <f aca="false">AD700/6</f>
        <v>75.1666666666667</v>
      </c>
      <c r="AF700" s="2" t="str">
        <f aca="false">IF(SUM(COUNTIF(M700,"RA"),COUNTIF(P700,"RA"),COUNTIF(S700,"RA"),COUNTIF(V700,"RA"),COUNTIF(Y700,"RA"),COUNTIF(AB700,"RA"))&gt;0,"FAIL","PASS")</f>
        <v>PASS</v>
      </c>
    </row>
    <row r="701" customFormat="false" ht="15" hidden="false" customHeight="false" outlineLevel="0" collapsed="false">
      <c r="A701" s="2" t="n">
        <v>700</v>
      </c>
      <c r="B701" s="3" t="s">
        <v>3928</v>
      </c>
      <c r="C701" s="2" t="s">
        <v>783</v>
      </c>
      <c r="D701" s="2" t="s">
        <v>3929</v>
      </c>
      <c r="E701" s="2" t="s">
        <v>35</v>
      </c>
      <c r="F701" s="2" t="s">
        <v>36</v>
      </c>
      <c r="G701" s="2" t="s">
        <v>78</v>
      </c>
      <c r="H701" s="2" t="s">
        <v>2655</v>
      </c>
      <c r="I701" s="3" t="s">
        <v>331</v>
      </c>
      <c r="J701" s="2" t="s">
        <v>3930</v>
      </c>
      <c r="K701" s="2" t="s">
        <v>3931</v>
      </c>
      <c r="L701" s="4" t="n">
        <v>77</v>
      </c>
      <c r="M701" s="4" t="s">
        <v>43</v>
      </c>
      <c r="N701" s="5" t="n">
        <v>77</v>
      </c>
      <c r="O701" s="6" t="n">
        <v>71</v>
      </c>
      <c r="P701" s="6" t="s">
        <v>43</v>
      </c>
      <c r="Q701" s="7" t="n">
        <v>71</v>
      </c>
      <c r="R701" s="8" t="n">
        <v>76</v>
      </c>
      <c r="S701" s="8" t="s">
        <v>43</v>
      </c>
      <c r="T701" s="9" t="n">
        <v>76</v>
      </c>
      <c r="U701" s="10" t="n">
        <v>95</v>
      </c>
      <c r="V701" s="10" t="s">
        <v>54</v>
      </c>
      <c r="W701" s="11" t="n">
        <v>95</v>
      </c>
      <c r="X701" s="12" t="n">
        <v>80</v>
      </c>
      <c r="Y701" s="12" t="s">
        <v>42</v>
      </c>
      <c r="Z701" s="13" t="n">
        <v>80</v>
      </c>
      <c r="AA701" s="14" t="n">
        <v>81</v>
      </c>
      <c r="AB701" s="14" t="s">
        <v>42</v>
      </c>
      <c r="AC701" s="15" t="n">
        <v>81</v>
      </c>
      <c r="AD701" s="2" t="n">
        <f aca="false">SUM(L701,O701,R701,U701,X701,AA701)</f>
        <v>480</v>
      </c>
      <c r="AE701" s="16" t="n">
        <f aca="false">AD701/6</f>
        <v>80</v>
      </c>
      <c r="AF701" s="2" t="str">
        <f aca="false">IF(SUM(COUNTIF(M701,"RA"),COUNTIF(P701,"RA"),COUNTIF(S701,"RA"),COUNTIF(V701,"RA"),COUNTIF(Y701,"RA"),COUNTIF(AB701,"RA"))&gt;0,"FAIL","PASS")</f>
        <v>PASS</v>
      </c>
    </row>
    <row r="702" customFormat="false" ht="15" hidden="false" customHeight="false" outlineLevel="0" collapsed="false">
      <c r="A702" s="2" t="n">
        <v>701</v>
      </c>
      <c r="B702" s="3" t="s">
        <v>3932</v>
      </c>
      <c r="C702" s="2" t="s">
        <v>816</v>
      </c>
      <c r="D702" s="2" t="s">
        <v>3933</v>
      </c>
      <c r="E702" s="2" t="s">
        <v>57</v>
      </c>
      <c r="F702" s="2" t="s">
        <v>36</v>
      </c>
      <c r="G702" s="2" t="s">
        <v>71</v>
      </c>
      <c r="H702" s="2" t="s">
        <v>3934</v>
      </c>
      <c r="I702" s="3" t="s">
        <v>3935</v>
      </c>
      <c r="J702" s="2" t="s">
        <v>3936</v>
      </c>
      <c r="K702" s="2" t="s">
        <v>3937</v>
      </c>
      <c r="L702" s="4" t="n">
        <v>80</v>
      </c>
      <c r="M702" s="4" t="s">
        <v>42</v>
      </c>
      <c r="N702" s="5" t="n">
        <v>80</v>
      </c>
      <c r="O702" s="6" t="n">
        <v>55</v>
      </c>
      <c r="P702" s="6" t="s">
        <v>53</v>
      </c>
      <c r="Q702" s="7" t="n">
        <v>55</v>
      </c>
      <c r="R702" s="8" t="n">
        <v>97</v>
      </c>
      <c r="S702" s="8" t="s">
        <v>54</v>
      </c>
      <c r="T702" s="9" t="n">
        <v>97</v>
      </c>
      <c r="U702" s="10" t="n">
        <v>85</v>
      </c>
      <c r="V702" s="10" t="s">
        <v>42</v>
      </c>
      <c r="W702" s="11" t="n">
        <v>85</v>
      </c>
      <c r="X702" s="12" t="n">
        <v>49</v>
      </c>
      <c r="Y702" s="12" t="s">
        <v>45</v>
      </c>
      <c r="Z702" s="13" t="n">
        <v>49</v>
      </c>
      <c r="AA702" s="14" t="n">
        <v>84</v>
      </c>
      <c r="AB702" s="14" t="s">
        <v>42</v>
      </c>
      <c r="AC702" s="15" t="n">
        <v>84</v>
      </c>
      <c r="AD702" s="2" t="n">
        <f aca="false">SUM(L702,O702,R702,U702,X702,AA702)</f>
        <v>450</v>
      </c>
      <c r="AE702" s="16" t="n">
        <f aca="false">AD702/6</f>
        <v>75</v>
      </c>
      <c r="AF702" s="2" t="str">
        <f aca="false">IF(SUM(COUNTIF(M702,"RA"),COUNTIF(P702,"RA"),COUNTIF(S702,"RA"),COUNTIF(V702,"RA"),COUNTIF(Y702,"RA"),COUNTIF(AB702,"RA"))&gt;0,"FAIL","PASS")</f>
        <v>FAIL</v>
      </c>
    </row>
    <row r="703" customFormat="false" ht="15" hidden="false" customHeight="false" outlineLevel="0" collapsed="false">
      <c r="A703" s="2" t="n">
        <v>702</v>
      </c>
      <c r="B703" s="3" t="s">
        <v>3938</v>
      </c>
      <c r="C703" s="2" t="s">
        <v>859</v>
      </c>
      <c r="D703" s="2" t="s">
        <v>3939</v>
      </c>
      <c r="E703" s="2" t="s">
        <v>57</v>
      </c>
      <c r="F703" s="2" t="s">
        <v>36</v>
      </c>
      <c r="G703" s="2" t="s">
        <v>48</v>
      </c>
      <c r="H703" s="2" t="s">
        <v>3940</v>
      </c>
      <c r="I703" s="3" t="s">
        <v>3941</v>
      </c>
      <c r="J703" s="2" t="s">
        <v>3942</v>
      </c>
      <c r="K703" s="2" t="s">
        <v>3943</v>
      </c>
      <c r="L703" s="4" t="n">
        <v>72</v>
      </c>
      <c r="M703" s="4" t="s">
        <v>43</v>
      </c>
      <c r="N703" s="5" t="n">
        <v>72</v>
      </c>
      <c r="O703" s="6" t="n">
        <v>64</v>
      </c>
      <c r="P703" s="6" t="s">
        <v>44</v>
      </c>
      <c r="Q703" s="7" t="n">
        <v>64</v>
      </c>
      <c r="R703" s="8" t="n">
        <v>73</v>
      </c>
      <c r="S703" s="8" t="s">
        <v>43</v>
      </c>
      <c r="T703" s="9" t="n">
        <v>73</v>
      </c>
      <c r="U703" s="10" t="n">
        <v>68</v>
      </c>
      <c r="V703" s="10" t="s">
        <v>44</v>
      </c>
      <c r="W703" s="11" t="n">
        <v>68</v>
      </c>
      <c r="X703" s="12" t="n">
        <v>70</v>
      </c>
      <c r="Y703" s="12" t="s">
        <v>43</v>
      </c>
      <c r="Z703" s="13" t="n">
        <v>70</v>
      </c>
      <c r="AA703" s="14" t="n">
        <v>74</v>
      </c>
      <c r="AB703" s="14" t="s">
        <v>43</v>
      </c>
      <c r="AC703" s="15" t="n">
        <v>74</v>
      </c>
      <c r="AD703" s="2" t="n">
        <f aca="false">SUM(L703,O703,R703,U703,X703,AA703)</f>
        <v>421</v>
      </c>
      <c r="AE703" s="16" t="n">
        <f aca="false">AD703/6</f>
        <v>70.1666666666667</v>
      </c>
      <c r="AF703" s="2" t="str">
        <f aca="false">IF(SUM(COUNTIF(M703,"RA"),COUNTIF(P703,"RA"),COUNTIF(S703,"RA"),COUNTIF(V703,"RA"),COUNTIF(Y703,"RA"),COUNTIF(AB703,"RA"))&gt;0,"FAIL","PASS")</f>
        <v>PASS</v>
      </c>
    </row>
    <row r="704" customFormat="false" ht="15" hidden="false" customHeight="false" outlineLevel="0" collapsed="false">
      <c r="A704" s="2" t="n">
        <v>703</v>
      </c>
      <c r="B704" s="3" t="s">
        <v>3944</v>
      </c>
      <c r="C704" s="2" t="s">
        <v>783</v>
      </c>
      <c r="D704" s="2" t="s">
        <v>3945</v>
      </c>
      <c r="E704" s="2" t="s">
        <v>57</v>
      </c>
      <c r="F704" s="2" t="s">
        <v>36</v>
      </c>
      <c r="G704" s="2" t="s">
        <v>78</v>
      </c>
      <c r="H704" s="2" t="s">
        <v>3616</v>
      </c>
      <c r="I704" s="3" t="s">
        <v>1624</v>
      </c>
      <c r="J704" s="2" t="s">
        <v>3946</v>
      </c>
      <c r="K704" s="2" t="s">
        <v>3947</v>
      </c>
      <c r="L704" s="4" t="n">
        <v>87</v>
      </c>
      <c r="M704" s="4" t="s">
        <v>42</v>
      </c>
      <c r="N704" s="5" t="n">
        <v>87</v>
      </c>
      <c r="O704" s="6" t="n">
        <v>45</v>
      </c>
      <c r="P704" s="6" t="s">
        <v>45</v>
      </c>
      <c r="Q704" s="7" t="n">
        <v>45</v>
      </c>
      <c r="R704" s="8" t="n">
        <v>76</v>
      </c>
      <c r="S704" s="8" t="s">
        <v>43</v>
      </c>
      <c r="T704" s="9" t="n">
        <v>76</v>
      </c>
      <c r="U704" s="10" t="n">
        <v>58</v>
      </c>
      <c r="V704" s="10" t="s">
        <v>53</v>
      </c>
      <c r="W704" s="11" t="n">
        <v>58</v>
      </c>
      <c r="X704" s="12" t="n">
        <v>81</v>
      </c>
      <c r="Y704" s="12" t="s">
        <v>42</v>
      </c>
      <c r="Z704" s="13" t="n">
        <v>81</v>
      </c>
      <c r="AA704" s="14" t="n">
        <v>76</v>
      </c>
      <c r="AB704" s="14" t="s">
        <v>43</v>
      </c>
      <c r="AC704" s="15" t="n">
        <v>76</v>
      </c>
      <c r="AD704" s="2" t="n">
        <f aca="false">SUM(L704,O704,R704,U704,X704,AA704)</f>
        <v>423</v>
      </c>
      <c r="AE704" s="16" t="n">
        <f aca="false">AD704/6</f>
        <v>70.5</v>
      </c>
      <c r="AF704" s="2" t="str">
        <f aca="false">IF(SUM(COUNTIF(M704,"RA"),COUNTIF(P704,"RA"),COUNTIF(S704,"RA"),COUNTIF(V704,"RA"),COUNTIF(Y704,"RA"),COUNTIF(AB704,"RA"))&gt;0,"FAIL","PASS")</f>
        <v>FAIL</v>
      </c>
    </row>
    <row r="705" customFormat="false" ht="15" hidden="false" customHeight="false" outlineLevel="0" collapsed="false">
      <c r="A705" s="2" t="n">
        <v>704</v>
      </c>
      <c r="B705" s="3" t="s">
        <v>3948</v>
      </c>
      <c r="C705" s="2" t="s">
        <v>859</v>
      </c>
      <c r="D705" s="2" t="s">
        <v>3949</v>
      </c>
      <c r="E705" s="2" t="s">
        <v>57</v>
      </c>
      <c r="F705" s="2" t="s">
        <v>36</v>
      </c>
      <c r="G705" s="2" t="s">
        <v>42</v>
      </c>
      <c r="H705" s="2" t="s">
        <v>3950</v>
      </c>
      <c r="I705" s="3" t="s">
        <v>2387</v>
      </c>
      <c r="J705" s="2" t="s">
        <v>3951</v>
      </c>
      <c r="K705" s="2" t="s">
        <v>3952</v>
      </c>
      <c r="L705" s="4" t="n">
        <v>100</v>
      </c>
      <c r="M705" s="4" t="s">
        <v>54</v>
      </c>
      <c r="N705" s="5" t="n">
        <v>100</v>
      </c>
      <c r="O705" s="6" t="n">
        <v>85</v>
      </c>
      <c r="P705" s="6" t="s">
        <v>42</v>
      </c>
      <c r="Q705" s="7" t="n">
        <v>85</v>
      </c>
      <c r="R705" s="8" t="n">
        <v>87</v>
      </c>
      <c r="S705" s="8" t="s">
        <v>42</v>
      </c>
      <c r="T705" s="9" t="n">
        <v>87</v>
      </c>
      <c r="U705" s="10" t="n">
        <v>75</v>
      </c>
      <c r="V705" s="10" t="s">
        <v>43</v>
      </c>
      <c r="W705" s="11" t="n">
        <v>75</v>
      </c>
      <c r="X705" s="12" t="n">
        <v>86</v>
      </c>
      <c r="Y705" s="12" t="s">
        <v>42</v>
      </c>
      <c r="Z705" s="13" t="n">
        <v>86</v>
      </c>
      <c r="AA705" s="14" t="n">
        <v>70</v>
      </c>
      <c r="AB705" s="14" t="s">
        <v>43</v>
      </c>
      <c r="AC705" s="15" t="n">
        <v>70</v>
      </c>
      <c r="AD705" s="2" t="n">
        <f aca="false">SUM(L705,O705,R705,U705,X705,AA705)</f>
        <v>503</v>
      </c>
      <c r="AE705" s="16" t="n">
        <f aca="false">AD705/6</f>
        <v>83.8333333333333</v>
      </c>
      <c r="AF705" s="2" t="str">
        <f aca="false">IF(SUM(COUNTIF(M705,"RA"),COUNTIF(P705,"RA"),COUNTIF(S705,"RA"),COUNTIF(V705,"RA"),COUNTIF(Y705,"RA"),COUNTIF(AB705,"RA"))&gt;0,"FAIL","PASS")</f>
        <v>PASS</v>
      </c>
    </row>
    <row r="706" customFormat="false" ht="15" hidden="false" customHeight="false" outlineLevel="0" collapsed="false">
      <c r="A706" s="2" t="n">
        <v>705</v>
      </c>
      <c r="B706" s="3" t="s">
        <v>3953</v>
      </c>
      <c r="C706" s="2" t="s">
        <v>757</v>
      </c>
      <c r="D706" s="2" t="s">
        <v>3954</v>
      </c>
      <c r="E706" s="2" t="s">
        <v>57</v>
      </c>
      <c r="F706" s="2" t="s">
        <v>36</v>
      </c>
      <c r="G706" s="2" t="s">
        <v>91</v>
      </c>
      <c r="H706" s="2" t="s">
        <v>3955</v>
      </c>
      <c r="I706" s="3" t="s">
        <v>3956</v>
      </c>
      <c r="J706" s="2" t="s">
        <v>3957</v>
      </c>
      <c r="K706" s="2" t="s">
        <v>3958</v>
      </c>
      <c r="L706" s="4" t="n">
        <v>78</v>
      </c>
      <c r="M706" s="4" t="s">
        <v>43</v>
      </c>
      <c r="N706" s="5" t="n">
        <v>78</v>
      </c>
      <c r="O706" s="6" t="n">
        <v>70</v>
      </c>
      <c r="P706" s="6" t="s">
        <v>43</v>
      </c>
      <c r="Q706" s="7" t="n">
        <v>70</v>
      </c>
      <c r="R706" s="8" t="n">
        <v>65</v>
      </c>
      <c r="S706" s="8" t="s">
        <v>44</v>
      </c>
      <c r="T706" s="9" t="n">
        <v>65</v>
      </c>
      <c r="U706" s="10" t="n">
        <v>71</v>
      </c>
      <c r="V706" s="10" t="s">
        <v>43</v>
      </c>
      <c r="W706" s="11" t="n">
        <v>71</v>
      </c>
      <c r="X706" s="12" t="n">
        <v>50</v>
      </c>
      <c r="Y706" s="12" t="s">
        <v>53</v>
      </c>
      <c r="Z706" s="13" t="n">
        <v>50</v>
      </c>
      <c r="AA706" s="14" t="n">
        <v>86</v>
      </c>
      <c r="AB706" s="14" t="s">
        <v>42</v>
      </c>
      <c r="AC706" s="15" t="n">
        <v>86</v>
      </c>
      <c r="AD706" s="2" t="n">
        <f aca="false">SUM(L706,O706,R706,U706,X706,AA706)</f>
        <v>420</v>
      </c>
      <c r="AE706" s="16" t="n">
        <f aca="false">AD706/6</f>
        <v>70</v>
      </c>
      <c r="AF706" s="2" t="str">
        <f aca="false">IF(SUM(COUNTIF(M706,"RA"),COUNTIF(P706,"RA"),COUNTIF(S706,"RA"),COUNTIF(V706,"RA"),COUNTIF(Y706,"RA"),COUNTIF(AB706,"RA"))&gt;0,"FAIL","PASS")</f>
        <v>PASS</v>
      </c>
    </row>
    <row r="707" customFormat="false" ht="15" hidden="false" customHeight="false" outlineLevel="0" collapsed="false">
      <c r="A707" s="2" t="n">
        <v>706</v>
      </c>
      <c r="B707" s="3" t="s">
        <v>3959</v>
      </c>
      <c r="C707" s="2" t="s">
        <v>912</v>
      </c>
      <c r="D707" s="2" t="s">
        <v>3960</v>
      </c>
      <c r="E707" s="2" t="s">
        <v>57</v>
      </c>
      <c r="F707" s="2" t="s">
        <v>36</v>
      </c>
      <c r="G707" s="2" t="s">
        <v>44</v>
      </c>
      <c r="H707" s="2" t="s">
        <v>3961</v>
      </c>
      <c r="I707" s="3" t="s">
        <v>3962</v>
      </c>
      <c r="J707" s="2" t="s">
        <v>3963</v>
      </c>
      <c r="K707" s="2" t="s">
        <v>3964</v>
      </c>
      <c r="L707" s="4" t="n">
        <v>100</v>
      </c>
      <c r="M707" s="4" t="s">
        <v>54</v>
      </c>
      <c r="N707" s="5" t="n">
        <v>100</v>
      </c>
      <c r="O707" s="6" t="n">
        <v>87</v>
      </c>
      <c r="P707" s="6" t="s">
        <v>42</v>
      </c>
      <c r="Q707" s="7" t="n">
        <v>87</v>
      </c>
      <c r="R707" s="8" t="n">
        <v>100</v>
      </c>
      <c r="S707" s="8" t="s">
        <v>54</v>
      </c>
      <c r="T707" s="9" t="n">
        <v>100</v>
      </c>
      <c r="U707" s="10" t="n">
        <v>89</v>
      </c>
      <c r="V707" s="10" t="s">
        <v>42</v>
      </c>
      <c r="W707" s="11" t="n">
        <v>89</v>
      </c>
      <c r="X707" s="12" t="n">
        <v>74</v>
      </c>
      <c r="Y707" s="12" t="s">
        <v>43</v>
      </c>
      <c r="Z707" s="13" t="n">
        <v>74</v>
      </c>
      <c r="AA707" s="14" t="n">
        <v>92</v>
      </c>
      <c r="AB707" s="14" t="s">
        <v>54</v>
      </c>
      <c r="AC707" s="15" t="n">
        <v>92</v>
      </c>
      <c r="AD707" s="2" t="n">
        <f aca="false">SUM(L707,O707,R707,U707,X707,AA707)</f>
        <v>542</v>
      </c>
      <c r="AE707" s="16" t="n">
        <f aca="false">AD707/6</f>
        <v>90.3333333333333</v>
      </c>
      <c r="AF707" s="2" t="str">
        <f aca="false">IF(SUM(COUNTIF(M707,"RA"),COUNTIF(P707,"RA"),COUNTIF(S707,"RA"),COUNTIF(V707,"RA"),COUNTIF(Y707,"RA"),COUNTIF(AB707,"RA"))&gt;0,"FAIL","PASS")</f>
        <v>PASS</v>
      </c>
    </row>
    <row r="708" customFormat="false" ht="15" hidden="false" customHeight="false" outlineLevel="0" collapsed="false">
      <c r="A708" s="2" t="n">
        <v>707</v>
      </c>
      <c r="B708" s="3" t="s">
        <v>3965</v>
      </c>
      <c r="C708" s="2" t="s">
        <v>783</v>
      </c>
      <c r="D708" s="2" t="s">
        <v>3966</v>
      </c>
      <c r="E708" s="2" t="s">
        <v>57</v>
      </c>
      <c r="F708" s="2" t="s">
        <v>36</v>
      </c>
      <c r="G708" s="2" t="s">
        <v>64</v>
      </c>
      <c r="H708" s="2" t="s">
        <v>1983</v>
      </c>
      <c r="I708" s="3" t="s">
        <v>349</v>
      </c>
      <c r="J708" s="2" t="s">
        <v>3967</v>
      </c>
      <c r="K708" s="2" t="s">
        <v>3968</v>
      </c>
      <c r="L708" s="4" t="n">
        <v>83</v>
      </c>
      <c r="M708" s="4" t="s">
        <v>42</v>
      </c>
      <c r="N708" s="5" t="n">
        <v>83</v>
      </c>
      <c r="O708" s="6" t="n">
        <v>93</v>
      </c>
      <c r="P708" s="6" t="s">
        <v>54</v>
      </c>
      <c r="Q708" s="7" t="n">
        <v>93</v>
      </c>
      <c r="R708" s="8" t="n">
        <v>68</v>
      </c>
      <c r="S708" s="8" t="s">
        <v>44</v>
      </c>
      <c r="T708" s="9" t="n">
        <v>68</v>
      </c>
      <c r="U708" s="10" t="n">
        <v>66</v>
      </c>
      <c r="V708" s="10" t="s">
        <v>44</v>
      </c>
      <c r="W708" s="11" t="n">
        <v>66</v>
      </c>
      <c r="X708" s="12" t="n">
        <v>60</v>
      </c>
      <c r="Y708" s="12" t="s">
        <v>44</v>
      </c>
      <c r="Z708" s="13" t="n">
        <v>60</v>
      </c>
      <c r="AA708" s="14" t="n">
        <v>45</v>
      </c>
      <c r="AB708" s="14" t="s">
        <v>45</v>
      </c>
      <c r="AC708" s="15" t="n">
        <v>45</v>
      </c>
      <c r="AD708" s="2" t="n">
        <f aca="false">SUM(L708,O708,R708,U708,X708,AA708)</f>
        <v>415</v>
      </c>
      <c r="AE708" s="16" t="n">
        <f aca="false">AD708/6</f>
        <v>69.1666666666667</v>
      </c>
      <c r="AF708" s="2" t="str">
        <f aca="false">IF(SUM(COUNTIF(M708,"RA"),COUNTIF(P708,"RA"),COUNTIF(S708,"RA"),COUNTIF(V708,"RA"),COUNTIF(Y708,"RA"),COUNTIF(AB708,"RA"))&gt;0,"FAIL","PASS")</f>
        <v>FAIL</v>
      </c>
    </row>
    <row r="709" customFormat="false" ht="15" hidden="false" customHeight="false" outlineLevel="0" collapsed="false">
      <c r="A709" s="2" t="n">
        <v>708</v>
      </c>
      <c r="B709" s="3" t="s">
        <v>3969</v>
      </c>
      <c r="C709" s="2" t="s">
        <v>816</v>
      </c>
      <c r="D709" s="2" t="s">
        <v>3970</v>
      </c>
      <c r="E709" s="2" t="s">
        <v>57</v>
      </c>
      <c r="F709" s="2" t="s">
        <v>36</v>
      </c>
      <c r="G709" s="2" t="s">
        <v>64</v>
      </c>
      <c r="H709" s="2" t="s">
        <v>739</v>
      </c>
      <c r="I709" s="3" t="s">
        <v>3653</v>
      </c>
      <c r="J709" s="2" t="s">
        <v>3971</v>
      </c>
      <c r="K709" s="2" t="s">
        <v>3972</v>
      </c>
      <c r="L709" s="4" t="n">
        <v>60</v>
      </c>
      <c r="M709" s="4" t="s">
        <v>44</v>
      </c>
      <c r="N709" s="5" t="n">
        <v>60</v>
      </c>
      <c r="O709" s="6" t="n">
        <v>98</v>
      </c>
      <c r="P709" s="6" t="s">
        <v>54</v>
      </c>
      <c r="Q709" s="7" t="n">
        <v>98</v>
      </c>
      <c r="R709" s="8" t="n">
        <v>74</v>
      </c>
      <c r="S709" s="8" t="s">
        <v>43</v>
      </c>
      <c r="T709" s="9" t="n">
        <v>74</v>
      </c>
      <c r="U709" s="10" t="n">
        <v>63</v>
      </c>
      <c r="V709" s="10" t="s">
        <v>44</v>
      </c>
      <c r="W709" s="11" t="n">
        <v>63</v>
      </c>
      <c r="X709" s="12" t="n">
        <v>77</v>
      </c>
      <c r="Y709" s="12" t="s">
        <v>43</v>
      </c>
      <c r="Z709" s="13" t="n">
        <v>77</v>
      </c>
      <c r="AA709" s="14" t="n">
        <v>82</v>
      </c>
      <c r="AB709" s="14" t="s">
        <v>42</v>
      </c>
      <c r="AC709" s="15" t="n">
        <v>82</v>
      </c>
      <c r="AD709" s="2" t="n">
        <f aca="false">SUM(L709,O709,R709,U709,X709,AA709)</f>
        <v>454</v>
      </c>
      <c r="AE709" s="16" t="n">
        <f aca="false">AD709/6</f>
        <v>75.6666666666667</v>
      </c>
      <c r="AF709" s="2" t="str">
        <f aca="false">IF(SUM(COUNTIF(M709,"RA"),COUNTIF(P709,"RA"),COUNTIF(S709,"RA"),COUNTIF(V709,"RA"),COUNTIF(Y709,"RA"),COUNTIF(AB709,"RA"))&gt;0,"FAIL","PASS")</f>
        <v>PASS</v>
      </c>
    </row>
    <row r="710" customFormat="false" ht="15" hidden="false" customHeight="false" outlineLevel="0" collapsed="false">
      <c r="A710" s="2" t="n">
        <v>709</v>
      </c>
      <c r="B710" s="3" t="s">
        <v>3973</v>
      </c>
      <c r="C710" s="2" t="s">
        <v>803</v>
      </c>
      <c r="D710" s="2" t="s">
        <v>3974</v>
      </c>
      <c r="E710" s="2" t="s">
        <v>35</v>
      </c>
      <c r="F710" s="2" t="s">
        <v>36</v>
      </c>
      <c r="G710" s="2" t="s">
        <v>48</v>
      </c>
      <c r="H710" s="2" t="s">
        <v>3975</v>
      </c>
      <c r="I710" s="3" t="s">
        <v>1405</v>
      </c>
      <c r="J710" s="2" t="s">
        <v>3976</v>
      </c>
      <c r="K710" s="2" t="s">
        <v>3977</v>
      </c>
      <c r="L710" s="4" t="n">
        <v>63</v>
      </c>
      <c r="M710" s="4" t="s">
        <v>44</v>
      </c>
      <c r="N710" s="5" t="n">
        <v>63</v>
      </c>
      <c r="O710" s="6" t="n">
        <v>86</v>
      </c>
      <c r="P710" s="6" t="s">
        <v>42</v>
      </c>
      <c r="Q710" s="7" t="n">
        <v>86</v>
      </c>
      <c r="R710" s="8" t="n">
        <v>80</v>
      </c>
      <c r="S710" s="8" t="s">
        <v>42</v>
      </c>
      <c r="T710" s="9" t="n">
        <v>80</v>
      </c>
      <c r="U710" s="10" t="n">
        <v>77</v>
      </c>
      <c r="V710" s="10" t="s">
        <v>43</v>
      </c>
      <c r="W710" s="11" t="n">
        <v>77</v>
      </c>
      <c r="X710" s="12" t="n">
        <v>65</v>
      </c>
      <c r="Y710" s="12" t="s">
        <v>44</v>
      </c>
      <c r="Z710" s="13" t="n">
        <v>65</v>
      </c>
      <c r="AA710" s="14" t="n">
        <v>93</v>
      </c>
      <c r="AB710" s="14" t="s">
        <v>54</v>
      </c>
      <c r="AC710" s="15" t="n">
        <v>93</v>
      </c>
      <c r="AD710" s="2" t="n">
        <f aca="false">SUM(L710,O710,R710,U710,X710,AA710)</f>
        <v>464</v>
      </c>
      <c r="AE710" s="16" t="n">
        <f aca="false">AD710/6</f>
        <v>77.3333333333333</v>
      </c>
      <c r="AF710" s="2" t="str">
        <f aca="false">IF(SUM(COUNTIF(M710,"RA"),COUNTIF(P710,"RA"),COUNTIF(S710,"RA"),COUNTIF(V710,"RA"),COUNTIF(Y710,"RA"),COUNTIF(AB710,"RA"))&gt;0,"FAIL","PASS")</f>
        <v>PASS</v>
      </c>
    </row>
    <row r="711" customFormat="false" ht="15" hidden="false" customHeight="false" outlineLevel="0" collapsed="false">
      <c r="A711" s="2" t="n">
        <v>710</v>
      </c>
      <c r="B711" s="3" t="s">
        <v>3978</v>
      </c>
      <c r="C711" s="2" t="s">
        <v>803</v>
      </c>
      <c r="D711" s="2" t="s">
        <v>3979</v>
      </c>
      <c r="E711" s="2" t="s">
        <v>57</v>
      </c>
      <c r="F711" s="2" t="s">
        <v>36</v>
      </c>
      <c r="G711" s="2" t="s">
        <v>91</v>
      </c>
      <c r="H711" s="2" t="s">
        <v>3980</v>
      </c>
      <c r="I711" s="3" t="s">
        <v>3981</v>
      </c>
      <c r="J711" s="2" t="s">
        <v>3982</v>
      </c>
      <c r="K711" s="2" t="s">
        <v>3983</v>
      </c>
      <c r="L711" s="4" t="n">
        <v>71</v>
      </c>
      <c r="M711" s="4" t="s">
        <v>43</v>
      </c>
      <c r="N711" s="5" t="n">
        <v>71</v>
      </c>
      <c r="O711" s="6" t="n">
        <v>42</v>
      </c>
      <c r="P711" s="6" t="s">
        <v>45</v>
      </c>
      <c r="Q711" s="7" t="n">
        <v>42</v>
      </c>
      <c r="R711" s="8" t="n">
        <v>96</v>
      </c>
      <c r="S711" s="8" t="s">
        <v>54</v>
      </c>
      <c r="T711" s="9" t="n">
        <v>96</v>
      </c>
      <c r="U711" s="10" t="n">
        <v>55</v>
      </c>
      <c r="V711" s="10" t="s">
        <v>53</v>
      </c>
      <c r="W711" s="11" t="n">
        <v>55</v>
      </c>
      <c r="X711" s="12" t="n">
        <v>64</v>
      </c>
      <c r="Y711" s="12" t="s">
        <v>44</v>
      </c>
      <c r="Z711" s="13" t="n">
        <v>64</v>
      </c>
      <c r="AA711" s="14" t="n">
        <v>60</v>
      </c>
      <c r="AB711" s="14" t="s">
        <v>44</v>
      </c>
      <c r="AC711" s="15" t="n">
        <v>60</v>
      </c>
      <c r="AD711" s="2" t="n">
        <f aca="false">SUM(L711,O711,R711,U711,X711,AA711)</f>
        <v>388</v>
      </c>
      <c r="AE711" s="16" t="n">
        <f aca="false">AD711/6</f>
        <v>64.6666666666667</v>
      </c>
      <c r="AF711" s="2" t="str">
        <f aca="false">IF(SUM(COUNTIF(M711,"RA"),COUNTIF(P711,"RA"),COUNTIF(S711,"RA"),COUNTIF(V711,"RA"),COUNTIF(Y711,"RA"),COUNTIF(AB711,"RA"))&gt;0,"FAIL","PASS")</f>
        <v>FAIL</v>
      </c>
    </row>
    <row r="712" customFormat="false" ht="15" hidden="false" customHeight="false" outlineLevel="0" collapsed="false">
      <c r="A712" s="2" t="n">
        <v>711</v>
      </c>
      <c r="B712" s="3" t="s">
        <v>3984</v>
      </c>
      <c r="C712" s="2" t="s">
        <v>770</v>
      </c>
      <c r="D712" s="2" t="s">
        <v>3985</v>
      </c>
      <c r="E712" s="2" t="s">
        <v>35</v>
      </c>
      <c r="F712" s="2" t="s">
        <v>36</v>
      </c>
      <c r="G712" s="2" t="s">
        <v>44</v>
      </c>
      <c r="H712" s="2" t="s">
        <v>3924</v>
      </c>
      <c r="I712" s="3" t="s">
        <v>1422</v>
      </c>
      <c r="J712" s="2" t="s">
        <v>3986</v>
      </c>
      <c r="K712" s="2" t="s">
        <v>3987</v>
      </c>
      <c r="L712" s="4" t="n">
        <v>82</v>
      </c>
      <c r="M712" s="4" t="s">
        <v>42</v>
      </c>
      <c r="N712" s="5" t="n">
        <v>82</v>
      </c>
      <c r="O712" s="6" t="n">
        <v>45</v>
      </c>
      <c r="P712" s="6" t="s">
        <v>45</v>
      </c>
      <c r="Q712" s="7" t="n">
        <v>45</v>
      </c>
      <c r="R712" s="8" t="n">
        <v>76</v>
      </c>
      <c r="S712" s="8" t="s">
        <v>43</v>
      </c>
      <c r="T712" s="9" t="n">
        <v>76</v>
      </c>
      <c r="U712" s="10" t="n">
        <v>79</v>
      </c>
      <c r="V712" s="10" t="s">
        <v>43</v>
      </c>
      <c r="W712" s="11" t="n">
        <v>79</v>
      </c>
      <c r="X712" s="12" t="n">
        <v>66</v>
      </c>
      <c r="Y712" s="12" t="s">
        <v>44</v>
      </c>
      <c r="Z712" s="13" t="n">
        <v>66</v>
      </c>
      <c r="AA712" s="14" t="n">
        <v>97</v>
      </c>
      <c r="AB712" s="14" t="s">
        <v>54</v>
      </c>
      <c r="AC712" s="15" t="n">
        <v>97</v>
      </c>
      <c r="AD712" s="2" t="n">
        <f aca="false">SUM(L712,O712,R712,U712,X712,AA712)</f>
        <v>445</v>
      </c>
      <c r="AE712" s="16" t="n">
        <f aca="false">AD712/6</f>
        <v>74.1666666666667</v>
      </c>
      <c r="AF712" s="2" t="str">
        <f aca="false">IF(SUM(COUNTIF(M712,"RA"),COUNTIF(P712,"RA"),COUNTIF(S712,"RA"),COUNTIF(V712,"RA"),COUNTIF(Y712,"RA"),COUNTIF(AB712,"RA"))&gt;0,"FAIL","PASS")</f>
        <v>FAIL</v>
      </c>
    </row>
    <row r="713" customFormat="false" ht="15" hidden="false" customHeight="false" outlineLevel="0" collapsed="false">
      <c r="A713" s="2" t="n">
        <v>712</v>
      </c>
      <c r="B713" s="3" t="s">
        <v>3988</v>
      </c>
      <c r="C713" s="2" t="s">
        <v>750</v>
      </c>
      <c r="D713" s="2" t="s">
        <v>3989</v>
      </c>
      <c r="E713" s="2" t="s">
        <v>35</v>
      </c>
      <c r="F713" s="2" t="s">
        <v>36</v>
      </c>
      <c r="G713" s="2" t="s">
        <v>64</v>
      </c>
      <c r="H713" s="2" t="s">
        <v>3496</v>
      </c>
      <c r="I713" s="3" t="s">
        <v>3990</v>
      </c>
      <c r="J713" s="2" t="s">
        <v>3991</v>
      </c>
      <c r="K713" s="2" t="s">
        <v>3992</v>
      </c>
      <c r="L713" s="4" t="n">
        <v>98</v>
      </c>
      <c r="M713" s="4" t="s">
        <v>54</v>
      </c>
      <c r="N713" s="5" t="n">
        <v>98</v>
      </c>
      <c r="O713" s="6" t="n">
        <v>81</v>
      </c>
      <c r="P713" s="6" t="s">
        <v>42</v>
      </c>
      <c r="Q713" s="7" t="n">
        <v>81</v>
      </c>
      <c r="R713" s="8" t="n">
        <v>67</v>
      </c>
      <c r="S713" s="8" t="s">
        <v>44</v>
      </c>
      <c r="T713" s="9" t="n">
        <v>67</v>
      </c>
      <c r="U713" s="10" t="n">
        <v>60</v>
      </c>
      <c r="V713" s="10" t="s">
        <v>44</v>
      </c>
      <c r="W713" s="11" t="n">
        <v>60</v>
      </c>
      <c r="X713" s="12" t="n">
        <v>87</v>
      </c>
      <c r="Y713" s="12" t="s">
        <v>42</v>
      </c>
      <c r="Z713" s="13" t="n">
        <v>87</v>
      </c>
      <c r="AA713" s="14" t="n">
        <v>77</v>
      </c>
      <c r="AB713" s="14" t="s">
        <v>43</v>
      </c>
      <c r="AC713" s="15" t="n">
        <v>77</v>
      </c>
      <c r="AD713" s="2" t="n">
        <f aca="false">SUM(L713,O713,R713,U713,X713,AA713)</f>
        <v>470</v>
      </c>
      <c r="AE713" s="16" t="n">
        <f aca="false">AD713/6</f>
        <v>78.3333333333333</v>
      </c>
      <c r="AF713" s="2" t="str">
        <f aca="false">IF(SUM(COUNTIF(M713,"RA"),COUNTIF(P713,"RA"),COUNTIF(S713,"RA"),COUNTIF(V713,"RA"),COUNTIF(Y713,"RA"),COUNTIF(AB713,"RA"))&gt;0,"FAIL","PASS")</f>
        <v>PASS</v>
      </c>
    </row>
    <row r="714" customFormat="false" ht="15" hidden="false" customHeight="false" outlineLevel="0" collapsed="false">
      <c r="A714" s="2" t="n">
        <v>713</v>
      </c>
      <c r="B714" s="3" t="s">
        <v>3993</v>
      </c>
      <c r="C714" s="2" t="s">
        <v>803</v>
      </c>
      <c r="D714" s="2" t="s">
        <v>3994</v>
      </c>
      <c r="E714" s="2" t="s">
        <v>35</v>
      </c>
      <c r="F714" s="2" t="s">
        <v>36</v>
      </c>
      <c r="G714" s="2" t="s">
        <v>91</v>
      </c>
      <c r="H714" s="2" t="s">
        <v>3178</v>
      </c>
      <c r="I714" s="3" t="s">
        <v>1596</v>
      </c>
      <c r="J714" s="2" t="s">
        <v>3995</v>
      </c>
      <c r="K714" s="2" t="s">
        <v>3996</v>
      </c>
      <c r="L714" s="4" t="n">
        <v>78</v>
      </c>
      <c r="M714" s="4" t="s">
        <v>43</v>
      </c>
      <c r="N714" s="5" t="n">
        <v>78</v>
      </c>
      <c r="O714" s="6" t="n">
        <v>41</v>
      </c>
      <c r="P714" s="6" t="s">
        <v>45</v>
      </c>
      <c r="Q714" s="7" t="n">
        <v>41</v>
      </c>
      <c r="R714" s="8" t="n">
        <v>70</v>
      </c>
      <c r="S714" s="8" t="s">
        <v>43</v>
      </c>
      <c r="T714" s="9" t="n">
        <v>70</v>
      </c>
      <c r="U714" s="10" t="n">
        <v>83</v>
      </c>
      <c r="V714" s="10" t="s">
        <v>42</v>
      </c>
      <c r="W714" s="11" t="n">
        <v>83</v>
      </c>
      <c r="X714" s="12" t="n">
        <v>83</v>
      </c>
      <c r="Y714" s="12" t="s">
        <v>42</v>
      </c>
      <c r="Z714" s="13" t="n">
        <v>83</v>
      </c>
      <c r="AA714" s="14" t="n">
        <v>65</v>
      </c>
      <c r="AB714" s="14" t="s">
        <v>44</v>
      </c>
      <c r="AC714" s="15" t="n">
        <v>65</v>
      </c>
      <c r="AD714" s="2" t="n">
        <f aca="false">SUM(L714,O714,R714,U714,X714,AA714)</f>
        <v>420</v>
      </c>
      <c r="AE714" s="16" t="n">
        <f aca="false">AD714/6</f>
        <v>70</v>
      </c>
      <c r="AF714" s="2" t="str">
        <f aca="false">IF(SUM(COUNTIF(M714,"RA"),COUNTIF(P714,"RA"),COUNTIF(S714,"RA"),COUNTIF(V714,"RA"),COUNTIF(Y714,"RA"),COUNTIF(AB714,"RA"))&gt;0,"FAIL","PASS")</f>
        <v>FAIL</v>
      </c>
    </row>
    <row r="715" customFormat="false" ht="15" hidden="false" customHeight="false" outlineLevel="0" collapsed="false">
      <c r="A715" s="2" t="n">
        <v>714</v>
      </c>
      <c r="B715" s="3" t="s">
        <v>3997</v>
      </c>
      <c r="C715" s="2" t="s">
        <v>770</v>
      </c>
      <c r="D715" s="2" t="s">
        <v>3998</v>
      </c>
      <c r="E715" s="2" t="s">
        <v>35</v>
      </c>
      <c r="F715" s="2" t="s">
        <v>36</v>
      </c>
      <c r="G715" s="2" t="s">
        <v>71</v>
      </c>
      <c r="H715" s="2" t="s">
        <v>3999</v>
      </c>
      <c r="I715" s="3" t="s">
        <v>3324</v>
      </c>
      <c r="J715" s="2" t="s">
        <v>4000</v>
      </c>
      <c r="K715" s="2" t="s">
        <v>4001</v>
      </c>
      <c r="L715" s="4" t="n">
        <v>84</v>
      </c>
      <c r="M715" s="4" t="s">
        <v>42</v>
      </c>
      <c r="N715" s="5" t="n">
        <v>84</v>
      </c>
      <c r="O715" s="6" t="n">
        <v>80</v>
      </c>
      <c r="P715" s="6" t="s">
        <v>42</v>
      </c>
      <c r="Q715" s="7" t="n">
        <v>80</v>
      </c>
      <c r="R715" s="8" t="n">
        <v>95</v>
      </c>
      <c r="S715" s="8" t="s">
        <v>54</v>
      </c>
      <c r="T715" s="9" t="n">
        <v>95</v>
      </c>
      <c r="U715" s="10" t="n">
        <v>61</v>
      </c>
      <c r="V715" s="10" t="s">
        <v>44</v>
      </c>
      <c r="W715" s="11" t="n">
        <v>61</v>
      </c>
      <c r="X715" s="12" t="n">
        <v>67</v>
      </c>
      <c r="Y715" s="12" t="s">
        <v>44</v>
      </c>
      <c r="Z715" s="13" t="n">
        <v>67</v>
      </c>
      <c r="AA715" s="14" t="n">
        <v>70</v>
      </c>
      <c r="AB715" s="14" t="s">
        <v>43</v>
      </c>
      <c r="AC715" s="15" t="n">
        <v>70</v>
      </c>
      <c r="AD715" s="2" t="n">
        <f aca="false">SUM(L715,O715,R715,U715,X715,AA715)</f>
        <v>457</v>
      </c>
      <c r="AE715" s="16" t="n">
        <f aca="false">AD715/6</f>
        <v>76.1666666666667</v>
      </c>
      <c r="AF715" s="2" t="str">
        <f aca="false">IF(SUM(COUNTIF(M715,"RA"),COUNTIF(P715,"RA"),COUNTIF(S715,"RA"),COUNTIF(V715,"RA"),COUNTIF(Y715,"RA"),COUNTIF(AB715,"RA"))&gt;0,"FAIL","PASS")</f>
        <v>PASS</v>
      </c>
    </row>
    <row r="716" customFormat="false" ht="15" hidden="false" customHeight="false" outlineLevel="0" collapsed="false">
      <c r="A716" s="2" t="n">
        <v>715</v>
      </c>
      <c r="B716" s="3" t="s">
        <v>4002</v>
      </c>
      <c r="C716" s="2" t="s">
        <v>841</v>
      </c>
      <c r="D716" s="2" t="s">
        <v>4003</v>
      </c>
      <c r="E716" s="2" t="s">
        <v>35</v>
      </c>
      <c r="F716" s="2" t="s">
        <v>36</v>
      </c>
      <c r="G716" s="2" t="s">
        <v>42</v>
      </c>
      <c r="H716" s="2" t="s">
        <v>4004</v>
      </c>
      <c r="I716" s="3" t="s">
        <v>4005</v>
      </c>
      <c r="J716" s="2" t="s">
        <v>4006</v>
      </c>
      <c r="K716" s="2" t="s">
        <v>4007</v>
      </c>
      <c r="L716" s="4" t="n">
        <v>62</v>
      </c>
      <c r="M716" s="4" t="s">
        <v>44</v>
      </c>
      <c r="N716" s="5" t="n">
        <v>62</v>
      </c>
      <c r="O716" s="6" t="n">
        <v>62</v>
      </c>
      <c r="P716" s="6" t="s">
        <v>44</v>
      </c>
      <c r="Q716" s="7" t="n">
        <v>62</v>
      </c>
      <c r="R716" s="8" t="n">
        <v>83</v>
      </c>
      <c r="S716" s="8" t="s">
        <v>42</v>
      </c>
      <c r="T716" s="9" t="n">
        <v>83</v>
      </c>
      <c r="U716" s="10" t="n">
        <v>96</v>
      </c>
      <c r="V716" s="10" t="s">
        <v>54</v>
      </c>
      <c r="W716" s="11" t="n">
        <v>96</v>
      </c>
      <c r="X716" s="12" t="n">
        <v>87</v>
      </c>
      <c r="Y716" s="12" t="s">
        <v>42</v>
      </c>
      <c r="Z716" s="13" t="n">
        <v>87</v>
      </c>
      <c r="AA716" s="14" t="n">
        <v>56</v>
      </c>
      <c r="AB716" s="14" t="s">
        <v>53</v>
      </c>
      <c r="AC716" s="15" t="n">
        <v>56</v>
      </c>
      <c r="AD716" s="2" t="n">
        <f aca="false">SUM(L716,O716,R716,U716,X716,AA716)</f>
        <v>446</v>
      </c>
      <c r="AE716" s="16" t="n">
        <f aca="false">AD716/6</f>
        <v>74.3333333333333</v>
      </c>
      <c r="AF716" s="2" t="str">
        <f aca="false">IF(SUM(COUNTIF(M716,"RA"),COUNTIF(P716,"RA"),COUNTIF(S716,"RA"),COUNTIF(V716,"RA"),COUNTIF(Y716,"RA"),COUNTIF(AB716,"RA"))&gt;0,"FAIL","PASS")</f>
        <v>PASS</v>
      </c>
    </row>
    <row r="717" customFormat="false" ht="15" hidden="false" customHeight="false" outlineLevel="0" collapsed="false">
      <c r="A717" s="2" t="n">
        <v>716</v>
      </c>
      <c r="B717" s="3" t="s">
        <v>4008</v>
      </c>
      <c r="C717" s="2" t="s">
        <v>750</v>
      </c>
      <c r="D717" s="2" t="s">
        <v>4009</v>
      </c>
      <c r="E717" s="2" t="s">
        <v>57</v>
      </c>
      <c r="F717" s="2" t="s">
        <v>36</v>
      </c>
      <c r="G717" s="2" t="s">
        <v>44</v>
      </c>
      <c r="H717" s="2" t="s">
        <v>4010</v>
      </c>
      <c r="I717" s="3" t="s">
        <v>3779</v>
      </c>
      <c r="J717" s="2" t="s">
        <v>4011</v>
      </c>
      <c r="K717" s="2" t="s">
        <v>4012</v>
      </c>
      <c r="L717" s="4" t="n">
        <v>87</v>
      </c>
      <c r="M717" s="4" t="s">
        <v>42</v>
      </c>
      <c r="N717" s="5" t="n">
        <v>87</v>
      </c>
      <c r="O717" s="6" t="n">
        <v>77</v>
      </c>
      <c r="P717" s="6" t="s">
        <v>43</v>
      </c>
      <c r="Q717" s="7" t="n">
        <v>77</v>
      </c>
      <c r="R717" s="8" t="n">
        <v>65</v>
      </c>
      <c r="S717" s="8" t="s">
        <v>44</v>
      </c>
      <c r="T717" s="9" t="n">
        <v>65</v>
      </c>
      <c r="U717" s="10" t="n">
        <v>54</v>
      </c>
      <c r="V717" s="10" t="s">
        <v>53</v>
      </c>
      <c r="W717" s="11" t="n">
        <v>54</v>
      </c>
      <c r="X717" s="12" t="n">
        <v>100</v>
      </c>
      <c r="Y717" s="12" t="s">
        <v>54</v>
      </c>
      <c r="Z717" s="13" t="n">
        <v>100</v>
      </c>
      <c r="AA717" s="14" t="n">
        <v>80</v>
      </c>
      <c r="AB717" s="14" t="s">
        <v>42</v>
      </c>
      <c r="AC717" s="15" t="n">
        <v>80</v>
      </c>
      <c r="AD717" s="2" t="n">
        <f aca="false">SUM(L717,O717,R717,U717,X717,AA717)</f>
        <v>463</v>
      </c>
      <c r="AE717" s="16" t="n">
        <f aca="false">AD717/6</f>
        <v>77.1666666666667</v>
      </c>
      <c r="AF717" s="2" t="str">
        <f aca="false">IF(SUM(COUNTIF(M717,"RA"),COUNTIF(P717,"RA"),COUNTIF(S717,"RA"),COUNTIF(V717,"RA"),COUNTIF(Y717,"RA"),COUNTIF(AB717,"RA"))&gt;0,"FAIL","PASS")</f>
        <v>PASS</v>
      </c>
    </row>
    <row r="718" customFormat="false" ht="15" hidden="false" customHeight="false" outlineLevel="0" collapsed="false">
      <c r="A718" s="2" t="n">
        <v>717</v>
      </c>
      <c r="B718" s="3" t="s">
        <v>4013</v>
      </c>
      <c r="C718" s="2" t="s">
        <v>750</v>
      </c>
      <c r="D718" s="2" t="s">
        <v>4014</v>
      </c>
      <c r="E718" s="2" t="s">
        <v>57</v>
      </c>
      <c r="F718" s="2" t="s">
        <v>36</v>
      </c>
      <c r="G718" s="2" t="s">
        <v>64</v>
      </c>
      <c r="H718" s="2" t="s">
        <v>3641</v>
      </c>
      <c r="I718" s="3" t="s">
        <v>2933</v>
      </c>
      <c r="J718" s="2" t="s">
        <v>4015</v>
      </c>
      <c r="K718" s="2" t="s">
        <v>4016</v>
      </c>
      <c r="L718" s="4" t="n">
        <v>62</v>
      </c>
      <c r="M718" s="4" t="s">
        <v>44</v>
      </c>
      <c r="N718" s="5" t="n">
        <v>62</v>
      </c>
      <c r="O718" s="6" t="n">
        <v>77</v>
      </c>
      <c r="P718" s="6" t="s">
        <v>43</v>
      </c>
      <c r="Q718" s="7" t="n">
        <v>77</v>
      </c>
      <c r="R718" s="8" t="n">
        <v>76</v>
      </c>
      <c r="S718" s="8" t="s">
        <v>43</v>
      </c>
      <c r="T718" s="9" t="n">
        <v>76</v>
      </c>
      <c r="U718" s="10" t="n">
        <v>57</v>
      </c>
      <c r="V718" s="10" t="s">
        <v>53</v>
      </c>
      <c r="W718" s="11" t="n">
        <v>57</v>
      </c>
      <c r="X718" s="12" t="n">
        <v>87</v>
      </c>
      <c r="Y718" s="12" t="s">
        <v>42</v>
      </c>
      <c r="Z718" s="13" t="n">
        <v>87</v>
      </c>
      <c r="AA718" s="14" t="n">
        <v>93</v>
      </c>
      <c r="AB718" s="14" t="s">
        <v>54</v>
      </c>
      <c r="AC718" s="15" t="n">
        <v>93</v>
      </c>
      <c r="AD718" s="2" t="n">
        <f aca="false">SUM(L718,O718,R718,U718,X718,AA718)</f>
        <v>452</v>
      </c>
      <c r="AE718" s="16" t="n">
        <f aca="false">AD718/6</f>
        <v>75.3333333333333</v>
      </c>
      <c r="AF718" s="2" t="str">
        <f aca="false">IF(SUM(COUNTIF(M718,"RA"),COUNTIF(P718,"RA"),COUNTIF(S718,"RA"),COUNTIF(V718,"RA"),COUNTIF(Y718,"RA"),COUNTIF(AB718,"RA"))&gt;0,"FAIL","PASS")</f>
        <v>PASS</v>
      </c>
    </row>
    <row r="719" customFormat="false" ht="15" hidden="false" customHeight="false" outlineLevel="0" collapsed="false">
      <c r="A719" s="2" t="n">
        <v>718</v>
      </c>
      <c r="B719" s="3" t="s">
        <v>4017</v>
      </c>
      <c r="C719" s="2" t="s">
        <v>757</v>
      </c>
      <c r="D719" s="2" t="s">
        <v>4018</v>
      </c>
      <c r="E719" s="2" t="s">
        <v>35</v>
      </c>
      <c r="F719" s="2" t="s">
        <v>36</v>
      </c>
      <c r="G719" s="2" t="s">
        <v>48</v>
      </c>
      <c r="H719" s="2" t="s">
        <v>2078</v>
      </c>
      <c r="I719" s="3" t="s">
        <v>3889</v>
      </c>
      <c r="J719" s="2" t="s">
        <v>4019</v>
      </c>
      <c r="K719" s="2" t="s">
        <v>4020</v>
      </c>
      <c r="L719" s="4" t="n">
        <v>86</v>
      </c>
      <c r="M719" s="4" t="s">
        <v>42</v>
      </c>
      <c r="N719" s="5" t="n">
        <v>86</v>
      </c>
      <c r="O719" s="6" t="n">
        <v>60</v>
      </c>
      <c r="P719" s="6" t="s">
        <v>44</v>
      </c>
      <c r="Q719" s="7" t="n">
        <v>60</v>
      </c>
      <c r="R719" s="8" t="n">
        <v>43</v>
      </c>
      <c r="S719" s="8" t="s">
        <v>45</v>
      </c>
      <c r="T719" s="9" t="n">
        <v>43</v>
      </c>
      <c r="U719" s="10" t="n">
        <v>80</v>
      </c>
      <c r="V719" s="10" t="s">
        <v>42</v>
      </c>
      <c r="W719" s="11" t="n">
        <v>80</v>
      </c>
      <c r="X719" s="12" t="n">
        <v>87</v>
      </c>
      <c r="Y719" s="12" t="s">
        <v>42</v>
      </c>
      <c r="Z719" s="13" t="n">
        <v>87</v>
      </c>
      <c r="AA719" s="14" t="n">
        <v>90</v>
      </c>
      <c r="AB719" s="14" t="s">
        <v>54</v>
      </c>
      <c r="AC719" s="15" t="n">
        <v>90</v>
      </c>
      <c r="AD719" s="2" t="n">
        <f aca="false">SUM(L719,O719,R719,U719,X719,AA719)</f>
        <v>446</v>
      </c>
      <c r="AE719" s="16" t="n">
        <f aca="false">AD719/6</f>
        <v>74.3333333333333</v>
      </c>
      <c r="AF719" s="2" t="str">
        <f aca="false">IF(SUM(COUNTIF(M719,"RA"),COUNTIF(P719,"RA"),COUNTIF(S719,"RA"),COUNTIF(V719,"RA"),COUNTIF(Y719,"RA"),COUNTIF(AB719,"RA"))&gt;0,"FAIL","PASS")</f>
        <v>FAIL</v>
      </c>
    </row>
    <row r="720" customFormat="false" ht="15" hidden="false" customHeight="false" outlineLevel="0" collapsed="false">
      <c r="A720" s="2" t="n">
        <v>719</v>
      </c>
      <c r="B720" s="3" t="s">
        <v>4021</v>
      </c>
      <c r="C720" s="2" t="s">
        <v>912</v>
      </c>
      <c r="D720" s="2" t="s">
        <v>4022</v>
      </c>
      <c r="E720" s="2" t="s">
        <v>57</v>
      </c>
      <c r="F720" s="2" t="s">
        <v>36</v>
      </c>
      <c r="G720" s="2" t="s">
        <v>91</v>
      </c>
      <c r="H720" s="2" t="s">
        <v>4023</v>
      </c>
      <c r="I720" s="3" t="s">
        <v>515</v>
      </c>
      <c r="J720" s="2" t="s">
        <v>4024</v>
      </c>
      <c r="K720" s="2" t="s">
        <v>4025</v>
      </c>
      <c r="L720" s="4" t="n">
        <v>47</v>
      </c>
      <c r="M720" s="4" t="s">
        <v>45</v>
      </c>
      <c r="N720" s="5" t="n">
        <v>47</v>
      </c>
      <c r="O720" s="6" t="n">
        <v>91</v>
      </c>
      <c r="P720" s="6" t="s">
        <v>54</v>
      </c>
      <c r="Q720" s="7" t="n">
        <v>91</v>
      </c>
      <c r="R720" s="8" t="n">
        <v>87</v>
      </c>
      <c r="S720" s="8" t="s">
        <v>42</v>
      </c>
      <c r="T720" s="9" t="n">
        <v>87</v>
      </c>
      <c r="U720" s="10" t="n">
        <v>78</v>
      </c>
      <c r="V720" s="10" t="s">
        <v>43</v>
      </c>
      <c r="W720" s="11" t="n">
        <v>78</v>
      </c>
      <c r="X720" s="12" t="n">
        <v>69</v>
      </c>
      <c r="Y720" s="12" t="s">
        <v>44</v>
      </c>
      <c r="Z720" s="13" t="n">
        <v>69</v>
      </c>
      <c r="AA720" s="14" t="n">
        <v>97</v>
      </c>
      <c r="AB720" s="14" t="s">
        <v>54</v>
      </c>
      <c r="AC720" s="15" t="n">
        <v>97</v>
      </c>
      <c r="AD720" s="2" t="n">
        <f aca="false">SUM(L720,O720,R720,U720,X720,AA720)</f>
        <v>469</v>
      </c>
      <c r="AE720" s="16" t="n">
        <f aca="false">AD720/6</f>
        <v>78.1666666666667</v>
      </c>
      <c r="AF720" s="2" t="str">
        <f aca="false">IF(SUM(COUNTIF(M720,"RA"),COUNTIF(P720,"RA"),COUNTIF(S720,"RA"),COUNTIF(V720,"RA"),COUNTIF(Y720,"RA"),COUNTIF(AB720,"RA"))&gt;0,"FAIL","PASS")</f>
        <v>FAIL</v>
      </c>
    </row>
    <row r="721" customFormat="false" ht="15" hidden="false" customHeight="false" outlineLevel="0" collapsed="false">
      <c r="A721" s="2" t="n">
        <v>720</v>
      </c>
      <c r="B721" s="3" t="s">
        <v>4026</v>
      </c>
      <c r="C721" s="2" t="s">
        <v>912</v>
      </c>
      <c r="D721" s="2" t="s">
        <v>4027</v>
      </c>
      <c r="E721" s="2" t="s">
        <v>57</v>
      </c>
      <c r="F721" s="2" t="s">
        <v>36</v>
      </c>
      <c r="G721" s="2" t="s">
        <v>37</v>
      </c>
      <c r="H721" s="2" t="s">
        <v>4028</v>
      </c>
      <c r="I721" s="3" t="s">
        <v>1573</v>
      </c>
      <c r="J721" s="2" t="s">
        <v>4029</v>
      </c>
      <c r="K721" s="2" t="s">
        <v>4030</v>
      </c>
      <c r="L721" s="4" t="n">
        <v>61</v>
      </c>
      <c r="M721" s="4" t="s">
        <v>44</v>
      </c>
      <c r="N721" s="5" t="n">
        <v>61</v>
      </c>
      <c r="O721" s="6" t="n">
        <v>83</v>
      </c>
      <c r="P721" s="6" t="s">
        <v>42</v>
      </c>
      <c r="Q721" s="7" t="n">
        <v>83</v>
      </c>
      <c r="R721" s="8" t="n">
        <v>82</v>
      </c>
      <c r="S721" s="8" t="s">
        <v>42</v>
      </c>
      <c r="T721" s="9" t="n">
        <v>82</v>
      </c>
      <c r="U721" s="10" t="n">
        <v>86</v>
      </c>
      <c r="V721" s="10" t="s">
        <v>42</v>
      </c>
      <c r="W721" s="11" t="n">
        <v>86</v>
      </c>
      <c r="X721" s="12" t="n">
        <v>94</v>
      </c>
      <c r="Y721" s="12" t="s">
        <v>54</v>
      </c>
      <c r="Z721" s="13" t="n">
        <v>94</v>
      </c>
      <c r="AA721" s="14" t="n">
        <v>95</v>
      </c>
      <c r="AB721" s="14" t="s">
        <v>54</v>
      </c>
      <c r="AC721" s="15" t="n">
        <v>95</v>
      </c>
      <c r="AD721" s="2" t="n">
        <f aca="false">SUM(L721,O721,R721,U721,X721,AA721)</f>
        <v>501</v>
      </c>
      <c r="AE721" s="16" t="n">
        <f aca="false">AD721/6</f>
        <v>83.5</v>
      </c>
      <c r="AF721" s="2" t="str">
        <f aca="false">IF(SUM(COUNTIF(M721,"RA"),COUNTIF(P721,"RA"),COUNTIF(S721,"RA"),COUNTIF(V721,"RA"),COUNTIF(Y721,"RA"),COUNTIF(AB721,"RA"))&gt;0,"FAIL","PASS")</f>
        <v>PASS</v>
      </c>
    </row>
    <row r="722" customFormat="false" ht="15" hidden="false" customHeight="false" outlineLevel="0" collapsed="false">
      <c r="A722" s="2" t="n">
        <v>721</v>
      </c>
      <c r="B722" s="3" t="s">
        <v>4031</v>
      </c>
      <c r="C722" s="2" t="s">
        <v>841</v>
      </c>
      <c r="D722" s="2" t="s">
        <v>4032</v>
      </c>
      <c r="E722" s="2" t="s">
        <v>57</v>
      </c>
      <c r="F722" s="2" t="s">
        <v>36</v>
      </c>
      <c r="G722" s="2" t="s">
        <v>42</v>
      </c>
      <c r="H722" s="2" t="s">
        <v>4033</v>
      </c>
      <c r="I722" s="3" t="s">
        <v>3061</v>
      </c>
      <c r="J722" s="2" t="s">
        <v>4034</v>
      </c>
      <c r="K722" s="2" t="s">
        <v>4035</v>
      </c>
      <c r="L722" s="4" t="n">
        <v>64</v>
      </c>
      <c r="M722" s="4" t="s">
        <v>44</v>
      </c>
      <c r="N722" s="5" t="n">
        <v>64</v>
      </c>
      <c r="O722" s="6" t="n">
        <v>84</v>
      </c>
      <c r="P722" s="6" t="s">
        <v>42</v>
      </c>
      <c r="Q722" s="7" t="n">
        <v>84</v>
      </c>
      <c r="R722" s="8" t="n">
        <v>89</v>
      </c>
      <c r="S722" s="8" t="s">
        <v>42</v>
      </c>
      <c r="T722" s="9" t="n">
        <v>89</v>
      </c>
      <c r="U722" s="10" t="n">
        <v>49</v>
      </c>
      <c r="V722" s="10" t="s">
        <v>45</v>
      </c>
      <c r="W722" s="11" t="n">
        <v>49</v>
      </c>
      <c r="X722" s="12" t="n">
        <v>65</v>
      </c>
      <c r="Y722" s="12" t="s">
        <v>44</v>
      </c>
      <c r="Z722" s="13" t="n">
        <v>65</v>
      </c>
      <c r="AA722" s="14" t="n">
        <v>76</v>
      </c>
      <c r="AB722" s="14" t="s">
        <v>43</v>
      </c>
      <c r="AC722" s="15" t="n">
        <v>76</v>
      </c>
      <c r="AD722" s="2" t="n">
        <f aca="false">SUM(L722,O722,R722,U722,X722,AA722)</f>
        <v>427</v>
      </c>
      <c r="AE722" s="16" t="n">
        <f aca="false">AD722/6</f>
        <v>71.1666666666667</v>
      </c>
      <c r="AF722" s="2" t="str">
        <f aca="false">IF(SUM(COUNTIF(M722,"RA"),COUNTIF(P722,"RA"),COUNTIF(S722,"RA"),COUNTIF(V722,"RA"),COUNTIF(Y722,"RA"),COUNTIF(AB722,"RA"))&gt;0,"FAIL","PASS")</f>
        <v>FAIL</v>
      </c>
    </row>
    <row r="723" customFormat="false" ht="15" hidden="false" customHeight="false" outlineLevel="0" collapsed="false">
      <c r="A723" s="2" t="n">
        <v>722</v>
      </c>
      <c r="B723" s="3" t="s">
        <v>4036</v>
      </c>
      <c r="C723" s="2" t="s">
        <v>841</v>
      </c>
      <c r="D723" s="2" t="s">
        <v>4037</v>
      </c>
      <c r="E723" s="2" t="s">
        <v>57</v>
      </c>
      <c r="F723" s="2" t="s">
        <v>36</v>
      </c>
      <c r="G723" s="2" t="s">
        <v>44</v>
      </c>
      <c r="H723" s="2" t="s">
        <v>3980</v>
      </c>
      <c r="I723" s="3" t="s">
        <v>1243</v>
      </c>
      <c r="J723" s="2" t="s">
        <v>4038</v>
      </c>
      <c r="K723" s="2" t="s">
        <v>4039</v>
      </c>
      <c r="L723" s="4" t="n">
        <v>84</v>
      </c>
      <c r="M723" s="4" t="s">
        <v>42</v>
      </c>
      <c r="N723" s="5" t="n">
        <v>84</v>
      </c>
      <c r="O723" s="6" t="n">
        <v>86</v>
      </c>
      <c r="P723" s="6" t="s">
        <v>42</v>
      </c>
      <c r="Q723" s="7" t="n">
        <v>86</v>
      </c>
      <c r="R723" s="8" t="n">
        <v>84</v>
      </c>
      <c r="S723" s="8" t="s">
        <v>42</v>
      </c>
      <c r="T723" s="9" t="n">
        <v>84</v>
      </c>
      <c r="U723" s="10" t="n">
        <v>48</v>
      </c>
      <c r="V723" s="10" t="s">
        <v>45</v>
      </c>
      <c r="W723" s="11" t="n">
        <v>48</v>
      </c>
      <c r="X723" s="12" t="n">
        <v>84</v>
      </c>
      <c r="Y723" s="12" t="s">
        <v>42</v>
      </c>
      <c r="Z723" s="13" t="n">
        <v>84</v>
      </c>
      <c r="AA723" s="14" t="n">
        <v>74</v>
      </c>
      <c r="AB723" s="14" t="s">
        <v>43</v>
      </c>
      <c r="AC723" s="15" t="n">
        <v>74</v>
      </c>
      <c r="AD723" s="2" t="n">
        <f aca="false">SUM(L723,O723,R723,U723,X723,AA723)</f>
        <v>460</v>
      </c>
      <c r="AE723" s="16" t="n">
        <f aca="false">AD723/6</f>
        <v>76.6666666666667</v>
      </c>
      <c r="AF723" s="2" t="str">
        <f aca="false">IF(SUM(COUNTIF(M723,"RA"),COUNTIF(P723,"RA"),COUNTIF(S723,"RA"),COUNTIF(V723,"RA"),COUNTIF(Y723,"RA"),COUNTIF(AB723,"RA"))&gt;0,"FAIL","PASS")</f>
        <v>FAIL</v>
      </c>
    </row>
    <row r="724" customFormat="false" ht="15" hidden="false" customHeight="false" outlineLevel="0" collapsed="false">
      <c r="A724" s="2" t="n">
        <v>723</v>
      </c>
      <c r="B724" s="3" t="s">
        <v>4040</v>
      </c>
      <c r="C724" s="2" t="s">
        <v>803</v>
      </c>
      <c r="D724" s="2" t="s">
        <v>4041</v>
      </c>
      <c r="E724" s="2" t="s">
        <v>57</v>
      </c>
      <c r="F724" s="2" t="s">
        <v>36</v>
      </c>
      <c r="G724" s="2" t="s">
        <v>91</v>
      </c>
      <c r="H724" s="2" t="s">
        <v>4042</v>
      </c>
      <c r="I724" s="3" t="s">
        <v>825</v>
      </c>
      <c r="J724" s="2" t="s">
        <v>4043</v>
      </c>
      <c r="K724" s="2" t="s">
        <v>4044</v>
      </c>
      <c r="L724" s="4" t="n">
        <v>84</v>
      </c>
      <c r="M724" s="4" t="s">
        <v>42</v>
      </c>
      <c r="N724" s="5" t="n">
        <v>84</v>
      </c>
      <c r="O724" s="6" t="n">
        <v>80</v>
      </c>
      <c r="P724" s="6" t="s">
        <v>42</v>
      </c>
      <c r="Q724" s="7" t="n">
        <v>80</v>
      </c>
      <c r="R724" s="8" t="n">
        <v>97</v>
      </c>
      <c r="S724" s="8" t="s">
        <v>54</v>
      </c>
      <c r="T724" s="9" t="n">
        <v>97</v>
      </c>
      <c r="U724" s="10" t="n">
        <v>96</v>
      </c>
      <c r="V724" s="10" t="s">
        <v>54</v>
      </c>
      <c r="W724" s="11" t="n">
        <v>96</v>
      </c>
      <c r="X724" s="12" t="n">
        <v>62</v>
      </c>
      <c r="Y724" s="12" t="s">
        <v>44</v>
      </c>
      <c r="Z724" s="13" t="n">
        <v>62</v>
      </c>
      <c r="AA724" s="14" t="n">
        <v>91</v>
      </c>
      <c r="AB724" s="14" t="s">
        <v>54</v>
      </c>
      <c r="AC724" s="15" t="n">
        <v>91</v>
      </c>
      <c r="AD724" s="2" t="n">
        <f aca="false">SUM(L724,O724,R724,U724,X724,AA724)</f>
        <v>510</v>
      </c>
      <c r="AE724" s="16" t="n">
        <f aca="false">AD724/6</f>
        <v>85</v>
      </c>
      <c r="AF724" s="2" t="str">
        <f aca="false">IF(SUM(COUNTIF(M724,"RA"),COUNTIF(P724,"RA"),COUNTIF(S724,"RA"),COUNTIF(V724,"RA"),COUNTIF(Y724,"RA"),COUNTIF(AB724,"RA"))&gt;0,"FAIL","PASS")</f>
        <v>PASS</v>
      </c>
    </row>
    <row r="725" customFormat="false" ht="15" hidden="false" customHeight="false" outlineLevel="0" collapsed="false">
      <c r="A725" s="2" t="n">
        <v>724</v>
      </c>
      <c r="B725" s="3" t="s">
        <v>4045</v>
      </c>
      <c r="C725" s="2" t="s">
        <v>803</v>
      </c>
      <c r="D725" s="2" t="s">
        <v>4046</v>
      </c>
      <c r="E725" s="2" t="s">
        <v>35</v>
      </c>
      <c r="F725" s="2" t="s">
        <v>36</v>
      </c>
      <c r="G725" s="2" t="s">
        <v>37</v>
      </c>
      <c r="H725" s="2" t="s">
        <v>1020</v>
      </c>
      <c r="I725" s="3" t="s">
        <v>861</v>
      </c>
      <c r="J725" s="2" t="s">
        <v>4047</v>
      </c>
      <c r="K725" s="2" t="s">
        <v>4048</v>
      </c>
      <c r="L725" s="4" t="n">
        <v>82</v>
      </c>
      <c r="M725" s="4" t="s">
        <v>42</v>
      </c>
      <c r="N725" s="5" t="n">
        <v>82</v>
      </c>
      <c r="O725" s="6" t="n">
        <v>81</v>
      </c>
      <c r="P725" s="6" t="s">
        <v>42</v>
      </c>
      <c r="Q725" s="7" t="n">
        <v>81</v>
      </c>
      <c r="R725" s="8" t="n">
        <v>69</v>
      </c>
      <c r="S725" s="8" t="s">
        <v>44</v>
      </c>
      <c r="T725" s="9" t="n">
        <v>69</v>
      </c>
      <c r="U725" s="10" t="n">
        <v>54</v>
      </c>
      <c r="V725" s="10" t="s">
        <v>53</v>
      </c>
      <c r="W725" s="11" t="n">
        <v>54</v>
      </c>
      <c r="X725" s="12" t="n">
        <v>50</v>
      </c>
      <c r="Y725" s="12" t="s">
        <v>53</v>
      </c>
      <c r="Z725" s="13" t="n">
        <v>50</v>
      </c>
      <c r="AA725" s="14" t="n">
        <v>63</v>
      </c>
      <c r="AB725" s="14" t="s">
        <v>44</v>
      </c>
      <c r="AC725" s="15" t="n">
        <v>63</v>
      </c>
      <c r="AD725" s="2" t="n">
        <f aca="false">SUM(L725,O725,R725,U725,X725,AA725)</f>
        <v>399</v>
      </c>
      <c r="AE725" s="16" t="n">
        <f aca="false">AD725/6</f>
        <v>66.5</v>
      </c>
      <c r="AF725" s="2" t="str">
        <f aca="false">IF(SUM(COUNTIF(M725,"RA"),COUNTIF(P725,"RA"),COUNTIF(S725,"RA"),COUNTIF(V725,"RA"),COUNTIF(Y725,"RA"),COUNTIF(AB725,"RA"))&gt;0,"FAIL","PASS")</f>
        <v>PASS</v>
      </c>
    </row>
    <row r="726" customFormat="false" ht="15" hidden="false" customHeight="false" outlineLevel="0" collapsed="false">
      <c r="A726" s="2" t="n">
        <v>725</v>
      </c>
      <c r="B726" s="3" t="s">
        <v>4049</v>
      </c>
      <c r="C726" s="2" t="s">
        <v>841</v>
      </c>
      <c r="D726" s="2" t="s">
        <v>4050</v>
      </c>
      <c r="E726" s="2" t="s">
        <v>57</v>
      </c>
      <c r="F726" s="2" t="s">
        <v>36</v>
      </c>
      <c r="G726" s="2" t="s">
        <v>37</v>
      </c>
      <c r="H726" s="2" t="s">
        <v>4051</v>
      </c>
      <c r="I726" s="3" t="s">
        <v>4052</v>
      </c>
      <c r="J726" s="2" t="s">
        <v>4053</v>
      </c>
      <c r="K726" s="2" t="s">
        <v>4054</v>
      </c>
      <c r="L726" s="4" t="n">
        <v>51</v>
      </c>
      <c r="M726" s="4" t="s">
        <v>53</v>
      </c>
      <c r="N726" s="5" t="n">
        <v>51</v>
      </c>
      <c r="O726" s="6" t="n">
        <v>41</v>
      </c>
      <c r="P726" s="6" t="s">
        <v>45</v>
      </c>
      <c r="Q726" s="7" t="n">
        <v>41</v>
      </c>
      <c r="R726" s="8" t="n">
        <v>61</v>
      </c>
      <c r="S726" s="8" t="s">
        <v>44</v>
      </c>
      <c r="T726" s="9" t="n">
        <v>61</v>
      </c>
      <c r="U726" s="10" t="n">
        <v>85</v>
      </c>
      <c r="V726" s="10" t="s">
        <v>42</v>
      </c>
      <c r="W726" s="11" t="n">
        <v>85</v>
      </c>
      <c r="X726" s="12" t="n">
        <v>64</v>
      </c>
      <c r="Y726" s="12" t="s">
        <v>44</v>
      </c>
      <c r="Z726" s="13" t="n">
        <v>64</v>
      </c>
      <c r="AA726" s="14" t="n">
        <v>99</v>
      </c>
      <c r="AB726" s="14" t="s">
        <v>54</v>
      </c>
      <c r="AC726" s="15" t="n">
        <v>99</v>
      </c>
      <c r="AD726" s="2" t="n">
        <f aca="false">SUM(L726,O726,R726,U726,X726,AA726)</f>
        <v>401</v>
      </c>
      <c r="AE726" s="16" t="n">
        <f aca="false">AD726/6</f>
        <v>66.8333333333333</v>
      </c>
      <c r="AF726" s="2" t="str">
        <f aca="false">IF(SUM(COUNTIF(M726,"RA"),COUNTIF(P726,"RA"),COUNTIF(S726,"RA"),COUNTIF(V726,"RA"),COUNTIF(Y726,"RA"),COUNTIF(AB726,"RA"))&gt;0,"FAIL","PASS")</f>
        <v>FAIL</v>
      </c>
    </row>
    <row r="727" customFormat="false" ht="15" hidden="false" customHeight="false" outlineLevel="0" collapsed="false">
      <c r="A727" s="2" t="n">
        <v>726</v>
      </c>
      <c r="B727" s="3" t="s">
        <v>4055</v>
      </c>
      <c r="C727" s="2" t="s">
        <v>770</v>
      </c>
      <c r="D727" s="2" t="s">
        <v>4056</v>
      </c>
      <c r="E727" s="2" t="s">
        <v>57</v>
      </c>
      <c r="F727" s="2" t="s">
        <v>36</v>
      </c>
      <c r="G727" s="2" t="s">
        <v>48</v>
      </c>
      <c r="H727" s="2" t="s">
        <v>3716</v>
      </c>
      <c r="I727" s="3" t="s">
        <v>2493</v>
      </c>
      <c r="J727" s="2" t="s">
        <v>4057</v>
      </c>
      <c r="K727" s="2" t="s">
        <v>4058</v>
      </c>
      <c r="L727" s="4" t="n">
        <v>79</v>
      </c>
      <c r="M727" s="4" t="s">
        <v>43</v>
      </c>
      <c r="N727" s="5" t="n">
        <v>79</v>
      </c>
      <c r="O727" s="6" t="n">
        <v>76</v>
      </c>
      <c r="P727" s="6" t="s">
        <v>43</v>
      </c>
      <c r="Q727" s="7" t="n">
        <v>76</v>
      </c>
      <c r="R727" s="8" t="n">
        <v>41</v>
      </c>
      <c r="S727" s="8" t="s">
        <v>45</v>
      </c>
      <c r="T727" s="9" t="n">
        <v>41</v>
      </c>
      <c r="U727" s="10" t="n">
        <v>45</v>
      </c>
      <c r="V727" s="10" t="s">
        <v>45</v>
      </c>
      <c r="W727" s="11" t="n">
        <v>45</v>
      </c>
      <c r="X727" s="12" t="n">
        <v>40</v>
      </c>
      <c r="Y727" s="12" t="s">
        <v>45</v>
      </c>
      <c r="Z727" s="13" t="n">
        <v>40</v>
      </c>
      <c r="AA727" s="14" t="n">
        <v>97</v>
      </c>
      <c r="AB727" s="14" t="s">
        <v>54</v>
      </c>
      <c r="AC727" s="15" t="n">
        <v>97</v>
      </c>
      <c r="AD727" s="2" t="n">
        <f aca="false">SUM(L727,O727,R727,U727,X727,AA727)</f>
        <v>378</v>
      </c>
      <c r="AE727" s="16" t="n">
        <f aca="false">AD727/6</f>
        <v>63</v>
      </c>
      <c r="AF727" s="2" t="str">
        <f aca="false">IF(SUM(COUNTIF(M727,"RA"),COUNTIF(P727,"RA"),COUNTIF(S727,"RA"),COUNTIF(V727,"RA"),COUNTIF(Y727,"RA"),COUNTIF(AB727,"RA"))&gt;0,"FAIL","PASS")</f>
        <v>FAIL</v>
      </c>
    </row>
    <row r="728" customFormat="false" ht="15" hidden="false" customHeight="false" outlineLevel="0" collapsed="false">
      <c r="A728" s="2" t="n">
        <v>727</v>
      </c>
      <c r="B728" s="3" t="s">
        <v>4059</v>
      </c>
      <c r="C728" s="2" t="s">
        <v>912</v>
      </c>
      <c r="D728" s="2" t="s">
        <v>4060</v>
      </c>
      <c r="E728" s="2" t="s">
        <v>57</v>
      </c>
      <c r="F728" s="2" t="s">
        <v>36</v>
      </c>
      <c r="G728" s="2" t="s">
        <v>71</v>
      </c>
      <c r="H728" s="2" t="s">
        <v>4061</v>
      </c>
      <c r="I728" s="3" t="s">
        <v>4062</v>
      </c>
      <c r="J728" s="2" t="s">
        <v>4063</v>
      </c>
      <c r="K728" s="2" t="s">
        <v>4064</v>
      </c>
      <c r="L728" s="4" t="n">
        <v>94</v>
      </c>
      <c r="M728" s="4" t="s">
        <v>54</v>
      </c>
      <c r="N728" s="5" t="n">
        <v>94</v>
      </c>
      <c r="O728" s="6" t="n">
        <v>99</v>
      </c>
      <c r="P728" s="6" t="s">
        <v>54</v>
      </c>
      <c r="Q728" s="7" t="n">
        <v>99</v>
      </c>
      <c r="R728" s="8" t="n">
        <v>77</v>
      </c>
      <c r="S728" s="8" t="s">
        <v>43</v>
      </c>
      <c r="T728" s="9" t="n">
        <v>77</v>
      </c>
      <c r="U728" s="10" t="n">
        <v>75</v>
      </c>
      <c r="V728" s="10" t="s">
        <v>43</v>
      </c>
      <c r="W728" s="11" t="n">
        <v>75</v>
      </c>
      <c r="X728" s="12" t="n">
        <v>65</v>
      </c>
      <c r="Y728" s="12" t="s">
        <v>44</v>
      </c>
      <c r="Z728" s="13" t="n">
        <v>65</v>
      </c>
      <c r="AA728" s="14" t="n">
        <v>82</v>
      </c>
      <c r="AB728" s="14" t="s">
        <v>42</v>
      </c>
      <c r="AC728" s="15" t="n">
        <v>82</v>
      </c>
      <c r="AD728" s="2" t="n">
        <f aca="false">SUM(L728,O728,R728,U728,X728,AA728)</f>
        <v>492</v>
      </c>
      <c r="AE728" s="16" t="n">
        <f aca="false">AD728/6</f>
        <v>82</v>
      </c>
      <c r="AF728" s="2" t="str">
        <f aca="false">IF(SUM(COUNTIF(M728,"RA"),COUNTIF(P728,"RA"),COUNTIF(S728,"RA"),COUNTIF(V728,"RA"),COUNTIF(Y728,"RA"),COUNTIF(AB728,"RA"))&gt;0,"FAIL","PASS")</f>
        <v>PASS</v>
      </c>
    </row>
    <row r="729" customFormat="false" ht="15" hidden="false" customHeight="false" outlineLevel="0" collapsed="false">
      <c r="A729" s="2" t="n">
        <v>728</v>
      </c>
      <c r="B729" s="3" t="s">
        <v>4065</v>
      </c>
      <c r="C729" s="2" t="s">
        <v>783</v>
      </c>
      <c r="D729" s="2" t="s">
        <v>4066</v>
      </c>
      <c r="E729" s="2" t="s">
        <v>35</v>
      </c>
      <c r="F729" s="2" t="s">
        <v>36</v>
      </c>
      <c r="G729" s="2" t="s">
        <v>64</v>
      </c>
      <c r="H729" s="2" t="s">
        <v>1755</v>
      </c>
      <c r="I729" s="3" t="s">
        <v>4067</v>
      </c>
      <c r="J729" s="2" t="s">
        <v>4068</v>
      </c>
      <c r="K729" s="2" t="s">
        <v>4069</v>
      </c>
      <c r="L729" s="4" t="n">
        <v>45</v>
      </c>
      <c r="M729" s="4" t="s">
        <v>45</v>
      </c>
      <c r="N729" s="5" t="n">
        <v>45</v>
      </c>
      <c r="O729" s="6" t="n">
        <v>83</v>
      </c>
      <c r="P729" s="6" t="s">
        <v>42</v>
      </c>
      <c r="Q729" s="7" t="n">
        <v>83</v>
      </c>
      <c r="R729" s="8" t="n">
        <v>66</v>
      </c>
      <c r="S729" s="8" t="s">
        <v>44</v>
      </c>
      <c r="T729" s="9" t="n">
        <v>66</v>
      </c>
      <c r="U729" s="10" t="n">
        <v>82</v>
      </c>
      <c r="V729" s="10" t="s">
        <v>42</v>
      </c>
      <c r="W729" s="11" t="n">
        <v>82</v>
      </c>
      <c r="X729" s="12" t="n">
        <v>42</v>
      </c>
      <c r="Y729" s="12" t="s">
        <v>45</v>
      </c>
      <c r="Z729" s="13" t="n">
        <v>42</v>
      </c>
      <c r="AA729" s="14" t="n">
        <v>51</v>
      </c>
      <c r="AB729" s="14" t="s">
        <v>53</v>
      </c>
      <c r="AC729" s="15" t="n">
        <v>51</v>
      </c>
      <c r="AD729" s="2" t="n">
        <f aca="false">SUM(L729,O729,R729,U729,X729,AA729)</f>
        <v>369</v>
      </c>
      <c r="AE729" s="16" t="n">
        <f aca="false">AD729/6</f>
        <v>61.5</v>
      </c>
      <c r="AF729" s="2" t="str">
        <f aca="false">IF(SUM(COUNTIF(M729,"RA"),COUNTIF(P729,"RA"),COUNTIF(S729,"RA"),COUNTIF(V729,"RA"),COUNTIF(Y729,"RA"),COUNTIF(AB729,"RA"))&gt;0,"FAIL","PASS")</f>
        <v>FAIL</v>
      </c>
    </row>
    <row r="730" customFormat="false" ht="15" hidden="false" customHeight="false" outlineLevel="0" collapsed="false">
      <c r="A730" s="2" t="n">
        <v>729</v>
      </c>
      <c r="B730" s="3" t="s">
        <v>4070</v>
      </c>
      <c r="C730" s="2" t="s">
        <v>757</v>
      </c>
      <c r="D730" s="2" t="s">
        <v>4071</v>
      </c>
      <c r="E730" s="2" t="s">
        <v>57</v>
      </c>
      <c r="F730" s="2" t="s">
        <v>36</v>
      </c>
      <c r="G730" s="2" t="s">
        <v>48</v>
      </c>
      <c r="H730" s="2" t="s">
        <v>4072</v>
      </c>
      <c r="I730" s="3" t="s">
        <v>4073</v>
      </c>
      <c r="J730" s="2" t="s">
        <v>4074</v>
      </c>
      <c r="K730" s="2" t="s">
        <v>4075</v>
      </c>
      <c r="L730" s="4" t="n">
        <v>61</v>
      </c>
      <c r="M730" s="4" t="s">
        <v>44</v>
      </c>
      <c r="N730" s="5" t="n">
        <v>61</v>
      </c>
      <c r="O730" s="6" t="n">
        <v>62</v>
      </c>
      <c r="P730" s="6" t="s">
        <v>44</v>
      </c>
      <c r="Q730" s="7" t="n">
        <v>62</v>
      </c>
      <c r="R730" s="8" t="n">
        <v>67</v>
      </c>
      <c r="S730" s="8" t="s">
        <v>44</v>
      </c>
      <c r="T730" s="9" t="n">
        <v>67</v>
      </c>
      <c r="U730" s="10" t="n">
        <v>99</v>
      </c>
      <c r="V730" s="10" t="s">
        <v>54</v>
      </c>
      <c r="W730" s="11" t="n">
        <v>99</v>
      </c>
      <c r="X730" s="12" t="n">
        <v>74</v>
      </c>
      <c r="Y730" s="12" t="s">
        <v>43</v>
      </c>
      <c r="Z730" s="13" t="n">
        <v>74</v>
      </c>
      <c r="AA730" s="14" t="n">
        <v>97</v>
      </c>
      <c r="AB730" s="14" t="s">
        <v>54</v>
      </c>
      <c r="AC730" s="15" t="n">
        <v>97</v>
      </c>
      <c r="AD730" s="2" t="n">
        <f aca="false">SUM(L730,O730,R730,U730,X730,AA730)</f>
        <v>460</v>
      </c>
      <c r="AE730" s="16" t="n">
        <f aca="false">AD730/6</f>
        <v>76.6666666666667</v>
      </c>
      <c r="AF730" s="2" t="str">
        <f aca="false">IF(SUM(COUNTIF(M730,"RA"),COUNTIF(P730,"RA"),COUNTIF(S730,"RA"),COUNTIF(V730,"RA"),COUNTIF(Y730,"RA"),COUNTIF(AB730,"RA"))&gt;0,"FAIL","PASS")</f>
        <v>PASS</v>
      </c>
    </row>
    <row r="731" customFormat="false" ht="15" hidden="false" customHeight="false" outlineLevel="0" collapsed="false">
      <c r="A731" s="2" t="n">
        <v>730</v>
      </c>
      <c r="B731" s="3" t="s">
        <v>4076</v>
      </c>
      <c r="C731" s="2" t="s">
        <v>859</v>
      </c>
      <c r="D731" s="2" t="s">
        <v>4077</v>
      </c>
      <c r="E731" s="2" t="s">
        <v>57</v>
      </c>
      <c r="F731" s="2" t="s">
        <v>36</v>
      </c>
      <c r="G731" s="2" t="s">
        <v>78</v>
      </c>
      <c r="H731" s="2" t="s">
        <v>4078</v>
      </c>
      <c r="I731" s="3" t="s">
        <v>3142</v>
      </c>
      <c r="J731" s="2" t="s">
        <v>4079</v>
      </c>
      <c r="K731" s="2" t="s">
        <v>4080</v>
      </c>
      <c r="L731" s="4" t="n">
        <v>92</v>
      </c>
      <c r="M731" s="4" t="s">
        <v>54</v>
      </c>
      <c r="N731" s="5" t="n">
        <v>92</v>
      </c>
      <c r="O731" s="6" t="n">
        <v>83</v>
      </c>
      <c r="P731" s="6" t="s">
        <v>42</v>
      </c>
      <c r="Q731" s="7" t="n">
        <v>83</v>
      </c>
      <c r="R731" s="8" t="n">
        <v>53</v>
      </c>
      <c r="S731" s="8" t="s">
        <v>53</v>
      </c>
      <c r="T731" s="9" t="n">
        <v>53</v>
      </c>
      <c r="U731" s="10" t="n">
        <v>59</v>
      </c>
      <c r="V731" s="10" t="s">
        <v>53</v>
      </c>
      <c r="W731" s="11" t="n">
        <v>59</v>
      </c>
      <c r="X731" s="12" t="n">
        <v>66</v>
      </c>
      <c r="Y731" s="12" t="s">
        <v>44</v>
      </c>
      <c r="Z731" s="13" t="n">
        <v>66</v>
      </c>
      <c r="AA731" s="14" t="n">
        <v>44</v>
      </c>
      <c r="AB731" s="14" t="s">
        <v>45</v>
      </c>
      <c r="AC731" s="15" t="n">
        <v>44</v>
      </c>
      <c r="AD731" s="2" t="n">
        <f aca="false">SUM(L731,O731,R731,U731,X731,AA731)</f>
        <v>397</v>
      </c>
      <c r="AE731" s="16" t="n">
        <f aca="false">AD731/6</f>
        <v>66.1666666666667</v>
      </c>
      <c r="AF731" s="2" t="str">
        <f aca="false">IF(SUM(COUNTIF(M731,"RA"),COUNTIF(P731,"RA"),COUNTIF(S731,"RA"),COUNTIF(V731,"RA"),COUNTIF(Y731,"RA"),COUNTIF(AB731,"RA"))&gt;0,"FAIL","PASS")</f>
        <v>FAIL</v>
      </c>
    </row>
    <row r="732" customFormat="false" ht="15" hidden="false" customHeight="false" outlineLevel="0" collapsed="false">
      <c r="A732" s="2" t="n">
        <v>731</v>
      </c>
      <c r="B732" s="3" t="s">
        <v>4081</v>
      </c>
      <c r="C732" s="2" t="s">
        <v>816</v>
      </c>
      <c r="D732" s="2" t="s">
        <v>4082</v>
      </c>
      <c r="E732" s="2" t="s">
        <v>35</v>
      </c>
      <c r="F732" s="2" t="s">
        <v>36</v>
      </c>
      <c r="G732" s="2" t="s">
        <v>37</v>
      </c>
      <c r="H732" s="2" t="s">
        <v>4083</v>
      </c>
      <c r="I732" s="3" t="s">
        <v>4084</v>
      </c>
      <c r="J732" s="2" t="s">
        <v>4085</v>
      </c>
      <c r="K732" s="2" t="s">
        <v>4086</v>
      </c>
      <c r="L732" s="4" t="n">
        <v>85</v>
      </c>
      <c r="M732" s="4" t="s">
        <v>42</v>
      </c>
      <c r="N732" s="5" t="n">
        <v>85</v>
      </c>
      <c r="O732" s="6" t="n">
        <v>51</v>
      </c>
      <c r="P732" s="6" t="s">
        <v>53</v>
      </c>
      <c r="Q732" s="7" t="n">
        <v>51</v>
      </c>
      <c r="R732" s="8" t="n">
        <v>50</v>
      </c>
      <c r="S732" s="8" t="s">
        <v>53</v>
      </c>
      <c r="T732" s="9" t="n">
        <v>50</v>
      </c>
      <c r="U732" s="10" t="n">
        <v>46</v>
      </c>
      <c r="V732" s="10" t="s">
        <v>45</v>
      </c>
      <c r="W732" s="11" t="n">
        <v>46</v>
      </c>
      <c r="X732" s="12" t="n">
        <v>100</v>
      </c>
      <c r="Y732" s="12" t="s">
        <v>54</v>
      </c>
      <c r="Z732" s="13" t="n">
        <v>100</v>
      </c>
      <c r="AA732" s="14" t="n">
        <v>89</v>
      </c>
      <c r="AB732" s="14" t="s">
        <v>42</v>
      </c>
      <c r="AC732" s="15" t="n">
        <v>89</v>
      </c>
      <c r="AD732" s="2" t="n">
        <f aca="false">SUM(L732,O732,R732,U732,X732,AA732)</f>
        <v>421</v>
      </c>
      <c r="AE732" s="16" t="n">
        <f aca="false">AD732/6</f>
        <v>70.1666666666667</v>
      </c>
      <c r="AF732" s="2" t="str">
        <f aca="false">IF(SUM(COUNTIF(M732,"RA"),COUNTIF(P732,"RA"),COUNTIF(S732,"RA"),COUNTIF(V732,"RA"),COUNTIF(Y732,"RA"),COUNTIF(AB732,"RA"))&gt;0,"FAIL","PASS")</f>
        <v>FAIL</v>
      </c>
    </row>
    <row r="733" customFormat="false" ht="15" hidden="false" customHeight="false" outlineLevel="0" collapsed="false">
      <c r="A733" s="2" t="n">
        <v>732</v>
      </c>
      <c r="B733" s="3" t="s">
        <v>4087</v>
      </c>
      <c r="C733" s="2" t="s">
        <v>790</v>
      </c>
      <c r="D733" s="2" t="s">
        <v>4088</v>
      </c>
      <c r="E733" s="2" t="s">
        <v>35</v>
      </c>
      <c r="F733" s="2" t="s">
        <v>36</v>
      </c>
      <c r="G733" s="2" t="s">
        <v>64</v>
      </c>
      <c r="H733" s="2" t="s">
        <v>4089</v>
      </c>
      <c r="I733" s="3" t="s">
        <v>4090</v>
      </c>
      <c r="J733" s="2" t="s">
        <v>4091</v>
      </c>
      <c r="K733" s="2" t="s">
        <v>4092</v>
      </c>
      <c r="L733" s="4" t="n">
        <v>70</v>
      </c>
      <c r="M733" s="4" t="s">
        <v>43</v>
      </c>
      <c r="N733" s="5" t="n">
        <v>70</v>
      </c>
      <c r="O733" s="6" t="n">
        <v>94</v>
      </c>
      <c r="P733" s="6" t="s">
        <v>54</v>
      </c>
      <c r="Q733" s="7" t="n">
        <v>94</v>
      </c>
      <c r="R733" s="8" t="n">
        <v>93</v>
      </c>
      <c r="S733" s="8" t="s">
        <v>54</v>
      </c>
      <c r="T733" s="9" t="n">
        <v>93</v>
      </c>
      <c r="U733" s="10" t="n">
        <v>58</v>
      </c>
      <c r="V733" s="10" t="s">
        <v>53</v>
      </c>
      <c r="W733" s="11" t="n">
        <v>58</v>
      </c>
      <c r="X733" s="12" t="n">
        <v>89</v>
      </c>
      <c r="Y733" s="12" t="s">
        <v>42</v>
      </c>
      <c r="Z733" s="13" t="n">
        <v>89</v>
      </c>
      <c r="AA733" s="14" t="n">
        <v>65</v>
      </c>
      <c r="AB733" s="14" t="s">
        <v>44</v>
      </c>
      <c r="AC733" s="15" t="n">
        <v>65</v>
      </c>
      <c r="AD733" s="2" t="n">
        <f aca="false">SUM(L733,O733,R733,U733,X733,AA733)</f>
        <v>469</v>
      </c>
      <c r="AE733" s="16" t="n">
        <f aca="false">AD733/6</f>
        <v>78.1666666666667</v>
      </c>
      <c r="AF733" s="2" t="str">
        <f aca="false">IF(SUM(COUNTIF(M733,"RA"),COUNTIF(P733,"RA"),COUNTIF(S733,"RA"),COUNTIF(V733,"RA"),COUNTIF(Y733,"RA"),COUNTIF(AB733,"RA"))&gt;0,"FAIL","PASS")</f>
        <v>PASS</v>
      </c>
    </row>
    <row r="734" customFormat="false" ht="15" hidden="false" customHeight="false" outlineLevel="0" collapsed="false">
      <c r="A734" s="2" t="n">
        <v>733</v>
      </c>
      <c r="B734" s="3" t="s">
        <v>4093</v>
      </c>
      <c r="C734" s="2" t="s">
        <v>912</v>
      </c>
      <c r="D734" s="2" t="s">
        <v>4094</v>
      </c>
      <c r="E734" s="2" t="s">
        <v>35</v>
      </c>
      <c r="F734" s="2" t="s">
        <v>36</v>
      </c>
      <c r="G734" s="2" t="s">
        <v>37</v>
      </c>
      <c r="H734" s="2" t="s">
        <v>3755</v>
      </c>
      <c r="I734" s="3" t="s">
        <v>2421</v>
      </c>
      <c r="J734" s="2" t="s">
        <v>4095</v>
      </c>
      <c r="K734" s="2" t="s">
        <v>4096</v>
      </c>
      <c r="L734" s="4" t="n">
        <v>61</v>
      </c>
      <c r="M734" s="4" t="s">
        <v>44</v>
      </c>
      <c r="N734" s="5" t="n">
        <v>61</v>
      </c>
      <c r="O734" s="6" t="n">
        <v>68</v>
      </c>
      <c r="P734" s="6" t="s">
        <v>44</v>
      </c>
      <c r="Q734" s="7" t="n">
        <v>68</v>
      </c>
      <c r="R734" s="8" t="n">
        <v>92</v>
      </c>
      <c r="S734" s="8" t="s">
        <v>54</v>
      </c>
      <c r="T734" s="9" t="n">
        <v>92</v>
      </c>
      <c r="U734" s="10" t="n">
        <v>89</v>
      </c>
      <c r="V734" s="10" t="s">
        <v>42</v>
      </c>
      <c r="W734" s="11" t="n">
        <v>89</v>
      </c>
      <c r="X734" s="12" t="n">
        <v>80</v>
      </c>
      <c r="Y734" s="12" t="s">
        <v>42</v>
      </c>
      <c r="Z734" s="13" t="n">
        <v>80</v>
      </c>
      <c r="AA734" s="14" t="n">
        <v>76</v>
      </c>
      <c r="AB734" s="14" t="s">
        <v>43</v>
      </c>
      <c r="AC734" s="15" t="n">
        <v>76</v>
      </c>
      <c r="AD734" s="2" t="n">
        <f aca="false">SUM(L734,O734,R734,U734,X734,AA734)</f>
        <v>466</v>
      </c>
      <c r="AE734" s="16" t="n">
        <f aca="false">AD734/6</f>
        <v>77.6666666666667</v>
      </c>
      <c r="AF734" s="2" t="str">
        <f aca="false">IF(SUM(COUNTIF(M734,"RA"),COUNTIF(P734,"RA"),COUNTIF(S734,"RA"),COUNTIF(V734,"RA"),COUNTIF(Y734,"RA"),COUNTIF(AB734,"RA"))&gt;0,"FAIL","PASS")</f>
        <v>PASS</v>
      </c>
    </row>
    <row r="735" customFormat="false" ht="15" hidden="false" customHeight="false" outlineLevel="0" collapsed="false">
      <c r="A735" s="2" t="n">
        <v>734</v>
      </c>
      <c r="B735" s="3" t="s">
        <v>4097</v>
      </c>
      <c r="C735" s="2" t="s">
        <v>757</v>
      </c>
      <c r="D735" s="2" t="s">
        <v>4098</v>
      </c>
      <c r="E735" s="2" t="s">
        <v>57</v>
      </c>
      <c r="F735" s="2" t="s">
        <v>36</v>
      </c>
      <c r="G735" s="2" t="s">
        <v>42</v>
      </c>
      <c r="H735" s="2" t="s">
        <v>4099</v>
      </c>
      <c r="I735" s="3" t="s">
        <v>4100</v>
      </c>
      <c r="J735" s="2" t="s">
        <v>4101</v>
      </c>
      <c r="K735" s="2" t="s">
        <v>4102</v>
      </c>
      <c r="L735" s="4" t="n">
        <v>72</v>
      </c>
      <c r="M735" s="4" t="s">
        <v>43</v>
      </c>
      <c r="N735" s="5" t="n">
        <v>72</v>
      </c>
      <c r="O735" s="6" t="n">
        <v>83</v>
      </c>
      <c r="P735" s="6" t="s">
        <v>42</v>
      </c>
      <c r="Q735" s="7" t="n">
        <v>83</v>
      </c>
      <c r="R735" s="8" t="n">
        <v>100</v>
      </c>
      <c r="S735" s="8" t="s">
        <v>54</v>
      </c>
      <c r="T735" s="9" t="n">
        <v>100</v>
      </c>
      <c r="U735" s="10" t="n">
        <v>88</v>
      </c>
      <c r="V735" s="10" t="s">
        <v>42</v>
      </c>
      <c r="W735" s="11" t="n">
        <v>88</v>
      </c>
      <c r="X735" s="12" t="n">
        <v>78</v>
      </c>
      <c r="Y735" s="12" t="s">
        <v>43</v>
      </c>
      <c r="Z735" s="13" t="n">
        <v>78</v>
      </c>
      <c r="AA735" s="14" t="n">
        <v>65</v>
      </c>
      <c r="AB735" s="14" t="s">
        <v>44</v>
      </c>
      <c r="AC735" s="15" t="n">
        <v>65</v>
      </c>
      <c r="AD735" s="2" t="n">
        <f aca="false">SUM(L735,O735,R735,U735,X735,AA735)</f>
        <v>486</v>
      </c>
      <c r="AE735" s="16" t="n">
        <f aca="false">AD735/6</f>
        <v>81</v>
      </c>
      <c r="AF735" s="2" t="str">
        <f aca="false">IF(SUM(COUNTIF(M735,"RA"),COUNTIF(P735,"RA"),COUNTIF(S735,"RA"),COUNTIF(V735,"RA"),COUNTIF(Y735,"RA"),COUNTIF(AB735,"RA"))&gt;0,"FAIL","PASS")</f>
        <v>PASS</v>
      </c>
    </row>
    <row r="736" customFormat="false" ht="15" hidden="false" customHeight="false" outlineLevel="0" collapsed="false">
      <c r="A736" s="2" t="n">
        <v>735</v>
      </c>
      <c r="B736" s="3" t="s">
        <v>4103</v>
      </c>
      <c r="C736" s="2" t="s">
        <v>783</v>
      </c>
      <c r="D736" s="2" t="s">
        <v>4104</v>
      </c>
      <c r="E736" s="2" t="s">
        <v>57</v>
      </c>
      <c r="F736" s="2" t="s">
        <v>36</v>
      </c>
      <c r="G736" s="2" t="s">
        <v>48</v>
      </c>
      <c r="H736" s="2" t="s">
        <v>72</v>
      </c>
      <c r="I736" s="3" t="s">
        <v>4105</v>
      </c>
      <c r="J736" s="2" t="s">
        <v>4106</v>
      </c>
      <c r="K736" s="2" t="s">
        <v>4107</v>
      </c>
      <c r="L736" s="4" t="n">
        <v>87</v>
      </c>
      <c r="M736" s="4" t="s">
        <v>42</v>
      </c>
      <c r="N736" s="5" t="n">
        <v>87</v>
      </c>
      <c r="O736" s="6" t="n">
        <v>64</v>
      </c>
      <c r="P736" s="6" t="s">
        <v>44</v>
      </c>
      <c r="Q736" s="7" t="n">
        <v>64</v>
      </c>
      <c r="R736" s="8" t="n">
        <v>72</v>
      </c>
      <c r="S736" s="8" t="s">
        <v>43</v>
      </c>
      <c r="T736" s="9" t="n">
        <v>72</v>
      </c>
      <c r="U736" s="10" t="n">
        <v>94</v>
      </c>
      <c r="V736" s="10" t="s">
        <v>54</v>
      </c>
      <c r="W736" s="11" t="n">
        <v>94</v>
      </c>
      <c r="X736" s="12" t="n">
        <v>81</v>
      </c>
      <c r="Y736" s="12" t="s">
        <v>42</v>
      </c>
      <c r="Z736" s="13" t="n">
        <v>81</v>
      </c>
      <c r="AA736" s="14" t="n">
        <v>40</v>
      </c>
      <c r="AB736" s="14" t="s">
        <v>45</v>
      </c>
      <c r="AC736" s="15" t="n">
        <v>40</v>
      </c>
      <c r="AD736" s="2" t="n">
        <f aca="false">SUM(L736,O736,R736,U736,X736,AA736)</f>
        <v>438</v>
      </c>
      <c r="AE736" s="16" t="n">
        <f aca="false">AD736/6</f>
        <v>73</v>
      </c>
      <c r="AF736" s="2" t="str">
        <f aca="false">IF(SUM(COUNTIF(M736,"RA"),COUNTIF(P736,"RA"),COUNTIF(S736,"RA"),COUNTIF(V736,"RA"),COUNTIF(Y736,"RA"),COUNTIF(AB736,"RA"))&gt;0,"FAIL","PASS")</f>
        <v>FAIL</v>
      </c>
    </row>
    <row r="737" customFormat="false" ht="15" hidden="false" customHeight="false" outlineLevel="0" collapsed="false">
      <c r="A737" s="2" t="n">
        <v>736</v>
      </c>
      <c r="B737" s="3" t="s">
        <v>4108</v>
      </c>
      <c r="C737" s="2" t="s">
        <v>757</v>
      </c>
      <c r="D737" s="2" t="s">
        <v>4109</v>
      </c>
      <c r="E737" s="2" t="s">
        <v>57</v>
      </c>
      <c r="F737" s="2" t="s">
        <v>36</v>
      </c>
      <c r="G737" s="2" t="s">
        <v>44</v>
      </c>
      <c r="H737" s="2" t="s">
        <v>3556</v>
      </c>
      <c r="I737" s="3" t="s">
        <v>4110</v>
      </c>
      <c r="J737" s="2" t="s">
        <v>4111</v>
      </c>
      <c r="K737" s="2" t="s">
        <v>4112</v>
      </c>
      <c r="L737" s="4" t="n">
        <v>42</v>
      </c>
      <c r="M737" s="4" t="s">
        <v>45</v>
      </c>
      <c r="N737" s="5" t="n">
        <v>42</v>
      </c>
      <c r="O737" s="6" t="n">
        <v>75</v>
      </c>
      <c r="P737" s="6" t="s">
        <v>43</v>
      </c>
      <c r="Q737" s="7" t="n">
        <v>75</v>
      </c>
      <c r="R737" s="8" t="n">
        <v>76</v>
      </c>
      <c r="S737" s="8" t="s">
        <v>43</v>
      </c>
      <c r="T737" s="9" t="n">
        <v>76</v>
      </c>
      <c r="U737" s="10" t="n">
        <v>65</v>
      </c>
      <c r="V737" s="10" t="s">
        <v>44</v>
      </c>
      <c r="W737" s="11" t="n">
        <v>65</v>
      </c>
      <c r="X737" s="12" t="n">
        <v>64</v>
      </c>
      <c r="Y737" s="12" t="s">
        <v>44</v>
      </c>
      <c r="Z737" s="13" t="n">
        <v>64</v>
      </c>
      <c r="AA737" s="14" t="n">
        <v>43</v>
      </c>
      <c r="AB737" s="14" t="s">
        <v>45</v>
      </c>
      <c r="AC737" s="15" t="n">
        <v>43</v>
      </c>
      <c r="AD737" s="2" t="n">
        <f aca="false">SUM(L737,O737,R737,U737,X737,AA737)</f>
        <v>365</v>
      </c>
      <c r="AE737" s="16" t="n">
        <f aca="false">AD737/6</f>
        <v>60.8333333333333</v>
      </c>
      <c r="AF737" s="2" t="str">
        <f aca="false">IF(SUM(COUNTIF(M737,"RA"),COUNTIF(P737,"RA"),COUNTIF(S737,"RA"),COUNTIF(V737,"RA"),COUNTIF(Y737,"RA"),COUNTIF(AB737,"RA"))&gt;0,"FAIL","PASS")</f>
        <v>FAIL</v>
      </c>
    </row>
    <row r="738" customFormat="false" ht="15" hidden="false" customHeight="false" outlineLevel="0" collapsed="false">
      <c r="A738" s="2" t="n">
        <v>737</v>
      </c>
      <c r="B738" s="3" t="s">
        <v>4113</v>
      </c>
      <c r="C738" s="2" t="s">
        <v>816</v>
      </c>
      <c r="D738" s="2" t="s">
        <v>4114</v>
      </c>
      <c r="E738" s="2" t="s">
        <v>57</v>
      </c>
      <c r="F738" s="2" t="s">
        <v>36</v>
      </c>
      <c r="G738" s="2" t="s">
        <v>42</v>
      </c>
      <c r="H738" s="2" t="s">
        <v>4115</v>
      </c>
      <c r="I738" s="3" t="s">
        <v>4116</v>
      </c>
      <c r="J738" s="2" t="s">
        <v>4117</v>
      </c>
      <c r="K738" s="2" t="s">
        <v>4118</v>
      </c>
      <c r="L738" s="4" t="n">
        <v>89</v>
      </c>
      <c r="M738" s="4" t="s">
        <v>42</v>
      </c>
      <c r="N738" s="5" t="n">
        <v>89</v>
      </c>
      <c r="O738" s="6" t="n">
        <v>63</v>
      </c>
      <c r="P738" s="6" t="s">
        <v>44</v>
      </c>
      <c r="Q738" s="7" t="n">
        <v>63</v>
      </c>
      <c r="R738" s="8" t="n">
        <v>89</v>
      </c>
      <c r="S738" s="8" t="s">
        <v>42</v>
      </c>
      <c r="T738" s="9" t="n">
        <v>89</v>
      </c>
      <c r="U738" s="10" t="n">
        <v>90</v>
      </c>
      <c r="V738" s="10" t="s">
        <v>54</v>
      </c>
      <c r="W738" s="11" t="n">
        <v>90</v>
      </c>
      <c r="X738" s="12" t="n">
        <v>67</v>
      </c>
      <c r="Y738" s="12" t="s">
        <v>44</v>
      </c>
      <c r="Z738" s="13" t="n">
        <v>67</v>
      </c>
      <c r="AA738" s="14" t="n">
        <v>61</v>
      </c>
      <c r="AB738" s="14" t="s">
        <v>44</v>
      </c>
      <c r="AC738" s="15" t="n">
        <v>61</v>
      </c>
      <c r="AD738" s="2" t="n">
        <f aca="false">SUM(L738,O738,R738,U738,X738,AA738)</f>
        <v>459</v>
      </c>
      <c r="AE738" s="16" t="n">
        <f aca="false">AD738/6</f>
        <v>76.5</v>
      </c>
      <c r="AF738" s="2" t="str">
        <f aca="false">IF(SUM(COUNTIF(M738,"RA"),COUNTIF(P738,"RA"),COUNTIF(S738,"RA"),COUNTIF(V738,"RA"),COUNTIF(Y738,"RA"),COUNTIF(AB738,"RA"))&gt;0,"FAIL","PASS")</f>
        <v>PASS</v>
      </c>
    </row>
    <row r="739" customFormat="false" ht="15" hidden="false" customHeight="false" outlineLevel="0" collapsed="false">
      <c r="A739" s="2" t="n">
        <v>738</v>
      </c>
      <c r="B739" s="3" t="s">
        <v>4119</v>
      </c>
      <c r="C739" s="2" t="s">
        <v>790</v>
      </c>
      <c r="D739" s="2" t="s">
        <v>4120</v>
      </c>
      <c r="E739" s="2" t="s">
        <v>35</v>
      </c>
      <c r="F739" s="2" t="s">
        <v>36</v>
      </c>
      <c r="G739" s="2" t="s">
        <v>78</v>
      </c>
      <c r="H739" s="2" t="s">
        <v>3908</v>
      </c>
      <c r="I739" s="3" t="s">
        <v>4121</v>
      </c>
      <c r="J739" s="2" t="s">
        <v>4122</v>
      </c>
      <c r="K739" s="2" t="s">
        <v>4123</v>
      </c>
      <c r="L739" s="4" t="n">
        <v>42</v>
      </c>
      <c r="M739" s="4" t="s">
        <v>45</v>
      </c>
      <c r="N739" s="5" t="n">
        <v>42</v>
      </c>
      <c r="O739" s="6" t="n">
        <v>92</v>
      </c>
      <c r="P739" s="6" t="s">
        <v>54</v>
      </c>
      <c r="Q739" s="7" t="n">
        <v>92</v>
      </c>
      <c r="R739" s="8" t="n">
        <v>89</v>
      </c>
      <c r="S739" s="8" t="s">
        <v>42</v>
      </c>
      <c r="T739" s="9" t="n">
        <v>89</v>
      </c>
      <c r="U739" s="10" t="n">
        <v>73</v>
      </c>
      <c r="V739" s="10" t="s">
        <v>43</v>
      </c>
      <c r="W739" s="11" t="n">
        <v>73</v>
      </c>
      <c r="X739" s="12" t="n">
        <v>60</v>
      </c>
      <c r="Y739" s="12" t="s">
        <v>44</v>
      </c>
      <c r="Z739" s="13" t="n">
        <v>60</v>
      </c>
      <c r="AA739" s="14" t="n">
        <v>45</v>
      </c>
      <c r="AB739" s="14" t="s">
        <v>45</v>
      </c>
      <c r="AC739" s="15" t="n">
        <v>45</v>
      </c>
      <c r="AD739" s="2" t="n">
        <f aca="false">SUM(L739,O739,R739,U739,X739,AA739)</f>
        <v>401</v>
      </c>
      <c r="AE739" s="16" t="n">
        <f aca="false">AD739/6</f>
        <v>66.8333333333333</v>
      </c>
      <c r="AF739" s="2" t="str">
        <f aca="false">IF(SUM(COUNTIF(M739,"RA"),COUNTIF(P739,"RA"),COUNTIF(S739,"RA"),COUNTIF(V739,"RA"),COUNTIF(Y739,"RA"),COUNTIF(AB739,"RA"))&gt;0,"FAIL","PASS")</f>
        <v>FAIL</v>
      </c>
    </row>
    <row r="740" customFormat="false" ht="15" hidden="false" customHeight="false" outlineLevel="0" collapsed="false">
      <c r="A740" s="2" t="n">
        <v>739</v>
      </c>
      <c r="B740" s="3" t="s">
        <v>4124</v>
      </c>
      <c r="C740" s="2" t="s">
        <v>770</v>
      </c>
      <c r="D740" s="2" t="s">
        <v>4125</v>
      </c>
      <c r="E740" s="2" t="s">
        <v>57</v>
      </c>
      <c r="F740" s="2" t="s">
        <v>36</v>
      </c>
      <c r="G740" s="2" t="s">
        <v>48</v>
      </c>
      <c r="H740" s="2" t="s">
        <v>4126</v>
      </c>
      <c r="I740" s="3" t="s">
        <v>189</v>
      </c>
      <c r="J740" s="2" t="s">
        <v>4127</v>
      </c>
      <c r="K740" s="2" t="s">
        <v>4128</v>
      </c>
      <c r="L740" s="4" t="n">
        <v>55</v>
      </c>
      <c r="M740" s="4" t="s">
        <v>53</v>
      </c>
      <c r="N740" s="5" t="n">
        <v>55</v>
      </c>
      <c r="O740" s="6" t="n">
        <v>66</v>
      </c>
      <c r="P740" s="6" t="s">
        <v>44</v>
      </c>
      <c r="Q740" s="7" t="n">
        <v>66</v>
      </c>
      <c r="R740" s="8" t="n">
        <v>82</v>
      </c>
      <c r="S740" s="8" t="s">
        <v>42</v>
      </c>
      <c r="T740" s="9" t="n">
        <v>82</v>
      </c>
      <c r="U740" s="10" t="n">
        <v>80</v>
      </c>
      <c r="V740" s="10" t="s">
        <v>42</v>
      </c>
      <c r="W740" s="11" t="n">
        <v>80</v>
      </c>
      <c r="X740" s="12" t="n">
        <v>83</v>
      </c>
      <c r="Y740" s="12" t="s">
        <v>42</v>
      </c>
      <c r="Z740" s="13" t="n">
        <v>83</v>
      </c>
      <c r="AA740" s="14" t="n">
        <v>76</v>
      </c>
      <c r="AB740" s="14" t="s">
        <v>43</v>
      </c>
      <c r="AC740" s="15" t="n">
        <v>76</v>
      </c>
      <c r="AD740" s="2" t="n">
        <f aca="false">SUM(L740,O740,R740,U740,X740,AA740)</f>
        <v>442</v>
      </c>
      <c r="AE740" s="16" t="n">
        <f aca="false">AD740/6</f>
        <v>73.6666666666667</v>
      </c>
      <c r="AF740" s="2" t="str">
        <f aca="false">IF(SUM(COUNTIF(M740,"RA"),COUNTIF(P740,"RA"),COUNTIF(S740,"RA"),COUNTIF(V740,"RA"),COUNTIF(Y740,"RA"),COUNTIF(AB740,"RA"))&gt;0,"FAIL","PASS")</f>
        <v>PASS</v>
      </c>
    </row>
    <row r="741" customFormat="false" ht="15" hidden="false" customHeight="false" outlineLevel="0" collapsed="false">
      <c r="A741" s="2" t="n">
        <v>740</v>
      </c>
      <c r="B741" s="3" t="s">
        <v>4129</v>
      </c>
      <c r="C741" s="2" t="s">
        <v>770</v>
      </c>
      <c r="D741" s="2" t="s">
        <v>4130</v>
      </c>
      <c r="E741" s="2" t="s">
        <v>57</v>
      </c>
      <c r="F741" s="2" t="s">
        <v>36</v>
      </c>
      <c r="G741" s="2" t="s">
        <v>71</v>
      </c>
      <c r="H741" s="2" t="s">
        <v>4131</v>
      </c>
      <c r="I741" s="3" t="s">
        <v>4132</v>
      </c>
      <c r="J741" s="2" t="s">
        <v>4133</v>
      </c>
      <c r="K741" s="2" t="s">
        <v>4134</v>
      </c>
      <c r="L741" s="4" t="n">
        <v>44</v>
      </c>
      <c r="M741" s="4" t="s">
        <v>45</v>
      </c>
      <c r="N741" s="5" t="n">
        <v>44</v>
      </c>
      <c r="O741" s="6" t="n">
        <v>71</v>
      </c>
      <c r="P741" s="6" t="s">
        <v>43</v>
      </c>
      <c r="Q741" s="7" t="n">
        <v>71</v>
      </c>
      <c r="R741" s="8" t="n">
        <v>99</v>
      </c>
      <c r="S741" s="8" t="s">
        <v>54</v>
      </c>
      <c r="T741" s="9" t="n">
        <v>99</v>
      </c>
      <c r="U741" s="10" t="n">
        <v>66</v>
      </c>
      <c r="V741" s="10" t="s">
        <v>44</v>
      </c>
      <c r="W741" s="11" t="n">
        <v>66</v>
      </c>
      <c r="X741" s="12" t="n">
        <v>77</v>
      </c>
      <c r="Y741" s="12" t="s">
        <v>43</v>
      </c>
      <c r="Z741" s="13" t="n">
        <v>77</v>
      </c>
      <c r="AA741" s="14" t="n">
        <v>100</v>
      </c>
      <c r="AB741" s="14" t="s">
        <v>54</v>
      </c>
      <c r="AC741" s="15" t="n">
        <v>100</v>
      </c>
      <c r="AD741" s="2" t="n">
        <f aca="false">SUM(L741,O741,R741,U741,X741,AA741)</f>
        <v>457</v>
      </c>
      <c r="AE741" s="16" t="n">
        <f aca="false">AD741/6</f>
        <v>76.1666666666667</v>
      </c>
      <c r="AF741" s="2" t="str">
        <f aca="false">IF(SUM(COUNTIF(M741,"RA"),COUNTIF(P741,"RA"),COUNTIF(S741,"RA"),COUNTIF(V741,"RA"),COUNTIF(Y741,"RA"),COUNTIF(AB741,"RA"))&gt;0,"FAIL","PASS")</f>
        <v>FAIL</v>
      </c>
    </row>
    <row r="742" customFormat="false" ht="15" hidden="false" customHeight="false" outlineLevel="0" collapsed="false">
      <c r="A742" s="2" t="n">
        <v>741</v>
      </c>
      <c r="B742" s="3" t="s">
        <v>4135</v>
      </c>
      <c r="C742" s="2" t="s">
        <v>750</v>
      </c>
      <c r="D742" s="2" t="s">
        <v>4136</v>
      </c>
      <c r="E742" s="2" t="s">
        <v>35</v>
      </c>
      <c r="F742" s="2" t="s">
        <v>36</v>
      </c>
      <c r="G742" s="2" t="s">
        <v>71</v>
      </c>
      <c r="H742" s="2" t="s">
        <v>4137</v>
      </c>
      <c r="I742" s="3" t="s">
        <v>3167</v>
      </c>
      <c r="J742" s="2" t="s">
        <v>4138</v>
      </c>
      <c r="K742" s="2" t="s">
        <v>4139</v>
      </c>
      <c r="L742" s="4" t="n">
        <v>65</v>
      </c>
      <c r="M742" s="4" t="s">
        <v>44</v>
      </c>
      <c r="N742" s="5" t="n">
        <v>65</v>
      </c>
      <c r="O742" s="6" t="n">
        <v>68</v>
      </c>
      <c r="P742" s="6" t="s">
        <v>44</v>
      </c>
      <c r="Q742" s="7" t="n">
        <v>68</v>
      </c>
      <c r="R742" s="8" t="n">
        <v>100</v>
      </c>
      <c r="S742" s="8" t="s">
        <v>54</v>
      </c>
      <c r="T742" s="9" t="n">
        <v>100</v>
      </c>
      <c r="U742" s="10" t="n">
        <v>88</v>
      </c>
      <c r="V742" s="10" t="s">
        <v>42</v>
      </c>
      <c r="W742" s="11" t="n">
        <v>88</v>
      </c>
      <c r="X742" s="12" t="n">
        <v>45</v>
      </c>
      <c r="Y742" s="12" t="s">
        <v>45</v>
      </c>
      <c r="Z742" s="13" t="n">
        <v>45</v>
      </c>
      <c r="AA742" s="14" t="n">
        <v>80</v>
      </c>
      <c r="AB742" s="14" t="s">
        <v>42</v>
      </c>
      <c r="AC742" s="15" t="n">
        <v>80</v>
      </c>
      <c r="AD742" s="2" t="n">
        <f aca="false">SUM(L742,O742,R742,U742,X742,AA742)</f>
        <v>446</v>
      </c>
      <c r="AE742" s="16" t="n">
        <f aca="false">AD742/6</f>
        <v>74.3333333333333</v>
      </c>
      <c r="AF742" s="2" t="str">
        <f aca="false">IF(SUM(COUNTIF(M742,"RA"),COUNTIF(P742,"RA"),COUNTIF(S742,"RA"),COUNTIF(V742,"RA"),COUNTIF(Y742,"RA"),COUNTIF(AB742,"RA"))&gt;0,"FAIL","PASS")</f>
        <v>FAIL</v>
      </c>
    </row>
    <row r="743" customFormat="false" ht="15" hidden="false" customHeight="false" outlineLevel="0" collapsed="false">
      <c r="A743" s="2" t="n">
        <v>742</v>
      </c>
      <c r="B743" s="3" t="s">
        <v>4140</v>
      </c>
      <c r="C743" s="2" t="s">
        <v>790</v>
      </c>
      <c r="D743" s="2" t="s">
        <v>4141</v>
      </c>
      <c r="E743" s="2" t="s">
        <v>35</v>
      </c>
      <c r="F743" s="2" t="s">
        <v>36</v>
      </c>
      <c r="G743" s="2" t="s">
        <v>44</v>
      </c>
      <c r="H743" s="2" t="s">
        <v>4142</v>
      </c>
      <c r="I743" s="3" t="s">
        <v>4143</v>
      </c>
      <c r="J743" s="2" t="s">
        <v>4144</v>
      </c>
      <c r="K743" s="2" t="s">
        <v>4145</v>
      </c>
      <c r="L743" s="4" t="n">
        <v>40</v>
      </c>
      <c r="M743" s="4" t="s">
        <v>45</v>
      </c>
      <c r="N743" s="5" t="n">
        <v>40</v>
      </c>
      <c r="O743" s="6" t="n">
        <v>95</v>
      </c>
      <c r="P743" s="6" t="s">
        <v>54</v>
      </c>
      <c r="Q743" s="7" t="n">
        <v>95</v>
      </c>
      <c r="R743" s="8" t="n">
        <v>98</v>
      </c>
      <c r="S743" s="8" t="s">
        <v>54</v>
      </c>
      <c r="T743" s="9" t="n">
        <v>98</v>
      </c>
      <c r="U743" s="10" t="n">
        <v>68</v>
      </c>
      <c r="V743" s="10" t="s">
        <v>44</v>
      </c>
      <c r="W743" s="11" t="n">
        <v>68</v>
      </c>
      <c r="X743" s="12" t="n">
        <v>53</v>
      </c>
      <c r="Y743" s="12" t="s">
        <v>53</v>
      </c>
      <c r="Z743" s="13" t="n">
        <v>53</v>
      </c>
      <c r="AA743" s="14" t="n">
        <v>65</v>
      </c>
      <c r="AB743" s="14" t="s">
        <v>44</v>
      </c>
      <c r="AC743" s="15" t="n">
        <v>65</v>
      </c>
      <c r="AD743" s="2" t="n">
        <f aca="false">SUM(L743,O743,R743,U743,X743,AA743)</f>
        <v>419</v>
      </c>
      <c r="AE743" s="16" t="n">
        <f aca="false">AD743/6</f>
        <v>69.8333333333333</v>
      </c>
      <c r="AF743" s="2" t="str">
        <f aca="false">IF(SUM(COUNTIF(M743,"RA"),COUNTIF(P743,"RA"),COUNTIF(S743,"RA"),COUNTIF(V743,"RA"),COUNTIF(Y743,"RA"),COUNTIF(AB743,"RA"))&gt;0,"FAIL","PASS")</f>
        <v>FAIL</v>
      </c>
    </row>
    <row r="744" customFormat="false" ht="15" hidden="false" customHeight="false" outlineLevel="0" collapsed="false">
      <c r="A744" s="2" t="n">
        <v>743</v>
      </c>
      <c r="B744" s="3" t="s">
        <v>4146</v>
      </c>
      <c r="C744" s="2" t="s">
        <v>859</v>
      </c>
      <c r="D744" s="2" t="s">
        <v>4147</v>
      </c>
      <c r="E744" s="2" t="s">
        <v>57</v>
      </c>
      <c r="F744" s="2" t="s">
        <v>36</v>
      </c>
      <c r="G744" s="2" t="s">
        <v>44</v>
      </c>
      <c r="H744" s="2" t="s">
        <v>1334</v>
      </c>
      <c r="I744" s="3" t="s">
        <v>4148</v>
      </c>
      <c r="J744" s="2" t="s">
        <v>4149</v>
      </c>
      <c r="K744" s="2" t="s">
        <v>4150</v>
      </c>
      <c r="L744" s="4" t="n">
        <v>79</v>
      </c>
      <c r="M744" s="4" t="s">
        <v>43</v>
      </c>
      <c r="N744" s="5" t="n">
        <v>79</v>
      </c>
      <c r="O744" s="6" t="n">
        <v>70</v>
      </c>
      <c r="P744" s="6" t="s">
        <v>43</v>
      </c>
      <c r="Q744" s="7" t="n">
        <v>70</v>
      </c>
      <c r="R744" s="8" t="n">
        <v>61</v>
      </c>
      <c r="S744" s="8" t="s">
        <v>44</v>
      </c>
      <c r="T744" s="9" t="n">
        <v>61</v>
      </c>
      <c r="U744" s="10" t="n">
        <v>68</v>
      </c>
      <c r="V744" s="10" t="s">
        <v>44</v>
      </c>
      <c r="W744" s="11" t="n">
        <v>68</v>
      </c>
      <c r="X744" s="12" t="n">
        <v>67</v>
      </c>
      <c r="Y744" s="12" t="s">
        <v>44</v>
      </c>
      <c r="Z744" s="13" t="n">
        <v>67</v>
      </c>
      <c r="AA744" s="14" t="n">
        <v>62</v>
      </c>
      <c r="AB744" s="14" t="s">
        <v>44</v>
      </c>
      <c r="AC744" s="15" t="n">
        <v>62</v>
      </c>
      <c r="AD744" s="2" t="n">
        <f aca="false">SUM(L744,O744,R744,U744,X744,AA744)</f>
        <v>407</v>
      </c>
      <c r="AE744" s="16" t="n">
        <f aca="false">AD744/6</f>
        <v>67.8333333333333</v>
      </c>
      <c r="AF744" s="2" t="str">
        <f aca="false">IF(SUM(COUNTIF(M744,"RA"),COUNTIF(P744,"RA"),COUNTIF(S744,"RA"),COUNTIF(V744,"RA"),COUNTIF(Y744,"RA"),COUNTIF(AB744,"RA"))&gt;0,"FAIL","PASS")</f>
        <v>PASS</v>
      </c>
    </row>
    <row r="745" customFormat="false" ht="15" hidden="false" customHeight="false" outlineLevel="0" collapsed="false">
      <c r="A745" s="2" t="n">
        <v>744</v>
      </c>
      <c r="B745" s="3" t="s">
        <v>4151</v>
      </c>
      <c r="C745" s="2" t="s">
        <v>750</v>
      </c>
      <c r="D745" s="2" t="s">
        <v>4152</v>
      </c>
      <c r="E745" s="2" t="s">
        <v>57</v>
      </c>
      <c r="F745" s="2" t="s">
        <v>36</v>
      </c>
      <c r="G745" s="2" t="s">
        <v>42</v>
      </c>
      <c r="H745" s="2" t="s">
        <v>4153</v>
      </c>
      <c r="I745" s="3" t="s">
        <v>4154</v>
      </c>
      <c r="J745" s="2" t="s">
        <v>4155</v>
      </c>
      <c r="K745" s="2" t="s">
        <v>4156</v>
      </c>
      <c r="L745" s="4" t="n">
        <v>85</v>
      </c>
      <c r="M745" s="4" t="s">
        <v>42</v>
      </c>
      <c r="N745" s="5" t="n">
        <v>85</v>
      </c>
      <c r="O745" s="6" t="n">
        <v>56</v>
      </c>
      <c r="P745" s="6" t="s">
        <v>53</v>
      </c>
      <c r="Q745" s="7" t="n">
        <v>56</v>
      </c>
      <c r="R745" s="8" t="n">
        <v>82</v>
      </c>
      <c r="S745" s="8" t="s">
        <v>42</v>
      </c>
      <c r="T745" s="9" t="n">
        <v>82</v>
      </c>
      <c r="U745" s="10" t="n">
        <v>71</v>
      </c>
      <c r="V745" s="10" t="s">
        <v>43</v>
      </c>
      <c r="W745" s="11" t="n">
        <v>71</v>
      </c>
      <c r="X745" s="12" t="n">
        <v>78</v>
      </c>
      <c r="Y745" s="12" t="s">
        <v>43</v>
      </c>
      <c r="Z745" s="13" t="n">
        <v>78</v>
      </c>
      <c r="AA745" s="14" t="n">
        <v>43</v>
      </c>
      <c r="AB745" s="14" t="s">
        <v>45</v>
      </c>
      <c r="AC745" s="15" t="n">
        <v>43</v>
      </c>
      <c r="AD745" s="2" t="n">
        <f aca="false">SUM(L745,O745,R745,U745,X745,AA745)</f>
        <v>415</v>
      </c>
      <c r="AE745" s="16" t="n">
        <f aca="false">AD745/6</f>
        <v>69.1666666666667</v>
      </c>
      <c r="AF745" s="2" t="str">
        <f aca="false">IF(SUM(COUNTIF(M745,"RA"),COUNTIF(P745,"RA"),COUNTIF(S745,"RA"),COUNTIF(V745,"RA"),COUNTIF(Y745,"RA"),COUNTIF(AB745,"RA"))&gt;0,"FAIL","PASS")</f>
        <v>FAIL</v>
      </c>
    </row>
    <row r="746" customFormat="false" ht="15" hidden="false" customHeight="false" outlineLevel="0" collapsed="false">
      <c r="A746" s="2" t="n">
        <v>745</v>
      </c>
      <c r="B746" s="3" t="s">
        <v>4157</v>
      </c>
      <c r="C746" s="2" t="s">
        <v>912</v>
      </c>
      <c r="D746" s="2" t="s">
        <v>4158</v>
      </c>
      <c r="E746" s="2" t="s">
        <v>35</v>
      </c>
      <c r="F746" s="2" t="s">
        <v>36</v>
      </c>
      <c r="G746" s="2" t="s">
        <v>71</v>
      </c>
      <c r="H746" s="2" t="s">
        <v>578</v>
      </c>
      <c r="I746" s="3" t="s">
        <v>4159</v>
      </c>
      <c r="J746" s="2" t="s">
        <v>4160</v>
      </c>
      <c r="K746" s="2" t="s">
        <v>4161</v>
      </c>
      <c r="L746" s="4" t="n">
        <v>99</v>
      </c>
      <c r="M746" s="4" t="s">
        <v>54</v>
      </c>
      <c r="N746" s="5" t="n">
        <v>99</v>
      </c>
      <c r="O746" s="6" t="n">
        <v>97</v>
      </c>
      <c r="P746" s="6" t="s">
        <v>54</v>
      </c>
      <c r="Q746" s="7" t="n">
        <v>97</v>
      </c>
      <c r="R746" s="8" t="n">
        <v>64</v>
      </c>
      <c r="S746" s="8" t="s">
        <v>44</v>
      </c>
      <c r="T746" s="9" t="n">
        <v>64</v>
      </c>
      <c r="U746" s="10" t="n">
        <v>70</v>
      </c>
      <c r="V746" s="10" t="s">
        <v>43</v>
      </c>
      <c r="W746" s="11" t="n">
        <v>70</v>
      </c>
      <c r="X746" s="12" t="n">
        <v>83</v>
      </c>
      <c r="Y746" s="12" t="s">
        <v>42</v>
      </c>
      <c r="Z746" s="13" t="n">
        <v>83</v>
      </c>
      <c r="AA746" s="14" t="n">
        <v>78</v>
      </c>
      <c r="AB746" s="14" t="s">
        <v>43</v>
      </c>
      <c r="AC746" s="15" t="n">
        <v>78</v>
      </c>
      <c r="AD746" s="2" t="n">
        <f aca="false">SUM(L746,O746,R746,U746,X746,AA746)</f>
        <v>491</v>
      </c>
      <c r="AE746" s="16" t="n">
        <f aca="false">AD746/6</f>
        <v>81.8333333333333</v>
      </c>
      <c r="AF746" s="2" t="str">
        <f aca="false">IF(SUM(COUNTIF(M746,"RA"),COUNTIF(P746,"RA"),COUNTIF(S746,"RA"),COUNTIF(V746,"RA"),COUNTIF(Y746,"RA"),COUNTIF(AB746,"RA"))&gt;0,"FAIL","PASS")</f>
        <v>PASS</v>
      </c>
    </row>
    <row r="747" customFormat="false" ht="15" hidden="false" customHeight="false" outlineLevel="0" collapsed="false">
      <c r="A747" s="2" t="n">
        <v>746</v>
      </c>
      <c r="B747" s="3" t="s">
        <v>4162</v>
      </c>
      <c r="C747" s="2" t="s">
        <v>912</v>
      </c>
      <c r="D747" s="2" t="s">
        <v>4163</v>
      </c>
      <c r="E747" s="2" t="s">
        <v>35</v>
      </c>
      <c r="F747" s="2" t="s">
        <v>36</v>
      </c>
      <c r="G747" s="2" t="s">
        <v>71</v>
      </c>
      <c r="H747" s="2" t="s">
        <v>4164</v>
      </c>
      <c r="I747" s="3" t="s">
        <v>4165</v>
      </c>
      <c r="J747" s="2" t="s">
        <v>4166</v>
      </c>
      <c r="K747" s="2" t="s">
        <v>4167</v>
      </c>
      <c r="L747" s="4" t="n">
        <v>76</v>
      </c>
      <c r="M747" s="4" t="s">
        <v>43</v>
      </c>
      <c r="N747" s="5" t="n">
        <v>76</v>
      </c>
      <c r="O747" s="6" t="n">
        <v>81</v>
      </c>
      <c r="P747" s="6" t="s">
        <v>42</v>
      </c>
      <c r="Q747" s="7" t="n">
        <v>81</v>
      </c>
      <c r="R747" s="8" t="n">
        <v>53</v>
      </c>
      <c r="S747" s="8" t="s">
        <v>53</v>
      </c>
      <c r="T747" s="9" t="n">
        <v>53</v>
      </c>
      <c r="U747" s="10" t="n">
        <v>98</v>
      </c>
      <c r="V747" s="10" t="s">
        <v>54</v>
      </c>
      <c r="W747" s="11" t="n">
        <v>98</v>
      </c>
      <c r="X747" s="12" t="n">
        <v>73</v>
      </c>
      <c r="Y747" s="12" t="s">
        <v>43</v>
      </c>
      <c r="Z747" s="13" t="n">
        <v>73</v>
      </c>
      <c r="AA747" s="14" t="n">
        <v>84</v>
      </c>
      <c r="AB747" s="14" t="s">
        <v>42</v>
      </c>
      <c r="AC747" s="15" t="n">
        <v>84</v>
      </c>
      <c r="AD747" s="2" t="n">
        <f aca="false">SUM(L747,O747,R747,U747,X747,AA747)</f>
        <v>465</v>
      </c>
      <c r="AE747" s="16" t="n">
        <f aca="false">AD747/6</f>
        <v>77.5</v>
      </c>
      <c r="AF747" s="2" t="str">
        <f aca="false">IF(SUM(COUNTIF(M747,"RA"),COUNTIF(P747,"RA"),COUNTIF(S747,"RA"),COUNTIF(V747,"RA"),COUNTIF(Y747,"RA"),COUNTIF(AB747,"RA"))&gt;0,"FAIL","PASS")</f>
        <v>PASS</v>
      </c>
    </row>
    <row r="748" customFormat="false" ht="15" hidden="false" customHeight="false" outlineLevel="0" collapsed="false">
      <c r="A748" s="2" t="n">
        <v>747</v>
      </c>
      <c r="B748" s="3" t="s">
        <v>4168</v>
      </c>
      <c r="C748" s="2" t="s">
        <v>859</v>
      </c>
      <c r="D748" s="2" t="s">
        <v>4169</v>
      </c>
      <c r="E748" s="2" t="s">
        <v>35</v>
      </c>
      <c r="F748" s="2" t="s">
        <v>36</v>
      </c>
      <c r="G748" s="2" t="s">
        <v>48</v>
      </c>
      <c r="H748" s="2" t="s">
        <v>4170</v>
      </c>
      <c r="I748" s="3" t="s">
        <v>2106</v>
      </c>
      <c r="J748" s="2" t="s">
        <v>4171</v>
      </c>
      <c r="K748" s="2" t="s">
        <v>4172</v>
      </c>
      <c r="L748" s="4" t="n">
        <v>69</v>
      </c>
      <c r="M748" s="4" t="s">
        <v>44</v>
      </c>
      <c r="N748" s="5" t="n">
        <v>69</v>
      </c>
      <c r="O748" s="6" t="n">
        <v>72</v>
      </c>
      <c r="P748" s="6" t="s">
        <v>43</v>
      </c>
      <c r="Q748" s="7" t="n">
        <v>72</v>
      </c>
      <c r="R748" s="8" t="n">
        <v>83</v>
      </c>
      <c r="S748" s="8" t="s">
        <v>42</v>
      </c>
      <c r="T748" s="9" t="n">
        <v>83</v>
      </c>
      <c r="U748" s="10" t="n">
        <v>77</v>
      </c>
      <c r="V748" s="10" t="s">
        <v>43</v>
      </c>
      <c r="W748" s="11" t="n">
        <v>77</v>
      </c>
      <c r="X748" s="12" t="n">
        <v>77</v>
      </c>
      <c r="Y748" s="12" t="s">
        <v>43</v>
      </c>
      <c r="Z748" s="13" t="n">
        <v>77</v>
      </c>
      <c r="AA748" s="14" t="n">
        <v>65</v>
      </c>
      <c r="AB748" s="14" t="s">
        <v>44</v>
      </c>
      <c r="AC748" s="15" t="n">
        <v>65</v>
      </c>
      <c r="AD748" s="2" t="n">
        <f aca="false">SUM(L748,O748,R748,U748,X748,AA748)</f>
        <v>443</v>
      </c>
      <c r="AE748" s="16" t="n">
        <f aca="false">AD748/6</f>
        <v>73.8333333333333</v>
      </c>
      <c r="AF748" s="2" t="str">
        <f aca="false">IF(SUM(COUNTIF(M748,"RA"),COUNTIF(P748,"RA"),COUNTIF(S748,"RA"),COUNTIF(V748,"RA"),COUNTIF(Y748,"RA"),COUNTIF(AB748,"RA"))&gt;0,"FAIL","PASS")</f>
        <v>PASS</v>
      </c>
    </row>
    <row r="749" customFormat="false" ht="15" hidden="false" customHeight="false" outlineLevel="0" collapsed="false">
      <c r="A749" s="2" t="n">
        <v>748</v>
      </c>
      <c r="B749" s="3" t="s">
        <v>4173</v>
      </c>
      <c r="C749" s="2" t="s">
        <v>750</v>
      </c>
      <c r="D749" s="2" t="s">
        <v>4174</v>
      </c>
      <c r="E749" s="2" t="s">
        <v>35</v>
      </c>
      <c r="F749" s="2" t="s">
        <v>36</v>
      </c>
      <c r="G749" s="2" t="s">
        <v>48</v>
      </c>
      <c r="H749" s="2" t="s">
        <v>254</v>
      </c>
      <c r="I749" s="3" t="s">
        <v>4175</v>
      </c>
      <c r="J749" s="2" t="s">
        <v>4176</v>
      </c>
      <c r="K749" s="2" t="s">
        <v>4177</v>
      </c>
      <c r="L749" s="4" t="n">
        <v>66</v>
      </c>
      <c r="M749" s="4" t="s">
        <v>44</v>
      </c>
      <c r="N749" s="5" t="n">
        <v>66</v>
      </c>
      <c r="O749" s="6" t="n">
        <v>58</v>
      </c>
      <c r="P749" s="6" t="s">
        <v>53</v>
      </c>
      <c r="Q749" s="7" t="n">
        <v>58</v>
      </c>
      <c r="R749" s="8" t="n">
        <v>67</v>
      </c>
      <c r="S749" s="8" t="s">
        <v>44</v>
      </c>
      <c r="T749" s="9" t="n">
        <v>67</v>
      </c>
      <c r="U749" s="10" t="n">
        <v>62</v>
      </c>
      <c r="V749" s="10" t="s">
        <v>44</v>
      </c>
      <c r="W749" s="11" t="n">
        <v>62</v>
      </c>
      <c r="X749" s="12" t="n">
        <v>97</v>
      </c>
      <c r="Y749" s="12" t="s">
        <v>54</v>
      </c>
      <c r="Z749" s="13" t="n">
        <v>97</v>
      </c>
      <c r="AA749" s="14" t="n">
        <v>60</v>
      </c>
      <c r="AB749" s="14" t="s">
        <v>44</v>
      </c>
      <c r="AC749" s="15" t="n">
        <v>60</v>
      </c>
      <c r="AD749" s="2" t="n">
        <f aca="false">SUM(L749,O749,R749,U749,X749,AA749)</f>
        <v>410</v>
      </c>
      <c r="AE749" s="16" t="n">
        <f aca="false">AD749/6</f>
        <v>68.3333333333333</v>
      </c>
      <c r="AF749" s="2" t="str">
        <f aca="false">IF(SUM(COUNTIF(M749,"RA"),COUNTIF(P749,"RA"),COUNTIF(S749,"RA"),COUNTIF(V749,"RA"),COUNTIF(Y749,"RA"),COUNTIF(AB749,"RA"))&gt;0,"FAIL","PASS")</f>
        <v>PASS</v>
      </c>
    </row>
    <row r="750" customFormat="false" ht="15" hidden="false" customHeight="false" outlineLevel="0" collapsed="false">
      <c r="A750" s="2" t="n">
        <v>749</v>
      </c>
      <c r="B750" s="3" t="s">
        <v>4178</v>
      </c>
      <c r="C750" s="2" t="s">
        <v>790</v>
      </c>
      <c r="D750" s="2" t="s">
        <v>4179</v>
      </c>
      <c r="E750" s="2" t="s">
        <v>57</v>
      </c>
      <c r="F750" s="2" t="s">
        <v>36</v>
      </c>
      <c r="G750" s="2" t="s">
        <v>71</v>
      </c>
      <c r="H750" s="2" t="s">
        <v>4180</v>
      </c>
      <c r="I750" s="3" t="s">
        <v>1119</v>
      </c>
      <c r="J750" s="2" t="s">
        <v>4181</v>
      </c>
      <c r="K750" s="2" t="s">
        <v>4182</v>
      </c>
      <c r="L750" s="4" t="n">
        <v>61</v>
      </c>
      <c r="M750" s="4" t="s">
        <v>44</v>
      </c>
      <c r="N750" s="5" t="n">
        <v>61</v>
      </c>
      <c r="O750" s="6" t="n">
        <v>57</v>
      </c>
      <c r="P750" s="6" t="s">
        <v>53</v>
      </c>
      <c r="Q750" s="7" t="n">
        <v>57</v>
      </c>
      <c r="R750" s="8" t="n">
        <v>48</v>
      </c>
      <c r="S750" s="8" t="s">
        <v>45</v>
      </c>
      <c r="T750" s="9" t="n">
        <v>48</v>
      </c>
      <c r="U750" s="10" t="n">
        <v>84</v>
      </c>
      <c r="V750" s="10" t="s">
        <v>42</v>
      </c>
      <c r="W750" s="11" t="n">
        <v>84</v>
      </c>
      <c r="X750" s="12" t="n">
        <v>86</v>
      </c>
      <c r="Y750" s="12" t="s">
        <v>42</v>
      </c>
      <c r="Z750" s="13" t="n">
        <v>86</v>
      </c>
      <c r="AA750" s="14" t="n">
        <v>48</v>
      </c>
      <c r="AB750" s="14" t="s">
        <v>45</v>
      </c>
      <c r="AC750" s="15" t="n">
        <v>48</v>
      </c>
      <c r="AD750" s="2" t="n">
        <f aca="false">SUM(L750,O750,R750,U750,X750,AA750)</f>
        <v>384</v>
      </c>
      <c r="AE750" s="16" t="n">
        <f aca="false">AD750/6</f>
        <v>64</v>
      </c>
      <c r="AF750" s="2" t="str">
        <f aca="false">IF(SUM(COUNTIF(M750,"RA"),COUNTIF(P750,"RA"),COUNTIF(S750,"RA"),COUNTIF(V750,"RA"),COUNTIF(Y750,"RA"),COUNTIF(AB750,"RA"))&gt;0,"FAIL","PASS")</f>
        <v>FAIL</v>
      </c>
    </row>
    <row r="751" customFormat="false" ht="15" hidden="false" customHeight="false" outlineLevel="0" collapsed="false">
      <c r="A751" s="2" t="n">
        <v>750</v>
      </c>
      <c r="B751" s="3" t="s">
        <v>4183</v>
      </c>
      <c r="C751" s="2" t="s">
        <v>790</v>
      </c>
      <c r="D751" s="2" t="s">
        <v>4184</v>
      </c>
      <c r="E751" s="2" t="s">
        <v>57</v>
      </c>
      <c r="F751" s="2" t="s">
        <v>36</v>
      </c>
      <c r="G751" s="2" t="s">
        <v>42</v>
      </c>
      <c r="H751" s="2" t="s">
        <v>4185</v>
      </c>
      <c r="I751" s="3" t="s">
        <v>2118</v>
      </c>
      <c r="J751" s="2" t="s">
        <v>4186</v>
      </c>
      <c r="K751" s="2" t="s">
        <v>4187</v>
      </c>
      <c r="L751" s="4" t="n">
        <v>51</v>
      </c>
      <c r="M751" s="4" t="s">
        <v>53</v>
      </c>
      <c r="N751" s="5" t="n">
        <v>51</v>
      </c>
      <c r="O751" s="6" t="n">
        <v>73</v>
      </c>
      <c r="P751" s="6" t="s">
        <v>43</v>
      </c>
      <c r="Q751" s="7" t="n">
        <v>73</v>
      </c>
      <c r="R751" s="8" t="n">
        <v>91</v>
      </c>
      <c r="S751" s="8" t="s">
        <v>54</v>
      </c>
      <c r="T751" s="9" t="n">
        <v>91</v>
      </c>
      <c r="U751" s="10" t="n">
        <v>63</v>
      </c>
      <c r="V751" s="10" t="s">
        <v>44</v>
      </c>
      <c r="W751" s="11" t="n">
        <v>63</v>
      </c>
      <c r="X751" s="12" t="n">
        <v>77</v>
      </c>
      <c r="Y751" s="12" t="s">
        <v>43</v>
      </c>
      <c r="Z751" s="13" t="n">
        <v>77</v>
      </c>
      <c r="AA751" s="14" t="n">
        <v>88</v>
      </c>
      <c r="AB751" s="14" t="s">
        <v>42</v>
      </c>
      <c r="AC751" s="15" t="n">
        <v>88</v>
      </c>
      <c r="AD751" s="2" t="n">
        <f aca="false">SUM(L751,O751,R751,U751,X751,AA751)</f>
        <v>443</v>
      </c>
      <c r="AE751" s="16" t="n">
        <f aca="false">AD751/6</f>
        <v>73.8333333333333</v>
      </c>
      <c r="AF751" s="2" t="str">
        <f aca="false">IF(SUM(COUNTIF(M751,"RA"),COUNTIF(P751,"RA"),COUNTIF(S751,"RA"),COUNTIF(V751,"RA"),COUNTIF(Y751,"RA"),COUNTIF(AB751,"RA"))&gt;0,"FAIL","PASS")</f>
        <v>PASS</v>
      </c>
    </row>
    <row r="752" customFormat="false" ht="15" hidden="false" customHeight="false" outlineLevel="0" collapsed="false">
      <c r="A752" s="2" t="n">
        <v>751</v>
      </c>
      <c r="B752" s="3" t="s">
        <v>4188</v>
      </c>
      <c r="C752" s="2" t="s">
        <v>757</v>
      </c>
      <c r="D752" s="2" t="s">
        <v>4189</v>
      </c>
      <c r="E752" s="2" t="s">
        <v>35</v>
      </c>
      <c r="F752" s="2" t="s">
        <v>36</v>
      </c>
      <c r="G752" s="2" t="s">
        <v>48</v>
      </c>
      <c r="H752" s="2" t="s">
        <v>901</v>
      </c>
      <c r="I752" s="3" t="s">
        <v>1306</v>
      </c>
      <c r="J752" s="2" t="s">
        <v>4190</v>
      </c>
      <c r="K752" s="2" t="s">
        <v>4191</v>
      </c>
      <c r="L752" s="4" t="n">
        <v>51</v>
      </c>
      <c r="M752" s="4" t="s">
        <v>53</v>
      </c>
      <c r="N752" s="5" t="n">
        <v>51</v>
      </c>
      <c r="O752" s="6" t="n">
        <v>94</v>
      </c>
      <c r="P752" s="6" t="s">
        <v>54</v>
      </c>
      <c r="Q752" s="7" t="n">
        <v>94</v>
      </c>
      <c r="R752" s="8" t="n">
        <v>99</v>
      </c>
      <c r="S752" s="8" t="s">
        <v>54</v>
      </c>
      <c r="T752" s="9" t="n">
        <v>99</v>
      </c>
      <c r="U752" s="10" t="n">
        <v>72</v>
      </c>
      <c r="V752" s="10" t="s">
        <v>43</v>
      </c>
      <c r="W752" s="11" t="n">
        <v>72</v>
      </c>
      <c r="X752" s="12" t="n">
        <v>70</v>
      </c>
      <c r="Y752" s="12" t="s">
        <v>43</v>
      </c>
      <c r="Z752" s="13" t="n">
        <v>70</v>
      </c>
      <c r="AA752" s="14" t="n">
        <v>97</v>
      </c>
      <c r="AB752" s="14" t="s">
        <v>54</v>
      </c>
      <c r="AC752" s="15" t="n">
        <v>97</v>
      </c>
      <c r="AD752" s="2" t="n">
        <f aca="false">SUM(L752,O752,R752,U752,X752,AA752)</f>
        <v>483</v>
      </c>
      <c r="AE752" s="16" t="n">
        <f aca="false">AD752/6</f>
        <v>80.5</v>
      </c>
      <c r="AF752" s="2" t="str">
        <f aca="false">IF(SUM(COUNTIF(M752,"RA"),COUNTIF(P752,"RA"),COUNTIF(S752,"RA"),COUNTIF(V752,"RA"),COUNTIF(Y752,"RA"),COUNTIF(AB752,"RA"))&gt;0,"FAIL","PASS")</f>
        <v>PASS</v>
      </c>
    </row>
    <row r="753" customFormat="false" ht="15" hidden="false" customHeight="false" outlineLevel="0" collapsed="false">
      <c r="A753" s="2" t="n">
        <v>752</v>
      </c>
      <c r="B753" s="3" t="s">
        <v>4192</v>
      </c>
      <c r="C753" s="2" t="s">
        <v>750</v>
      </c>
      <c r="D753" s="2" t="s">
        <v>4193</v>
      </c>
      <c r="E753" s="2" t="s">
        <v>35</v>
      </c>
      <c r="F753" s="2" t="s">
        <v>36</v>
      </c>
      <c r="G753" s="2" t="s">
        <v>48</v>
      </c>
      <c r="H753" s="2" t="s">
        <v>4194</v>
      </c>
      <c r="I753" s="3" t="s">
        <v>4195</v>
      </c>
      <c r="J753" s="2" t="s">
        <v>4196</v>
      </c>
      <c r="K753" s="2" t="s">
        <v>4197</v>
      </c>
      <c r="L753" s="4" t="n">
        <v>62</v>
      </c>
      <c r="M753" s="4" t="s">
        <v>44</v>
      </c>
      <c r="N753" s="5" t="n">
        <v>62</v>
      </c>
      <c r="O753" s="6" t="n">
        <v>70</v>
      </c>
      <c r="P753" s="6" t="s">
        <v>43</v>
      </c>
      <c r="Q753" s="7" t="n">
        <v>70</v>
      </c>
      <c r="R753" s="8" t="n">
        <v>97</v>
      </c>
      <c r="S753" s="8" t="s">
        <v>54</v>
      </c>
      <c r="T753" s="9" t="n">
        <v>97</v>
      </c>
      <c r="U753" s="10" t="n">
        <v>60</v>
      </c>
      <c r="V753" s="10" t="s">
        <v>44</v>
      </c>
      <c r="W753" s="11" t="n">
        <v>60</v>
      </c>
      <c r="X753" s="12" t="n">
        <v>99</v>
      </c>
      <c r="Y753" s="12" t="s">
        <v>54</v>
      </c>
      <c r="Z753" s="13" t="n">
        <v>99</v>
      </c>
      <c r="AA753" s="14" t="n">
        <v>98</v>
      </c>
      <c r="AB753" s="14" t="s">
        <v>54</v>
      </c>
      <c r="AC753" s="15" t="n">
        <v>98</v>
      </c>
      <c r="AD753" s="2" t="n">
        <f aca="false">SUM(L753,O753,R753,U753,X753,AA753)</f>
        <v>486</v>
      </c>
      <c r="AE753" s="16" t="n">
        <f aca="false">AD753/6</f>
        <v>81</v>
      </c>
      <c r="AF753" s="2" t="str">
        <f aca="false">IF(SUM(COUNTIF(M753,"RA"),COUNTIF(P753,"RA"),COUNTIF(S753,"RA"),COUNTIF(V753,"RA"),COUNTIF(Y753,"RA"),COUNTIF(AB753,"RA"))&gt;0,"FAIL","PASS")</f>
        <v>PASS</v>
      </c>
    </row>
    <row r="754" customFormat="false" ht="15" hidden="false" customHeight="false" outlineLevel="0" collapsed="false">
      <c r="A754" s="2" t="n">
        <v>753</v>
      </c>
      <c r="B754" s="3" t="s">
        <v>4198</v>
      </c>
      <c r="C754" s="2" t="s">
        <v>803</v>
      </c>
      <c r="D754" s="2" t="s">
        <v>4199</v>
      </c>
      <c r="E754" s="2" t="s">
        <v>57</v>
      </c>
      <c r="F754" s="2" t="s">
        <v>36</v>
      </c>
      <c r="G754" s="2" t="s">
        <v>48</v>
      </c>
      <c r="H754" s="2" t="s">
        <v>4200</v>
      </c>
      <c r="I754" s="3" t="s">
        <v>4201</v>
      </c>
      <c r="J754" s="2" t="s">
        <v>4202</v>
      </c>
      <c r="K754" s="2" t="s">
        <v>4203</v>
      </c>
      <c r="L754" s="4" t="n">
        <v>79</v>
      </c>
      <c r="M754" s="4" t="s">
        <v>43</v>
      </c>
      <c r="N754" s="5" t="n">
        <v>79</v>
      </c>
      <c r="O754" s="6" t="n">
        <v>42</v>
      </c>
      <c r="P754" s="6" t="s">
        <v>45</v>
      </c>
      <c r="Q754" s="7" t="n">
        <v>42</v>
      </c>
      <c r="R754" s="8" t="n">
        <v>87</v>
      </c>
      <c r="S754" s="8" t="s">
        <v>42</v>
      </c>
      <c r="T754" s="9" t="n">
        <v>87</v>
      </c>
      <c r="U754" s="10" t="n">
        <v>73</v>
      </c>
      <c r="V754" s="10" t="s">
        <v>43</v>
      </c>
      <c r="W754" s="11" t="n">
        <v>73</v>
      </c>
      <c r="X754" s="12" t="n">
        <v>79</v>
      </c>
      <c r="Y754" s="12" t="s">
        <v>43</v>
      </c>
      <c r="Z754" s="13" t="n">
        <v>79</v>
      </c>
      <c r="AA754" s="14" t="n">
        <v>99</v>
      </c>
      <c r="AB754" s="14" t="s">
        <v>54</v>
      </c>
      <c r="AC754" s="15" t="n">
        <v>99</v>
      </c>
      <c r="AD754" s="2" t="n">
        <f aca="false">SUM(L754,O754,R754,U754,X754,AA754)</f>
        <v>459</v>
      </c>
      <c r="AE754" s="16" t="n">
        <f aca="false">AD754/6</f>
        <v>76.5</v>
      </c>
      <c r="AF754" s="2" t="str">
        <f aca="false">IF(SUM(COUNTIF(M754,"RA"),COUNTIF(P754,"RA"),COUNTIF(S754,"RA"),COUNTIF(V754,"RA"),COUNTIF(Y754,"RA"),COUNTIF(AB754,"RA"))&gt;0,"FAIL","PASS")</f>
        <v>FAIL</v>
      </c>
    </row>
    <row r="755" customFormat="false" ht="15" hidden="false" customHeight="false" outlineLevel="0" collapsed="false">
      <c r="A755" s="2" t="n">
        <v>754</v>
      </c>
      <c r="B755" s="3" t="s">
        <v>4204</v>
      </c>
      <c r="C755" s="2" t="s">
        <v>803</v>
      </c>
      <c r="D755" s="2" t="s">
        <v>4205</v>
      </c>
      <c r="E755" s="2" t="s">
        <v>57</v>
      </c>
      <c r="F755" s="2" t="s">
        <v>36</v>
      </c>
      <c r="G755" s="2" t="s">
        <v>91</v>
      </c>
      <c r="H755" s="2" t="s">
        <v>4206</v>
      </c>
      <c r="I755" s="3" t="s">
        <v>601</v>
      </c>
      <c r="J755" s="2" t="s">
        <v>4207</v>
      </c>
      <c r="K755" s="2" t="s">
        <v>4208</v>
      </c>
      <c r="L755" s="4" t="n">
        <v>69</v>
      </c>
      <c r="M755" s="4" t="s">
        <v>44</v>
      </c>
      <c r="N755" s="5" t="n">
        <v>69</v>
      </c>
      <c r="O755" s="6" t="n">
        <v>89</v>
      </c>
      <c r="P755" s="6" t="s">
        <v>42</v>
      </c>
      <c r="Q755" s="7" t="n">
        <v>89</v>
      </c>
      <c r="R755" s="8" t="n">
        <v>91</v>
      </c>
      <c r="S755" s="8" t="s">
        <v>54</v>
      </c>
      <c r="T755" s="9" t="n">
        <v>91</v>
      </c>
      <c r="U755" s="10" t="n">
        <v>95</v>
      </c>
      <c r="V755" s="10" t="s">
        <v>54</v>
      </c>
      <c r="W755" s="11" t="n">
        <v>95</v>
      </c>
      <c r="X755" s="12" t="n">
        <v>89</v>
      </c>
      <c r="Y755" s="12" t="s">
        <v>42</v>
      </c>
      <c r="Z755" s="13" t="n">
        <v>89</v>
      </c>
      <c r="AA755" s="14" t="n">
        <v>46</v>
      </c>
      <c r="AB755" s="14" t="s">
        <v>45</v>
      </c>
      <c r="AC755" s="15" t="n">
        <v>46</v>
      </c>
      <c r="AD755" s="2" t="n">
        <f aca="false">SUM(L755,O755,R755,U755,X755,AA755)</f>
        <v>479</v>
      </c>
      <c r="AE755" s="16" t="n">
        <f aca="false">AD755/6</f>
        <v>79.8333333333333</v>
      </c>
      <c r="AF755" s="2" t="str">
        <f aca="false">IF(SUM(COUNTIF(M755,"RA"),COUNTIF(P755,"RA"),COUNTIF(S755,"RA"),COUNTIF(V755,"RA"),COUNTIF(Y755,"RA"),COUNTIF(AB755,"RA"))&gt;0,"FAIL","PASS")</f>
        <v>FAIL</v>
      </c>
    </row>
    <row r="756" customFormat="false" ht="15" hidden="false" customHeight="false" outlineLevel="0" collapsed="false">
      <c r="A756" s="2" t="n">
        <v>755</v>
      </c>
      <c r="B756" s="3" t="s">
        <v>4209</v>
      </c>
      <c r="C756" s="2" t="s">
        <v>841</v>
      </c>
      <c r="D756" s="2" t="s">
        <v>4210</v>
      </c>
      <c r="E756" s="2" t="s">
        <v>57</v>
      </c>
      <c r="F756" s="2" t="s">
        <v>36</v>
      </c>
      <c r="G756" s="2" t="s">
        <v>44</v>
      </c>
      <c r="H756" s="2" t="s">
        <v>1084</v>
      </c>
      <c r="I756" s="3" t="s">
        <v>4211</v>
      </c>
      <c r="J756" s="2" t="s">
        <v>4212</v>
      </c>
      <c r="K756" s="2" t="s">
        <v>4213</v>
      </c>
      <c r="L756" s="4" t="n">
        <v>66</v>
      </c>
      <c r="M756" s="4" t="s">
        <v>44</v>
      </c>
      <c r="N756" s="5" t="n">
        <v>66</v>
      </c>
      <c r="O756" s="6" t="n">
        <v>93</v>
      </c>
      <c r="P756" s="6" t="s">
        <v>54</v>
      </c>
      <c r="Q756" s="7" t="n">
        <v>93</v>
      </c>
      <c r="R756" s="8" t="n">
        <v>69</v>
      </c>
      <c r="S756" s="8" t="s">
        <v>44</v>
      </c>
      <c r="T756" s="9" t="n">
        <v>69</v>
      </c>
      <c r="U756" s="10" t="n">
        <v>85</v>
      </c>
      <c r="V756" s="10" t="s">
        <v>42</v>
      </c>
      <c r="W756" s="11" t="n">
        <v>85</v>
      </c>
      <c r="X756" s="12" t="n">
        <v>84</v>
      </c>
      <c r="Y756" s="12" t="s">
        <v>42</v>
      </c>
      <c r="Z756" s="13" t="n">
        <v>84</v>
      </c>
      <c r="AA756" s="14" t="n">
        <v>61</v>
      </c>
      <c r="AB756" s="14" t="s">
        <v>44</v>
      </c>
      <c r="AC756" s="15" t="n">
        <v>61</v>
      </c>
      <c r="AD756" s="2" t="n">
        <f aca="false">SUM(L756,O756,R756,U756,X756,AA756)</f>
        <v>458</v>
      </c>
      <c r="AE756" s="16" t="n">
        <f aca="false">AD756/6</f>
        <v>76.3333333333333</v>
      </c>
      <c r="AF756" s="2" t="str">
        <f aca="false">IF(SUM(COUNTIF(M756,"RA"),COUNTIF(P756,"RA"),COUNTIF(S756,"RA"),COUNTIF(V756,"RA"),COUNTIF(Y756,"RA"),COUNTIF(AB756,"RA"))&gt;0,"FAIL","PASS")</f>
        <v>PASS</v>
      </c>
    </row>
    <row r="757" customFormat="false" ht="15" hidden="false" customHeight="false" outlineLevel="0" collapsed="false">
      <c r="A757" s="2" t="n">
        <v>756</v>
      </c>
      <c r="B757" s="3" t="s">
        <v>4214</v>
      </c>
      <c r="C757" s="2" t="s">
        <v>757</v>
      </c>
      <c r="D757" s="2" t="s">
        <v>4215</v>
      </c>
      <c r="E757" s="2" t="s">
        <v>57</v>
      </c>
      <c r="F757" s="2" t="s">
        <v>36</v>
      </c>
      <c r="G757" s="2" t="s">
        <v>48</v>
      </c>
      <c r="H757" s="2" t="s">
        <v>3684</v>
      </c>
      <c r="I757" s="3" t="s">
        <v>4216</v>
      </c>
      <c r="J757" s="2" t="s">
        <v>4217</v>
      </c>
      <c r="K757" s="2" t="s">
        <v>4218</v>
      </c>
      <c r="L757" s="4" t="n">
        <v>61</v>
      </c>
      <c r="M757" s="4" t="s">
        <v>44</v>
      </c>
      <c r="N757" s="5" t="n">
        <v>61</v>
      </c>
      <c r="O757" s="6" t="n">
        <v>89</v>
      </c>
      <c r="P757" s="6" t="s">
        <v>42</v>
      </c>
      <c r="Q757" s="7" t="n">
        <v>89</v>
      </c>
      <c r="R757" s="8" t="n">
        <v>79</v>
      </c>
      <c r="S757" s="8" t="s">
        <v>43</v>
      </c>
      <c r="T757" s="9" t="n">
        <v>79</v>
      </c>
      <c r="U757" s="10" t="n">
        <v>97</v>
      </c>
      <c r="V757" s="10" t="s">
        <v>54</v>
      </c>
      <c r="W757" s="11" t="n">
        <v>97</v>
      </c>
      <c r="X757" s="12" t="n">
        <v>74</v>
      </c>
      <c r="Y757" s="12" t="s">
        <v>43</v>
      </c>
      <c r="Z757" s="13" t="n">
        <v>74</v>
      </c>
      <c r="AA757" s="14" t="n">
        <v>70</v>
      </c>
      <c r="AB757" s="14" t="s">
        <v>43</v>
      </c>
      <c r="AC757" s="15" t="n">
        <v>70</v>
      </c>
      <c r="AD757" s="2" t="n">
        <f aca="false">SUM(L757,O757,R757,U757,X757,AA757)</f>
        <v>470</v>
      </c>
      <c r="AE757" s="16" t="n">
        <f aca="false">AD757/6</f>
        <v>78.3333333333333</v>
      </c>
      <c r="AF757" s="2" t="str">
        <f aca="false">IF(SUM(COUNTIF(M757,"RA"),COUNTIF(P757,"RA"),COUNTIF(S757,"RA"),COUNTIF(V757,"RA"),COUNTIF(Y757,"RA"),COUNTIF(AB757,"RA"))&gt;0,"FAIL","PASS")</f>
        <v>PASS</v>
      </c>
    </row>
    <row r="758" customFormat="false" ht="15" hidden="false" customHeight="false" outlineLevel="0" collapsed="false">
      <c r="A758" s="2" t="n">
        <v>757</v>
      </c>
      <c r="B758" s="3" t="s">
        <v>4219</v>
      </c>
      <c r="C758" s="2" t="s">
        <v>790</v>
      </c>
      <c r="D758" s="2" t="s">
        <v>4220</v>
      </c>
      <c r="E758" s="2" t="s">
        <v>57</v>
      </c>
      <c r="F758" s="2" t="s">
        <v>36</v>
      </c>
      <c r="G758" s="2" t="s">
        <v>48</v>
      </c>
      <c r="H758" s="2" t="s">
        <v>2577</v>
      </c>
      <c r="I758" s="3" t="s">
        <v>2755</v>
      </c>
      <c r="J758" s="2" t="s">
        <v>4221</v>
      </c>
      <c r="K758" s="2" t="s">
        <v>4222</v>
      </c>
      <c r="L758" s="4" t="n">
        <v>96</v>
      </c>
      <c r="M758" s="4" t="s">
        <v>54</v>
      </c>
      <c r="N758" s="5" t="n">
        <v>96</v>
      </c>
      <c r="O758" s="6" t="n">
        <v>80</v>
      </c>
      <c r="P758" s="6" t="s">
        <v>42</v>
      </c>
      <c r="Q758" s="7" t="n">
        <v>80</v>
      </c>
      <c r="R758" s="8" t="n">
        <v>91</v>
      </c>
      <c r="S758" s="8" t="s">
        <v>54</v>
      </c>
      <c r="T758" s="9" t="n">
        <v>91</v>
      </c>
      <c r="U758" s="10" t="n">
        <v>73</v>
      </c>
      <c r="V758" s="10" t="s">
        <v>43</v>
      </c>
      <c r="W758" s="11" t="n">
        <v>73</v>
      </c>
      <c r="X758" s="12" t="n">
        <v>97</v>
      </c>
      <c r="Y758" s="12" t="s">
        <v>54</v>
      </c>
      <c r="Z758" s="13" t="n">
        <v>97</v>
      </c>
      <c r="AA758" s="14" t="n">
        <v>95</v>
      </c>
      <c r="AB758" s="14" t="s">
        <v>54</v>
      </c>
      <c r="AC758" s="15" t="n">
        <v>95</v>
      </c>
      <c r="AD758" s="2" t="n">
        <f aca="false">SUM(L758,O758,R758,U758,X758,AA758)</f>
        <v>532</v>
      </c>
      <c r="AE758" s="16" t="n">
        <f aca="false">AD758/6</f>
        <v>88.6666666666667</v>
      </c>
      <c r="AF758" s="2" t="str">
        <f aca="false">IF(SUM(COUNTIF(M758,"RA"),COUNTIF(P758,"RA"),COUNTIF(S758,"RA"),COUNTIF(V758,"RA"),COUNTIF(Y758,"RA"),COUNTIF(AB758,"RA"))&gt;0,"FAIL","PASS")</f>
        <v>PASS</v>
      </c>
    </row>
    <row r="759" customFormat="false" ht="15" hidden="false" customHeight="false" outlineLevel="0" collapsed="false">
      <c r="A759" s="2" t="n">
        <v>758</v>
      </c>
      <c r="B759" s="3" t="s">
        <v>4223</v>
      </c>
      <c r="C759" s="2" t="s">
        <v>803</v>
      </c>
      <c r="D759" s="2" t="s">
        <v>4224</v>
      </c>
      <c r="E759" s="2" t="s">
        <v>57</v>
      </c>
      <c r="F759" s="2" t="s">
        <v>36</v>
      </c>
      <c r="G759" s="2" t="s">
        <v>78</v>
      </c>
      <c r="H759" s="2" t="s">
        <v>4225</v>
      </c>
      <c r="I759" s="3" t="s">
        <v>3243</v>
      </c>
      <c r="J759" s="2" t="s">
        <v>4226</v>
      </c>
      <c r="K759" s="2" t="s">
        <v>4227</v>
      </c>
      <c r="L759" s="4" t="n">
        <v>65</v>
      </c>
      <c r="M759" s="4" t="s">
        <v>44</v>
      </c>
      <c r="N759" s="5" t="n">
        <v>65</v>
      </c>
      <c r="O759" s="6" t="n">
        <v>98</v>
      </c>
      <c r="P759" s="6" t="s">
        <v>54</v>
      </c>
      <c r="Q759" s="7" t="n">
        <v>98</v>
      </c>
      <c r="R759" s="8" t="n">
        <v>56</v>
      </c>
      <c r="S759" s="8" t="s">
        <v>53</v>
      </c>
      <c r="T759" s="9" t="n">
        <v>56</v>
      </c>
      <c r="U759" s="10" t="n">
        <v>77</v>
      </c>
      <c r="V759" s="10" t="s">
        <v>43</v>
      </c>
      <c r="W759" s="11" t="n">
        <v>77</v>
      </c>
      <c r="X759" s="12" t="n">
        <v>52</v>
      </c>
      <c r="Y759" s="12" t="s">
        <v>53</v>
      </c>
      <c r="Z759" s="13" t="n">
        <v>52</v>
      </c>
      <c r="AA759" s="14" t="n">
        <v>44</v>
      </c>
      <c r="AB759" s="14" t="s">
        <v>45</v>
      </c>
      <c r="AC759" s="15" t="n">
        <v>44</v>
      </c>
      <c r="AD759" s="2" t="n">
        <f aca="false">SUM(L759,O759,R759,U759,X759,AA759)</f>
        <v>392</v>
      </c>
      <c r="AE759" s="16" t="n">
        <f aca="false">AD759/6</f>
        <v>65.3333333333333</v>
      </c>
      <c r="AF759" s="2" t="str">
        <f aca="false">IF(SUM(COUNTIF(M759,"RA"),COUNTIF(P759,"RA"),COUNTIF(S759,"RA"),COUNTIF(V759,"RA"),COUNTIF(Y759,"RA"),COUNTIF(AB759,"RA"))&gt;0,"FAIL","PASS")</f>
        <v>FAIL</v>
      </c>
    </row>
    <row r="760" customFormat="false" ht="15" hidden="false" customHeight="false" outlineLevel="0" collapsed="false">
      <c r="A760" s="2" t="n">
        <v>759</v>
      </c>
      <c r="B760" s="3" t="s">
        <v>4228</v>
      </c>
      <c r="C760" s="2" t="s">
        <v>912</v>
      </c>
      <c r="D760" s="2" t="s">
        <v>4229</v>
      </c>
      <c r="E760" s="2" t="s">
        <v>57</v>
      </c>
      <c r="F760" s="2" t="s">
        <v>36</v>
      </c>
      <c r="G760" s="2" t="s">
        <v>78</v>
      </c>
      <c r="H760" s="2" t="s">
        <v>1102</v>
      </c>
      <c r="I760" s="3" t="s">
        <v>1729</v>
      </c>
      <c r="J760" s="2" t="s">
        <v>4230</v>
      </c>
      <c r="K760" s="2" t="s">
        <v>4231</v>
      </c>
      <c r="L760" s="4" t="n">
        <v>77</v>
      </c>
      <c r="M760" s="4" t="s">
        <v>43</v>
      </c>
      <c r="N760" s="5" t="n">
        <v>77</v>
      </c>
      <c r="O760" s="6" t="n">
        <v>100</v>
      </c>
      <c r="P760" s="6" t="s">
        <v>54</v>
      </c>
      <c r="Q760" s="7" t="n">
        <v>100</v>
      </c>
      <c r="R760" s="8" t="n">
        <v>75</v>
      </c>
      <c r="S760" s="8" t="s">
        <v>43</v>
      </c>
      <c r="T760" s="9" t="n">
        <v>75</v>
      </c>
      <c r="U760" s="10" t="n">
        <v>79</v>
      </c>
      <c r="V760" s="10" t="s">
        <v>43</v>
      </c>
      <c r="W760" s="11" t="n">
        <v>79</v>
      </c>
      <c r="X760" s="12" t="n">
        <v>79</v>
      </c>
      <c r="Y760" s="12" t="s">
        <v>43</v>
      </c>
      <c r="Z760" s="13" t="n">
        <v>79</v>
      </c>
      <c r="AA760" s="14" t="n">
        <v>64</v>
      </c>
      <c r="AB760" s="14" t="s">
        <v>44</v>
      </c>
      <c r="AC760" s="15" t="n">
        <v>64</v>
      </c>
      <c r="AD760" s="2" t="n">
        <f aca="false">SUM(L760,O760,R760,U760,X760,AA760)</f>
        <v>474</v>
      </c>
      <c r="AE760" s="16" t="n">
        <f aca="false">AD760/6</f>
        <v>79</v>
      </c>
      <c r="AF760" s="2" t="str">
        <f aca="false">IF(SUM(COUNTIF(M760,"RA"),COUNTIF(P760,"RA"),COUNTIF(S760,"RA"),COUNTIF(V760,"RA"),COUNTIF(Y760,"RA"),COUNTIF(AB760,"RA"))&gt;0,"FAIL","PASS")</f>
        <v>PASS</v>
      </c>
    </row>
    <row r="761" customFormat="false" ht="15" hidden="false" customHeight="false" outlineLevel="0" collapsed="false">
      <c r="A761" s="2" t="n">
        <v>760</v>
      </c>
      <c r="B761" s="3" t="s">
        <v>4232</v>
      </c>
      <c r="C761" s="2" t="s">
        <v>790</v>
      </c>
      <c r="D761" s="2" t="s">
        <v>4233</v>
      </c>
      <c r="E761" s="2" t="s">
        <v>35</v>
      </c>
      <c r="F761" s="2" t="s">
        <v>36</v>
      </c>
      <c r="G761" s="2" t="s">
        <v>42</v>
      </c>
      <c r="H761" s="2" t="s">
        <v>4234</v>
      </c>
      <c r="I761" s="3" t="s">
        <v>601</v>
      </c>
      <c r="J761" s="2" t="s">
        <v>4235</v>
      </c>
      <c r="K761" s="2" t="s">
        <v>4236</v>
      </c>
      <c r="L761" s="4" t="n">
        <v>87</v>
      </c>
      <c r="M761" s="4" t="s">
        <v>42</v>
      </c>
      <c r="N761" s="5" t="n">
        <v>87</v>
      </c>
      <c r="O761" s="6" t="n">
        <v>84</v>
      </c>
      <c r="P761" s="6" t="s">
        <v>42</v>
      </c>
      <c r="Q761" s="7" t="n">
        <v>84</v>
      </c>
      <c r="R761" s="8" t="n">
        <v>94</v>
      </c>
      <c r="S761" s="8" t="s">
        <v>54</v>
      </c>
      <c r="T761" s="9" t="n">
        <v>94</v>
      </c>
      <c r="U761" s="10" t="n">
        <v>60</v>
      </c>
      <c r="V761" s="10" t="s">
        <v>44</v>
      </c>
      <c r="W761" s="11" t="n">
        <v>60</v>
      </c>
      <c r="X761" s="12" t="n">
        <v>77</v>
      </c>
      <c r="Y761" s="12" t="s">
        <v>43</v>
      </c>
      <c r="Z761" s="13" t="n">
        <v>77</v>
      </c>
      <c r="AA761" s="14" t="n">
        <v>46</v>
      </c>
      <c r="AB761" s="14" t="s">
        <v>45</v>
      </c>
      <c r="AC761" s="15" t="n">
        <v>46</v>
      </c>
      <c r="AD761" s="2" t="n">
        <f aca="false">SUM(L761,O761,R761,U761,X761,AA761)</f>
        <v>448</v>
      </c>
      <c r="AE761" s="16" t="n">
        <f aca="false">AD761/6</f>
        <v>74.6666666666667</v>
      </c>
      <c r="AF761" s="2" t="str">
        <f aca="false">IF(SUM(COUNTIF(M761,"RA"),COUNTIF(P761,"RA"),COUNTIF(S761,"RA"),COUNTIF(V761,"RA"),COUNTIF(Y761,"RA"),COUNTIF(AB761,"RA"))&gt;0,"FAIL","PASS")</f>
        <v>FAIL</v>
      </c>
    </row>
    <row r="762" customFormat="false" ht="15" hidden="false" customHeight="false" outlineLevel="0" collapsed="false">
      <c r="A762" s="2" t="n">
        <v>761</v>
      </c>
      <c r="B762" s="3" t="s">
        <v>4237</v>
      </c>
      <c r="C762" s="2" t="s">
        <v>912</v>
      </c>
      <c r="D762" s="2" t="s">
        <v>4238</v>
      </c>
      <c r="E762" s="2" t="s">
        <v>35</v>
      </c>
      <c r="F762" s="2" t="s">
        <v>36</v>
      </c>
      <c r="G762" s="2" t="s">
        <v>44</v>
      </c>
      <c r="H762" s="2" t="s">
        <v>4239</v>
      </c>
      <c r="I762" s="3" t="s">
        <v>1780</v>
      </c>
      <c r="J762" s="2" t="s">
        <v>4240</v>
      </c>
      <c r="K762" s="2" t="s">
        <v>4241</v>
      </c>
      <c r="L762" s="4" t="n">
        <v>64</v>
      </c>
      <c r="M762" s="4" t="s">
        <v>44</v>
      </c>
      <c r="N762" s="5" t="n">
        <v>64</v>
      </c>
      <c r="O762" s="6" t="n">
        <v>76</v>
      </c>
      <c r="P762" s="6" t="s">
        <v>43</v>
      </c>
      <c r="Q762" s="7" t="n">
        <v>76</v>
      </c>
      <c r="R762" s="8" t="n">
        <v>76</v>
      </c>
      <c r="S762" s="8" t="s">
        <v>43</v>
      </c>
      <c r="T762" s="9" t="n">
        <v>76</v>
      </c>
      <c r="U762" s="10" t="n">
        <v>90</v>
      </c>
      <c r="V762" s="10" t="s">
        <v>54</v>
      </c>
      <c r="W762" s="11" t="n">
        <v>90</v>
      </c>
      <c r="X762" s="12" t="n">
        <v>54</v>
      </c>
      <c r="Y762" s="12" t="s">
        <v>53</v>
      </c>
      <c r="Z762" s="13" t="n">
        <v>54</v>
      </c>
      <c r="AA762" s="14" t="n">
        <v>76</v>
      </c>
      <c r="AB762" s="14" t="s">
        <v>43</v>
      </c>
      <c r="AC762" s="15" t="n">
        <v>76</v>
      </c>
      <c r="AD762" s="2" t="n">
        <f aca="false">SUM(L762,O762,R762,U762,X762,AA762)</f>
        <v>436</v>
      </c>
      <c r="AE762" s="16" t="n">
        <f aca="false">AD762/6</f>
        <v>72.6666666666667</v>
      </c>
      <c r="AF762" s="2" t="str">
        <f aca="false">IF(SUM(COUNTIF(M762,"RA"),COUNTIF(P762,"RA"),COUNTIF(S762,"RA"),COUNTIF(V762,"RA"),COUNTIF(Y762,"RA"),COUNTIF(AB762,"RA"))&gt;0,"FAIL","PASS")</f>
        <v>PASS</v>
      </c>
    </row>
    <row r="763" customFormat="false" ht="15" hidden="false" customHeight="false" outlineLevel="0" collapsed="false">
      <c r="A763" s="2" t="n">
        <v>762</v>
      </c>
      <c r="B763" s="3" t="s">
        <v>4242</v>
      </c>
      <c r="C763" s="2" t="s">
        <v>912</v>
      </c>
      <c r="D763" s="2" t="s">
        <v>4243</v>
      </c>
      <c r="E763" s="2" t="s">
        <v>57</v>
      </c>
      <c r="F763" s="2" t="s">
        <v>36</v>
      </c>
      <c r="G763" s="2" t="s">
        <v>42</v>
      </c>
      <c r="H763" s="2" t="s">
        <v>4244</v>
      </c>
      <c r="I763" s="3" t="s">
        <v>1624</v>
      </c>
      <c r="J763" s="2" t="s">
        <v>4245</v>
      </c>
      <c r="K763" s="2" t="s">
        <v>4246</v>
      </c>
      <c r="L763" s="4" t="n">
        <v>77</v>
      </c>
      <c r="M763" s="4" t="s">
        <v>43</v>
      </c>
      <c r="N763" s="5" t="n">
        <v>77</v>
      </c>
      <c r="O763" s="6" t="n">
        <v>64</v>
      </c>
      <c r="P763" s="6" t="s">
        <v>44</v>
      </c>
      <c r="Q763" s="7" t="n">
        <v>64</v>
      </c>
      <c r="R763" s="8" t="n">
        <v>78</v>
      </c>
      <c r="S763" s="8" t="s">
        <v>43</v>
      </c>
      <c r="T763" s="9" t="n">
        <v>78</v>
      </c>
      <c r="U763" s="10" t="n">
        <v>90</v>
      </c>
      <c r="V763" s="10" t="s">
        <v>54</v>
      </c>
      <c r="W763" s="11" t="n">
        <v>90</v>
      </c>
      <c r="X763" s="12" t="n">
        <v>49</v>
      </c>
      <c r="Y763" s="12" t="s">
        <v>45</v>
      </c>
      <c r="Z763" s="13" t="n">
        <v>49</v>
      </c>
      <c r="AA763" s="14" t="n">
        <v>99</v>
      </c>
      <c r="AB763" s="14" t="s">
        <v>54</v>
      </c>
      <c r="AC763" s="15" t="n">
        <v>99</v>
      </c>
      <c r="AD763" s="2" t="n">
        <f aca="false">SUM(L763,O763,R763,U763,X763,AA763)</f>
        <v>457</v>
      </c>
      <c r="AE763" s="16" t="n">
        <f aca="false">AD763/6</f>
        <v>76.1666666666667</v>
      </c>
      <c r="AF763" s="2" t="str">
        <f aca="false">IF(SUM(COUNTIF(M763,"RA"),COUNTIF(P763,"RA"),COUNTIF(S763,"RA"),COUNTIF(V763,"RA"),COUNTIF(Y763,"RA"),COUNTIF(AB763,"RA"))&gt;0,"FAIL","PASS")</f>
        <v>FAIL</v>
      </c>
    </row>
    <row r="764" customFormat="false" ht="15" hidden="false" customHeight="false" outlineLevel="0" collapsed="false">
      <c r="A764" s="2" t="n">
        <v>763</v>
      </c>
      <c r="B764" s="3" t="s">
        <v>4247</v>
      </c>
      <c r="C764" s="2" t="s">
        <v>816</v>
      </c>
      <c r="D764" s="2" t="s">
        <v>4248</v>
      </c>
      <c r="E764" s="2" t="s">
        <v>57</v>
      </c>
      <c r="F764" s="2" t="s">
        <v>36</v>
      </c>
      <c r="G764" s="2" t="s">
        <v>78</v>
      </c>
      <c r="H764" s="2" t="s">
        <v>1340</v>
      </c>
      <c r="I764" s="3" t="s">
        <v>3427</v>
      </c>
      <c r="J764" s="2" t="s">
        <v>4249</v>
      </c>
      <c r="K764" s="2" t="s">
        <v>4250</v>
      </c>
      <c r="L764" s="4" t="n">
        <v>77</v>
      </c>
      <c r="M764" s="4" t="s">
        <v>43</v>
      </c>
      <c r="N764" s="5" t="n">
        <v>77</v>
      </c>
      <c r="O764" s="6" t="n">
        <v>57</v>
      </c>
      <c r="P764" s="6" t="s">
        <v>53</v>
      </c>
      <c r="Q764" s="7" t="n">
        <v>57</v>
      </c>
      <c r="R764" s="8" t="n">
        <v>69</v>
      </c>
      <c r="S764" s="8" t="s">
        <v>44</v>
      </c>
      <c r="T764" s="9" t="n">
        <v>69</v>
      </c>
      <c r="U764" s="10" t="n">
        <v>70</v>
      </c>
      <c r="V764" s="10" t="s">
        <v>43</v>
      </c>
      <c r="W764" s="11" t="n">
        <v>70</v>
      </c>
      <c r="X764" s="12" t="n">
        <v>49</v>
      </c>
      <c r="Y764" s="12" t="s">
        <v>45</v>
      </c>
      <c r="Z764" s="13" t="n">
        <v>49</v>
      </c>
      <c r="AA764" s="14" t="n">
        <v>61</v>
      </c>
      <c r="AB764" s="14" t="s">
        <v>44</v>
      </c>
      <c r="AC764" s="15" t="n">
        <v>61</v>
      </c>
      <c r="AD764" s="2" t="n">
        <f aca="false">SUM(L764,O764,R764,U764,X764,AA764)</f>
        <v>383</v>
      </c>
      <c r="AE764" s="16" t="n">
        <f aca="false">AD764/6</f>
        <v>63.8333333333333</v>
      </c>
      <c r="AF764" s="2" t="str">
        <f aca="false">IF(SUM(COUNTIF(M764,"RA"),COUNTIF(P764,"RA"),COUNTIF(S764,"RA"),COUNTIF(V764,"RA"),COUNTIF(Y764,"RA"),COUNTIF(AB764,"RA"))&gt;0,"FAIL","PASS")</f>
        <v>FAIL</v>
      </c>
    </row>
    <row r="765" customFormat="false" ht="15" hidden="false" customHeight="false" outlineLevel="0" collapsed="false">
      <c r="A765" s="2" t="n">
        <v>764</v>
      </c>
      <c r="B765" s="3" t="s">
        <v>4251</v>
      </c>
      <c r="C765" s="2" t="s">
        <v>841</v>
      </c>
      <c r="D765" s="2" t="s">
        <v>4252</v>
      </c>
      <c r="E765" s="2" t="s">
        <v>35</v>
      </c>
      <c r="F765" s="2" t="s">
        <v>36</v>
      </c>
      <c r="G765" s="2" t="s">
        <v>42</v>
      </c>
      <c r="H765" s="2" t="s">
        <v>4253</v>
      </c>
      <c r="I765" s="3" t="s">
        <v>4254</v>
      </c>
      <c r="J765" s="2" t="s">
        <v>4255</v>
      </c>
      <c r="K765" s="2" t="s">
        <v>4256</v>
      </c>
      <c r="L765" s="4" t="n">
        <v>97</v>
      </c>
      <c r="M765" s="4" t="s">
        <v>54</v>
      </c>
      <c r="N765" s="5" t="n">
        <v>97</v>
      </c>
      <c r="O765" s="6" t="n">
        <v>80</v>
      </c>
      <c r="P765" s="6" t="s">
        <v>42</v>
      </c>
      <c r="Q765" s="7" t="n">
        <v>80</v>
      </c>
      <c r="R765" s="8" t="n">
        <v>65</v>
      </c>
      <c r="S765" s="8" t="s">
        <v>44</v>
      </c>
      <c r="T765" s="9" t="n">
        <v>65</v>
      </c>
      <c r="U765" s="10" t="n">
        <v>82</v>
      </c>
      <c r="V765" s="10" t="s">
        <v>42</v>
      </c>
      <c r="W765" s="11" t="n">
        <v>82</v>
      </c>
      <c r="X765" s="12" t="n">
        <v>73</v>
      </c>
      <c r="Y765" s="12" t="s">
        <v>43</v>
      </c>
      <c r="Z765" s="13" t="n">
        <v>73</v>
      </c>
      <c r="AA765" s="14" t="n">
        <v>76</v>
      </c>
      <c r="AB765" s="14" t="s">
        <v>43</v>
      </c>
      <c r="AC765" s="15" t="n">
        <v>76</v>
      </c>
      <c r="AD765" s="2" t="n">
        <f aca="false">SUM(L765,O765,R765,U765,X765,AA765)</f>
        <v>473</v>
      </c>
      <c r="AE765" s="16" t="n">
        <f aca="false">AD765/6</f>
        <v>78.8333333333333</v>
      </c>
      <c r="AF765" s="2" t="str">
        <f aca="false">IF(SUM(COUNTIF(M765,"RA"),COUNTIF(P765,"RA"),COUNTIF(S765,"RA"),COUNTIF(V765,"RA"),COUNTIF(Y765,"RA"),COUNTIF(AB765,"RA"))&gt;0,"FAIL","PASS")</f>
        <v>PASS</v>
      </c>
    </row>
    <row r="766" customFormat="false" ht="15" hidden="false" customHeight="false" outlineLevel="0" collapsed="false">
      <c r="A766" s="2" t="n">
        <v>765</v>
      </c>
      <c r="B766" s="3" t="s">
        <v>4257</v>
      </c>
      <c r="C766" s="2" t="s">
        <v>841</v>
      </c>
      <c r="D766" s="2" t="s">
        <v>4258</v>
      </c>
      <c r="E766" s="2" t="s">
        <v>35</v>
      </c>
      <c r="F766" s="2" t="s">
        <v>36</v>
      </c>
      <c r="G766" s="2" t="s">
        <v>44</v>
      </c>
      <c r="H766" s="2" t="s">
        <v>4259</v>
      </c>
      <c r="I766" s="3" t="s">
        <v>4260</v>
      </c>
      <c r="J766" s="2" t="s">
        <v>4261</v>
      </c>
      <c r="K766" s="2" t="s">
        <v>4262</v>
      </c>
      <c r="L766" s="4" t="n">
        <v>66</v>
      </c>
      <c r="M766" s="4" t="s">
        <v>44</v>
      </c>
      <c r="N766" s="5" t="n">
        <v>66</v>
      </c>
      <c r="O766" s="6" t="n">
        <v>71</v>
      </c>
      <c r="P766" s="6" t="s">
        <v>43</v>
      </c>
      <c r="Q766" s="7" t="n">
        <v>71</v>
      </c>
      <c r="R766" s="8" t="n">
        <v>86</v>
      </c>
      <c r="S766" s="8" t="s">
        <v>42</v>
      </c>
      <c r="T766" s="9" t="n">
        <v>86</v>
      </c>
      <c r="U766" s="10" t="n">
        <v>74</v>
      </c>
      <c r="V766" s="10" t="s">
        <v>43</v>
      </c>
      <c r="W766" s="11" t="n">
        <v>74</v>
      </c>
      <c r="X766" s="12" t="n">
        <v>64</v>
      </c>
      <c r="Y766" s="12" t="s">
        <v>44</v>
      </c>
      <c r="Z766" s="13" t="n">
        <v>64</v>
      </c>
      <c r="AA766" s="14" t="n">
        <v>93</v>
      </c>
      <c r="AB766" s="14" t="s">
        <v>54</v>
      </c>
      <c r="AC766" s="15" t="n">
        <v>93</v>
      </c>
      <c r="AD766" s="2" t="n">
        <f aca="false">SUM(L766,O766,R766,U766,X766,AA766)</f>
        <v>454</v>
      </c>
      <c r="AE766" s="16" t="n">
        <f aca="false">AD766/6</f>
        <v>75.6666666666667</v>
      </c>
      <c r="AF766" s="2" t="str">
        <f aca="false">IF(SUM(COUNTIF(M766,"RA"),COUNTIF(P766,"RA"),COUNTIF(S766,"RA"),COUNTIF(V766,"RA"),COUNTIF(Y766,"RA"),COUNTIF(AB766,"RA"))&gt;0,"FAIL","PASS")</f>
        <v>PASS</v>
      </c>
    </row>
    <row r="767" customFormat="false" ht="15" hidden="false" customHeight="false" outlineLevel="0" collapsed="false">
      <c r="A767" s="2" t="n">
        <v>766</v>
      </c>
      <c r="B767" s="3" t="s">
        <v>4263</v>
      </c>
      <c r="C767" s="2" t="s">
        <v>770</v>
      </c>
      <c r="D767" s="2" t="s">
        <v>4264</v>
      </c>
      <c r="E767" s="2" t="s">
        <v>35</v>
      </c>
      <c r="F767" s="2" t="s">
        <v>36</v>
      </c>
      <c r="G767" s="2" t="s">
        <v>48</v>
      </c>
      <c r="H767" s="2" t="s">
        <v>2795</v>
      </c>
      <c r="I767" s="3" t="s">
        <v>2732</v>
      </c>
      <c r="J767" s="2" t="s">
        <v>4265</v>
      </c>
      <c r="K767" s="2" t="s">
        <v>4266</v>
      </c>
      <c r="L767" s="4" t="n">
        <v>66</v>
      </c>
      <c r="M767" s="4" t="s">
        <v>44</v>
      </c>
      <c r="N767" s="5" t="n">
        <v>66</v>
      </c>
      <c r="O767" s="6" t="n">
        <v>84</v>
      </c>
      <c r="P767" s="6" t="s">
        <v>42</v>
      </c>
      <c r="Q767" s="7" t="n">
        <v>84</v>
      </c>
      <c r="R767" s="8" t="n">
        <v>94</v>
      </c>
      <c r="S767" s="8" t="s">
        <v>54</v>
      </c>
      <c r="T767" s="9" t="n">
        <v>94</v>
      </c>
      <c r="U767" s="10" t="n">
        <v>71</v>
      </c>
      <c r="V767" s="10" t="s">
        <v>43</v>
      </c>
      <c r="W767" s="11" t="n">
        <v>71</v>
      </c>
      <c r="X767" s="12" t="n">
        <v>92</v>
      </c>
      <c r="Y767" s="12" t="s">
        <v>54</v>
      </c>
      <c r="Z767" s="13" t="n">
        <v>92</v>
      </c>
      <c r="AA767" s="14" t="n">
        <v>40</v>
      </c>
      <c r="AB767" s="14" t="s">
        <v>45</v>
      </c>
      <c r="AC767" s="15" t="n">
        <v>40</v>
      </c>
      <c r="AD767" s="2" t="n">
        <f aca="false">SUM(L767,O767,R767,U767,X767,AA767)</f>
        <v>447</v>
      </c>
      <c r="AE767" s="16" t="n">
        <f aca="false">AD767/6</f>
        <v>74.5</v>
      </c>
      <c r="AF767" s="2" t="str">
        <f aca="false">IF(SUM(COUNTIF(M767,"RA"),COUNTIF(P767,"RA"),COUNTIF(S767,"RA"),COUNTIF(V767,"RA"),COUNTIF(Y767,"RA"),COUNTIF(AB767,"RA"))&gt;0,"FAIL","PASS")</f>
        <v>FAIL</v>
      </c>
    </row>
    <row r="768" customFormat="false" ht="15" hidden="false" customHeight="false" outlineLevel="0" collapsed="false">
      <c r="A768" s="2" t="n">
        <v>767</v>
      </c>
      <c r="B768" s="3" t="s">
        <v>4267</v>
      </c>
      <c r="C768" s="2" t="s">
        <v>803</v>
      </c>
      <c r="D768" s="2" t="s">
        <v>4268</v>
      </c>
      <c r="E768" s="2" t="s">
        <v>57</v>
      </c>
      <c r="F768" s="2" t="s">
        <v>36</v>
      </c>
      <c r="G768" s="2" t="s">
        <v>64</v>
      </c>
      <c r="H768" s="2" t="s">
        <v>836</v>
      </c>
      <c r="I768" s="3" t="s">
        <v>4269</v>
      </c>
      <c r="J768" s="2" t="s">
        <v>4270</v>
      </c>
      <c r="K768" s="2" t="s">
        <v>4271</v>
      </c>
      <c r="L768" s="4" t="n">
        <v>48</v>
      </c>
      <c r="M768" s="4" t="s">
        <v>45</v>
      </c>
      <c r="N768" s="5" t="n">
        <v>48</v>
      </c>
      <c r="O768" s="6" t="n">
        <v>60</v>
      </c>
      <c r="P768" s="6" t="s">
        <v>44</v>
      </c>
      <c r="Q768" s="7" t="n">
        <v>60</v>
      </c>
      <c r="R768" s="8" t="n">
        <v>67</v>
      </c>
      <c r="S768" s="8" t="s">
        <v>44</v>
      </c>
      <c r="T768" s="9" t="n">
        <v>67</v>
      </c>
      <c r="U768" s="10" t="n">
        <v>44</v>
      </c>
      <c r="V768" s="10" t="s">
        <v>45</v>
      </c>
      <c r="W768" s="11" t="n">
        <v>44</v>
      </c>
      <c r="X768" s="12" t="n">
        <v>66</v>
      </c>
      <c r="Y768" s="12" t="s">
        <v>44</v>
      </c>
      <c r="Z768" s="13" t="n">
        <v>66</v>
      </c>
      <c r="AA768" s="14" t="n">
        <v>42</v>
      </c>
      <c r="AB768" s="14" t="s">
        <v>45</v>
      </c>
      <c r="AC768" s="15" t="n">
        <v>42</v>
      </c>
      <c r="AD768" s="2" t="n">
        <f aca="false">SUM(L768,O768,R768,U768,X768,AA768)</f>
        <v>327</v>
      </c>
      <c r="AE768" s="16" t="n">
        <f aca="false">AD768/6</f>
        <v>54.5</v>
      </c>
      <c r="AF768" s="2" t="str">
        <f aca="false">IF(SUM(COUNTIF(M768,"RA"),COUNTIF(P768,"RA"),COUNTIF(S768,"RA"),COUNTIF(V768,"RA"),COUNTIF(Y768,"RA"),COUNTIF(AB768,"RA"))&gt;0,"FAIL","PASS")</f>
        <v>FAIL</v>
      </c>
    </row>
    <row r="769" customFormat="false" ht="15" hidden="false" customHeight="false" outlineLevel="0" collapsed="false">
      <c r="A769" s="2" t="n">
        <v>768</v>
      </c>
      <c r="B769" s="3" t="s">
        <v>4272</v>
      </c>
      <c r="C769" s="2" t="s">
        <v>859</v>
      </c>
      <c r="D769" s="2" t="s">
        <v>4273</v>
      </c>
      <c r="E769" s="2" t="s">
        <v>35</v>
      </c>
      <c r="F769" s="2" t="s">
        <v>36</v>
      </c>
      <c r="G769" s="2" t="s">
        <v>64</v>
      </c>
      <c r="H769" s="2" t="s">
        <v>4274</v>
      </c>
      <c r="I769" s="3" t="s">
        <v>4275</v>
      </c>
      <c r="J769" s="2" t="s">
        <v>4276</v>
      </c>
      <c r="K769" s="2" t="s">
        <v>4277</v>
      </c>
      <c r="L769" s="4" t="n">
        <v>84</v>
      </c>
      <c r="M769" s="4" t="s">
        <v>42</v>
      </c>
      <c r="N769" s="5" t="n">
        <v>84</v>
      </c>
      <c r="O769" s="6" t="n">
        <v>48</v>
      </c>
      <c r="P769" s="6" t="s">
        <v>45</v>
      </c>
      <c r="Q769" s="7" t="n">
        <v>48</v>
      </c>
      <c r="R769" s="8" t="n">
        <v>68</v>
      </c>
      <c r="S769" s="8" t="s">
        <v>44</v>
      </c>
      <c r="T769" s="9" t="n">
        <v>68</v>
      </c>
      <c r="U769" s="10" t="n">
        <v>66</v>
      </c>
      <c r="V769" s="10" t="s">
        <v>44</v>
      </c>
      <c r="W769" s="11" t="n">
        <v>66</v>
      </c>
      <c r="X769" s="12" t="n">
        <v>95</v>
      </c>
      <c r="Y769" s="12" t="s">
        <v>54</v>
      </c>
      <c r="Z769" s="13" t="n">
        <v>95</v>
      </c>
      <c r="AA769" s="14" t="n">
        <v>63</v>
      </c>
      <c r="AB769" s="14" t="s">
        <v>44</v>
      </c>
      <c r="AC769" s="15" t="n">
        <v>63</v>
      </c>
      <c r="AD769" s="2" t="n">
        <f aca="false">SUM(L769,O769,R769,U769,X769,AA769)</f>
        <v>424</v>
      </c>
      <c r="AE769" s="16" t="n">
        <f aca="false">AD769/6</f>
        <v>70.6666666666667</v>
      </c>
      <c r="AF769" s="2" t="str">
        <f aca="false">IF(SUM(COUNTIF(M769,"RA"),COUNTIF(P769,"RA"),COUNTIF(S769,"RA"),COUNTIF(V769,"RA"),COUNTIF(Y769,"RA"),COUNTIF(AB769,"RA"))&gt;0,"FAIL","PASS")</f>
        <v>FAIL</v>
      </c>
    </row>
    <row r="770" customFormat="false" ht="15" hidden="false" customHeight="false" outlineLevel="0" collapsed="false">
      <c r="A770" s="2" t="n">
        <v>769</v>
      </c>
      <c r="B770" s="3" t="s">
        <v>4278</v>
      </c>
      <c r="C770" s="2" t="s">
        <v>912</v>
      </c>
      <c r="D770" s="2" t="s">
        <v>4279</v>
      </c>
      <c r="E770" s="2" t="s">
        <v>57</v>
      </c>
      <c r="F770" s="2" t="s">
        <v>36</v>
      </c>
      <c r="G770" s="2" t="s">
        <v>78</v>
      </c>
      <c r="H770" s="2" t="s">
        <v>4280</v>
      </c>
      <c r="I770" s="3" t="s">
        <v>4281</v>
      </c>
      <c r="J770" s="2" t="s">
        <v>4282</v>
      </c>
      <c r="K770" s="2" t="s">
        <v>4283</v>
      </c>
      <c r="L770" s="4" t="n">
        <v>86</v>
      </c>
      <c r="M770" s="4" t="s">
        <v>42</v>
      </c>
      <c r="N770" s="5" t="n">
        <v>86</v>
      </c>
      <c r="O770" s="6" t="n">
        <v>74</v>
      </c>
      <c r="P770" s="6" t="s">
        <v>43</v>
      </c>
      <c r="Q770" s="7" t="n">
        <v>74</v>
      </c>
      <c r="R770" s="8" t="n">
        <v>76</v>
      </c>
      <c r="S770" s="8" t="s">
        <v>43</v>
      </c>
      <c r="T770" s="9" t="n">
        <v>76</v>
      </c>
      <c r="U770" s="10" t="n">
        <v>43</v>
      </c>
      <c r="V770" s="10" t="s">
        <v>45</v>
      </c>
      <c r="W770" s="11" t="n">
        <v>43</v>
      </c>
      <c r="X770" s="12" t="n">
        <v>92</v>
      </c>
      <c r="Y770" s="12" t="s">
        <v>54</v>
      </c>
      <c r="Z770" s="13" t="n">
        <v>92</v>
      </c>
      <c r="AA770" s="14" t="n">
        <v>63</v>
      </c>
      <c r="AB770" s="14" t="s">
        <v>44</v>
      </c>
      <c r="AC770" s="15" t="n">
        <v>63</v>
      </c>
      <c r="AD770" s="2" t="n">
        <f aca="false">SUM(L770,O770,R770,U770,X770,AA770)</f>
        <v>434</v>
      </c>
      <c r="AE770" s="16" t="n">
        <f aca="false">AD770/6</f>
        <v>72.3333333333333</v>
      </c>
      <c r="AF770" s="2" t="str">
        <f aca="false">IF(SUM(COUNTIF(M770,"RA"),COUNTIF(P770,"RA"),COUNTIF(S770,"RA"),COUNTIF(V770,"RA"),COUNTIF(Y770,"RA"),COUNTIF(AB770,"RA"))&gt;0,"FAIL","PASS")</f>
        <v>FAIL</v>
      </c>
    </row>
    <row r="771" customFormat="false" ht="15" hidden="false" customHeight="false" outlineLevel="0" collapsed="false">
      <c r="A771" s="2" t="n">
        <v>770</v>
      </c>
      <c r="B771" s="3" t="s">
        <v>4284</v>
      </c>
      <c r="C771" s="2" t="s">
        <v>757</v>
      </c>
      <c r="D771" s="2" t="s">
        <v>4285</v>
      </c>
      <c r="E771" s="2" t="s">
        <v>57</v>
      </c>
      <c r="F771" s="2" t="s">
        <v>36</v>
      </c>
      <c r="G771" s="2" t="s">
        <v>42</v>
      </c>
      <c r="H771" s="2" t="s">
        <v>4286</v>
      </c>
      <c r="I771" s="3" t="s">
        <v>3956</v>
      </c>
      <c r="J771" s="2" t="s">
        <v>4287</v>
      </c>
      <c r="K771" s="2" t="s">
        <v>4288</v>
      </c>
      <c r="L771" s="4" t="n">
        <v>65</v>
      </c>
      <c r="M771" s="4" t="s">
        <v>44</v>
      </c>
      <c r="N771" s="5" t="n">
        <v>65</v>
      </c>
      <c r="O771" s="6" t="n">
        <v>66</v>
      </c>
      <c r="P771" s="6" t="s">
        <v>44</v>
      </c>
      <c r="Q771" s="7" t="n">
        <v>66</v>
      </c>
      <c r="R771" s="8" t="n">
        <v>79</v>
      </c>
      <c r="S771" s="8" t="s">
        <v>43</v>
      </c>
      <c r="T771" s="9" t="n">
        <v>79</v>
      </c>
      <c r="U771" s="10" t="n">
        <v>46</v>
      </c>
      <c r="V771" s="10" t="s">
        <v>45</v>
      </c>
      <c r="W771" s="11" t="n">
        <v>46</v>
      </c>
      <c r="X771" s="12" t="n">
        <v>61</v>
      </c>
      <c r="Y771" s="12" t="s">
        <v>44</v>
      </c>
      <c r="Z771" s="13" t="n">
        <v>61</v>
      </c>
      <c r="AA771" s="14" t="n">
        <v>81</v>
      </c>
      <c r="AB771" s="14" t="s">
        <v>42</v>
      </c>
      <c r="AC771" s="15" t="n">
        <v>81</v>
      </c>
      <c r="AD771" s="2" t="n">
        <f aca="false">SUM(L771,O771,R771,U771,X771,AA771)</f>
        <v>398</v>
      </c>
      <c r="AE771" s="16" t="n">
        <f aca="false">AD771/6</f>
        <v>66.3333333333333</v>
      </c>
      <c r="AF771" s="2" t="str">
        <f aca="false">IF(SUM(COUNTIF(M771,"RA"),COUNTIF(P771,"RA"),COUNTIF(S771,"RA"),COUNTIF(V771,"RA"),COUNTIF(Y771,"RA"),COUNTIF(AB771,"RA"))&gt;0,"FAIL","PASS")</f>
        <v>FAIL</v>
      </c>
    </row>
    <row r="772" customFormat="false" ht="15" hidden="false" customHeight="false" outlineLevel="0" collapsed="false">
      <c r="A772" s="2" t="n">
        <v>771</v>
      </c>
      <c r="B772" s="3" t="s">
        <v>4289</v>
      </c>
      <c r="C772" s="2" t="s">
        <v>859</v>
      </c>
      <c r="D772" s="2" t="s">
        <v>4290</v>
      </c>
      <c r="E772" s="2" t="s">
        <v>35</v>
      </c>
      <c r="F772" s="2" t="s">
        <v>36</v>
      </c>
      <c r="G772" s="2" t="s">
        <v>37</v>
      </c>
      <c r="H772" s="2" t="s">
        <v>3745</v>
      </c>
      <c r="I772" s="3" t="s">
        <v>3981</v>
      </c>
      <c r="J772" s="2" t="s">
        <v>4291</v>
      </c>
      <c r="K772" s="2" t="s">
        <v>4292</v>
      </c>
      <c r="L772" s="4" t="n">
        <v>64</v>
      </c>
      <c r="M772" s="4" t="s">
        <v>44</v>
      </c>
      <c r="N772" s="5" t="n">
        <v>64</v>
      </c>
      <c r="O772" s="6" t="n">
        <v>65</v>
      </c>
      <c r="P772" s="6" t="s">
        <v>44</v>
      </c>
      <c r="Q772" s="7" t="n">
        <v>65</v>
      </c>
      <c r="R772" s="8" t="n">
        <v>63</v>
      </c>
      <c r="S772" s="8" t="s">
        <v>44</v>
      </c>
      <c r="T772" s="9" t="n">
        <v>63</v>
      </c>
      <c r="U772" s="10" t="n">
        <v>95</v>
      </c>
      <c r="V772" s="10" t="s">
        <v>54</v>
      </c>
      <c r="W772" s="11" t="n">
        <v>95</v>
      </c>
      <c r="X772" s="12" t="n">
        <v>76</v>
      </c>
      <c r="Y772" s="12" t="s">
        <v>43</v>
      </c>
      <c r="Z772" s="13" t="n">
        <v>76</v>
      </c>
      <c r="AA772" s="14" t="n">
        <v>49</v>
      </c>
      <c r="AB772" s="14" t="s">
        <v>45</v>
      </c>
      <c r="AC772" s="15" t="n">
        <v>49</v>
      </c>
      <c r="AD772" s="2" t="n">
        <f aca="false">SUM(L772,O772,R772,U772,X772,AA772)</f>
        <v>412</v>
      </c>
      <c r="AE772" s="16" t="n">
        <f aca="false">AD772/6</f>
        <v>68.6666666666667</v>
      </c>
      <c r="AF772" s="2" t="str">
        <f aca="false">IF(SUM(COUNTIF(M772,"RA"),COUNTIF(P772,"RA"),COUNTIF(S772,"RA"),COUNTIF(V772,"RA"),COUNTIF(Y772,"RA"),COUNTIF(AB772,"RA"))&gt;0,"FAIL","PASS")</f>
        <v>FAIL</v>
      </c>
    </row>
    <row r="773" customFormat="false" ht="15" hidden="false" customHeight="false" outlineLevel="0" collapsed="false">
      <c r="A773" s="2" t="n">
        <v>772</v>
      </c>
      <c r="B773" s="3" t="s">
        <v>4293</v>
      </c>
      <c r="C773" s="2" t="s">
        <v>757</v>
      </c>
      <c r="D773" s="2" t="s">
        <v>4294</v>
      </c>
      <c r="E773" s="2" t="s">
        <v>35</v>
      </c>
      <c r="F773" s="2" t="s">
        <v>36</v>
      </c>
      <c r="G773" s="2" t="s">
        <v>91</v>
      </c>
      <c r="H773" s="2" t="s">
        <v>4295</v>
      </c>
      <c r="I773" s="3" t="s">
        <v>2917</v>
      </c>
      <c r="J773" s="2" t="s">
        <v>4296</v>
      </c>
      <c r="K773" s="2" t="s">
        <v>4297</v>
      </c>
      <c r="L773" s="4" t="n">
        <v>99</v>
      </c>
      <c r="M773" s="4" t="s">
        <v>54</v>
      </c>
      <c r="N773" s="5" t="n">
        <v>99</v>
      </c>
      <c r="O773" s="6" t="n">
        <v>64</v>
      </c>
      <c r="P773" s="6" t="s">
        <v>44</v>
      </c>
      <c r="Q773" s="7" t="n">
        <v>64</v>
      </c>
      <c r="R773" s="8" t="n">
        <v>80</v>
      </c>
      <c r="S773" s="8" t="s">
        <v>42</v>
      </c>
      <c r="T773" s="9" t="n">
        <v>80</v>
      </c>
      <c r="U773" s="10" t="n">
        <v>68</v>
      </c>
      <c r="V773" s="10" t="s">
        <v>44</v>
      </c>
      <c r="W773" s="11" t="n">
        <v>68</v>
      </c>
      <c r="X773" s="12" t="n">
        <v>96</v>
      </c>
      <c r="Y773" s="12" t="s">
        <v>54</v>
      </c>
      <c r="Z773" s="13" t="n">
        <v>96</v>
      </c>
      <c r="AA773" s="14" t="n">
        <v>80</v>
      </c>
      <c r="AB773" s="14" t="s">
        <v>42</v>
      </c>
      <c r="AC773" s="15" t="n">
        <v>80</v>
      </c>
      <c r="AD773" s="2" t="n">
        <f aca="false">SUM(L773,O773,R773,U773,X773,AA773)</f>
        <v>487</v>
      </c>
      <c r="AE773" s="16" t="n">
        <f aca="false">AD773/6</f>
        <v>81.1666666666667</v>
      </c>
      <c r="AF773" s="2" t="str">
        <f aca="false">IF(SUM(COUNTIF(M773,"RA"),COUNTIF(P773,"RA"),COUNTIF(S773,"RA"),COUNTIF(V773,"RA"),COUNTIF(Y773,"RA"),COUNTIF(AB773,"RA"))&gt;0,"FAIL","PASS")</f>
        <v>PASS</v>
      </c>
    </row>
    <row r="774" customFormat="false" ht="15" hidden="false" customHeight="false" outlineLevel="0" collapsed="false">
      <c r="A774" s="2" t="n">
        <v>773</v>
      </c>
      <c r="B774" s="3" t="s">
        <v>4298</v>
      </c>
      <c r="C774" s="2" t="s">
        <v>757</v>
      </c>
      <c r="D774" s="2" t="s">
        <v>4299</v>
      </c>
      <c r="E774" s="2" t="s">
        <v>35</v>
      </c>
      <c r="F774" s="2" t="s">
        <v>36</v>
      </c>
      <c r="G774" s="2" t="s">
        <v>64</v>
      </c>
      <c r="H774" s="2" t="s">
        <v>4300</v>
      </c>
      <c r="I774" s="3" t="s">
        <v>4301</v>
      </c>
      <c r="J774" s="2" t="s">
        <v>4302</v>
      </c>
      <c r="K774" s="2" t="s">
        <v>4303</v>
      </c>
      <c r="L774" s="4" t="n">
        <v>94</v>
      </c>
      <c r="M774" s="4" t="s">
        <v>54</v>
      </c>
      <c r="N774" s="5" t="n">
        <v>94</v>
      </c>
      <c r="O774" s="6" t="n">
        <v>92</v>
      </c>
      <c r="P774" s="6" t="s">
        <v>54</v>
      </c>
      <c r="Q774" s="7" t="n">
        <v>92</v>
      </c>
      <c r="R774" s="8" t="n">
        <v>49</v>
      </c>
      <c r="S774" s="8" t="s">
        <v>45</v>
      </c>
      <c r="T774" s="9" t="n">
        <v>49</v>
      </c>
      <c r="U774" s="10" t="n">
        <v>75</v>
      </c>
      <c r="V774" s="10" t="s">
        <v>43</v>
      </c>
      <c r="W774" s="11" t="n">
        <v>75</v>
      </c>
      <c r="X774" s="12" t="n">
        <v>76</v>
      </c>
      <c r="Y774" s="12" t="s">
        <v>43</v>
      </c>
      <c r="Z774" s="13" t="n">
        <v>76</v>
      </c>
      <c r="AA774" s="14" t="n">
        <v>86</v>
      </c>
      <c r="AB774" s="14" t="s">
        <v>42</v>
      </c>
      <c r="AC774" s="15" t="n">
        <v>86</v>
      </c>
      <c r="AD774" s="2" t="n">
        <f aca="false">SUM(L774,O774,R774,U774,X774,AA774)</f>
        <v>472</v>
      </c>
      <c r="AE774" s="16" t="n">
        <f aca="false">AD774/6</f>
        <v>78.6666666666667</v>
      </c>
      <c r="AF774" s="2" t="str">
        <f aca="false">IF(SUM(COUNTIF(M774,"RA"),COUNTIF(P774,"RA"),COUNTIF(S774,"RA"),COUNTIF(V774,"RA"),COUNTIF(Y774,"RA"),COUNTIF(AB774,"RA"))&gt;0,"FAIL","PASS")</f>
        <v>FAIL</v>
      </c>
    </row>
    <row r="775" customFormat="false" ht="15" hidden="false" customHeight="false" outlineLevel="0" collapsed="false">
      <c r="A775" s="2" t="n">
        <v>774</v>
      </c>
      <c r="B775" s="3" t="s">
        <v>4304</v>
      </c>
      <c r="C775" s="2" t="s">
        <v>750</v>
      </c>
      <c r="D775" s="2" t="s">
        <v>4305</v>
      </c>
      <c r="E775" s="2" t="s">
        <v>35</v>
      </c>
      <c r="F775" s="2" t="s">
        <v>36</v>
      </c>
      <c r="G775" s="2" t="s">
        <v>78</v>
      </c>
      <c r="H775" s="2" t="s">
        <v>2600</v>
      </c>
      <c r="I775" s="3" t="s">
        <v>3111</v>
      </c>
      <c r="J775" s="2" t="s">
        <v>4306</v>
      </c>
      <c r="K775" s="2" t="s">
        <v>4307</v>
      </c>
      <c r="L775" s="4" t="n">
        <v>61</v>
      </c>
      <c r="M775" s="4" t="s">
        <v>44</v>
      </c>
      <c r="N775" s="5" t="n">
        <v>61</v>
      </c>
      <c r="O775" s="6" t="n">
        <v>95</v>
      </c>
      <c r="P775" s="6" t="s">
        <v>54</v>
      </c>
      <c r="Q775" s="7" t="n">
        <v>95</v>
      </c>
      <c r="R775" s="8" t="n">
        <v>90</v>
      </c>
      <c r="S775" s="8" t="s">
        <v>54</v>
      </c>
      <c r="T775" s="9" t="n">
        <v>90</v>
      </c>
      <c r="U775" s="10" t="n">
        <v>61</v>
      </c>
      <c r="V775" s="10" t="s">
        <v>44</v>
      </c>
      <c r="W775" s="11" t="n">
        <v>61</v>
      </c>
      <c r="X775" s="12" t="n">
        <v>48</v>
      </c>
      <c r="Y775" s="12" t="s">
        <v>45</v>
      </c>
      <c r="Z775" s="13" t="n">
        <v>48</v>
      </c>
      <c r="AA775" s="14" t="n">
        <v>80</v>
      </c>
      <c r="AB775" s="14" t="s">
        <v>42</v>
      </c>
      <c r="AC775" s="15" t="n">
        <v>80</v>
      </c>
      <c r="AD775" s="2" t="n">
        <f aca="false">SUM(L775,O775,R775,U775,X775,AA775)</f>
        <v>435</v>
      </c>
      <c r="AE775" s="16" t="n">
        <f aca="false">AD775/6</f>
        <v>72.5</v>
      </c>
      <c r="AF775" s="2" t="str">
        <f aca="false">IF(SUM(COUNTIF(M775,"RA"),COUNTIF(P775,"RA"),COUNTIF(S775,"RA"),COUNTIF(V775,"RA"),COUNTIF(Y775,"RA"),COUNTIF(AB775,"RA"))&gt;0,"FAIL","PASS")</f>
        <v>FAIL</v>
      </c>
    </row>
    <row r="776" customFormat="false" ht="15" hidden="false" customHeight="false" outlineLevel="0" collapsed="false">
      <c r="A776" s="2" t="n">
        <v>775</v>
      </c>
      <c r="B776" s="3" t="s">
        <v>4308</v>
      </c>
      <c r="C776" s="2" t="s">
        <v>757</v>
      </c>
      <c r="D776" s="2" t="s">
        <v>4309</v>
      </c>
      <c r="E776" s="2" t="s">
        <v>57</v>
      </c>
      <c r="F776" s="2" t="s">
        <v>36</v>
      </c>
      <c r="G776" s="2" t="s">
        <v>44</v>
      </c>
      <c r="H776" s="2" t="s">
        <v>4310</v>
      </c>
      <c r="I776" s="3" t="s">
        <v>408</v>
      </c>
      <c r="J776" s="2" t="s">
        <v>4311</v>
      </c>
      <c r="K776" s="2" t="s">
        <v>4312</v>
      </c>
      <c r="L776" s="4" t="n">
        <v>77</v>
      </c>
      <c r="M776" s="4" t="s">
        <v>43</v>
      </c>
      <c r="N776" s="5" t="n">
        <v>77</v>
      </c>
      <c r="O776" s="6" t="n">
        <v>60</v>
      </c>
      <c r="P776" s="6" t="s">
        <v>44</v>
      </c>
      <c r="Q776" s="7" t="n">
        <v>60</v>
      </c>
      <c r="R776" s="8" t="n">
        <v>92</v>
      </c>
      <c r="S776" s="8" t="s">
        <v>54</v>
      </c>
      <c r="T776" s="9" t="n">
        <v>92</v>
      </c>
      <c r="U776" s="10" t="n">
        <v>60</v>
      </c>
      <c r="V776" s="10" t="s">
        <v>44</v>
      </c>
      <c r="W776" s="11" t="n">
        <v>60</v>
      </c>
      <c r="X776" s="12" t="n">
        <v>93</v>
      </c>
      <c r="Y776" s="12" t="s">
        <v>54</v>
      </c>
      <c r="Z776" s="13" t="n">
        <v>93</v>
      </c>
      <c r="AA776" s="14" t="n">
        <v>80</v>
      </c>
      <c r="AB776" s="14" t="s">
        <v>42</v>
      </c>
      <c r="AC776" s="15" t="n">
        <v>80</v>
      </c>
      <c r="AD776" s="2" t="n">
        <f aca="false">SUM(L776,O776,R776,U776,X776,AA776)</f>
        <v>462</v>
      </c>
      <c r="AE776" s="16" t="n">
        <f aca="false">AD776/6</f>
        <v>77</v>
      </c>
      <c r="AF776" s="2" t="str">
        <f aca="false">IF(SUM(COUNTIF(M776,"RA"),COUNTIF(P776,"RA"),COUNTIF(S776,"RA"),COUNTIF(V776,"RA"),COUNTIF(Y776,"RA"),COUNTIF(AB776,"RA"))&gt;0,"FAIL","PASS")</f>
        <v>PASS</v>
      </c>
    </row>
    <row r="777" customFormat="false" ht="15" hidden="false" customHeight="false" outlineLevel="0" collapsed="false">
      <c r="A777" s="2" t="n">
        <v>776</v>
      </c>
      <c r="B777" s="3" t="s">
        <v>4313</v>
      </c>
      <c r="C777" s="2" t="s">
        <v>770</v>
      </c>
      <c r="D777" s="2" t="s">
        <v>4314</v>
      </c>
      <c r="E777" s="2" t="s">
        <v>35</v>
      </c>
      <c r="F777" s="2" t="s">
        <v>36</v>
      </c>
      <c r="G777" s="2" t="s">
        <v>71</v>
      </c>
      <c r="H777" s="2" t="s">
        <v>3980</v>
      </c>
      <c r="I777" s="3" t="s">
        <v>944</v>
      </c>
      <c r="J777" s="2" t="s">
        <v>4315</v>
      </c>
      <c r="K777" s="2" t="s">
        <v>4316</v>
      </c>
      <c r="L777" s="4" t="n">
        <v>55</v>
      </c>
      <c r="M777" s="4" t="s">
        <v>53</v>
      </c>
      <c r="N777" s="5" t="n">
        <v>55</v>
      </c>
      <c r="O777" s="6" t="n">
        <v>72</v>
      </c>
      <c r="P777" s="6" t="s">
        <v>43</v>
      </c>
      <c r="Q777" s="7" t="n">
        <v>72</v>
      </c>
      <c r="R777" s="8" t="n">
        <v>92</v>
      </c>
      <c r="S777" s="8" t="s">
        <v>54</v>
      </c>
      <c r="T777" s="9" t="n">
        <v>92</v>
      </c>
      <c r="U777" s="10" t="n">
        <v>82</v>
      </c>
      <c r="V777" s="10" t="s">
        <v>42</v>
      </c>
      <c r="W777" s="11" t="n">
        <v>82</v>
      </c>
      <c r="X777" s="12" t="n">
        <v>48</v>
      </c>
      <c r="Y777" s="12" t="s">
        <v>45</v>
      </c>
      <c r="Z777" s="13" t="n">
        <v>48</v>
      </c>
      <c r="AA777" s="14" t="n">
        <v>89</v>
      </c>
      <c r="AB777" s="14" t="s">
        <v>42</v>
      </c>
      <c r="AC777" s="15" t="n">
        <v>89</v>
      </c>
      <c r="AD777" s="2" t="n">
        <f aca="false">SUM(L777,O777,R777,U777,X777,AA777)</f>
        <v>438</v>
      </c>
      <c r="AE777" s="16" t="n">
        <f aca="false">AD777/6</f>
        <v>73</v>
      </c>
      <c r="AF777" s="2" t="str">
        <f aca="false">IF(SUM(COUNTIF(M777,"RA"),COUNTIF(P777,"RA"),COUNTIF(S777,"RA"),COUNTIF(V777,"RA"),COUNTIF(Y777,"RA"),COUNTIF(AB777,"RA"))&gt;0,"FAIL","PASS")</f>
        <v>FAIL</v>
      </c>
    </row>
    <row r="778" customFormat="false" ht="15" hidden="false" customHeight="false" outlineLevel="0" collapsed="false">
      <c r="A778" s="2" t="n">
        <v>777</v>
      </c>
      <c r="B778" s="3" t="s">
        <v>4317</v>
      </c>
      <c r="C778" s="2" t="s">
        <v>790</v>
      </c>
      <c r="D778" s="2" t="s">
        <v>4318</v>
      </c>
      <c r="E778" s="2" t="s">
        <v>57</v>
      </c>
      <c r="F778" s="2" t="s">
        <v>36</v>
      </c>
      <c r="G778" s="2" t="s">
        <v>42</v>
      </c>
      <c r="H778" s="2" t="s">
        <v>1151</v>
      </c>
      <c r="I778" s="3" t="s">
        <v>1152</v>
      </c>
      <c r="J778" s="2" t="s">
        <v>4319</v>
      </c>
      <c r="K778" s="2" t="s">
        <v>4320</v>
      </c>
      <c r="L778" s="4" t="n">
        <v>65</v>
      </c>
      <c r="M778" s="4" t="s">
        <v>44</v>
      </c>
      <c r="N778" s="5" t="n">
        <v>65</v>
      </c>
      <c r="O778" s="6" t="n">
        <v>87</v>
      </c>
      <c r="P778" s="6" t="s">
        <v>42</v>
      </c>
      <c r="Q778" s="7" t="n">
        <v>87</v>
      </c>
      <c r="R778" s="8" t="n">
        <v>98</v>
      </c>
      <c r="S778" s="8" t="s">
        <v>54</v>
      </c>
      <c r="T778" s="9" t="n">
        <v>98</v>
      </c>
      <c r="U778" s="10" t="n">
        <v>96</v>
      </c>
      <c r="V778" s="10" t="s">
        <v>54</v>
      </c>
      <c r="W778" s="11" t="n">
        <v>96</v>
      </c>
      <c r="X778" s="12" t="n">
        <v>99</v>
      </c>
      <c r="Y778" s="12" t="s">
        <v>54</v>
      </c>
      <c r="Z778" s="13" t="n">
        <v>99</v>
      </c>
      <c r="AA778" s="14" t="n">
        <v>99</v>
      </c>
      <c r="AB778" s="14" t="s">
        <v>54</v>
      </c>
      <c r="AC778" s="15" t="n">
        <v>99</v>
      </c>
      <c r="AD778" s="2" t="n">
        <f aca="false">SUM(L778,O778,R778,U778,X778,AA778)</f>
        <v>544</v>
      </c>
      <c r="AE778" s="16" t="n">
        <f aca="false">AD778/6</f>
        <v>90.6666666666667</v>
      </c>
      <c r="AF778" s="2" t="str">
        <f aca="false">IF(SUM(COUNTIF(M778,"RA"),COUNTIF(P778,"RA"),COUNTIF(S778,"RA"),COUNTIF(V778,"RA"),COUNTIF(Y778,"RA"),COUNTIF(AB778,"RA"))&gt;0,"FAIL","PASS")</f>
        <v>PASS</v>
      </c>
    </row>
    <row r="779" customFormat="false" ht="15" hidden="false" customHeight="false" outlineLevel="0" collapsed="false">
      <c r="A779" s="2" t="n">
        <v>778</v>
      </c>
      <c r="B779" s="3" t="s">
        <v>4321</v>
      </c>
      <c r="C779" s="2" t="s">
        <v>912</v>
      </c>
      <c r="D779" s="2" t="s">
        <v>4322</v>
      </c>
      <c r="E779" s="2" t="s">
        <v>57</v>
      </c>
      <c r="F779" s="2" t="s">
        <v>36</v>
      </c>
      <c r="G779" s="2" t="s">
        <v>42</v>
      </c>
      <c r="H779" s="2" t="s">
        <v>4323</v>
      </c>
      <c r="I779" s="3" t="s">
        <v>619</v>
      </c>
      <c r="J779" s="2" t="s">
        <v>4324</v>
      </c>
      <c r="K779" s="2" t="s">
        <v>4325</v>
      </c>
      <c r="L779" s="4" t="n">
        <v>87</v>
      </c>
      <c r="M779" s="4" t="s">
        <v>42</v>
      </c>
      <c r="N779" s="5" t="n">
        <v>87</v>
      </c>
      <c r="O779" s="6" t="n">
        <v>68</v>
      </c>
      <c r="P779" s="6" t="s">
        <v>44</v>
      </c>
      <c r="Q779" s="7" t="n">
        <v>68</v>
      </c>
      <c r="R779" s="8" t="n">
        <v>86</v>
      </c>
      <c r="S779" s="8" t="s">
        <v>42</v>
      </c>
      <c r="T779" s="9" t="n">
        <v>86</v>
      </c>
      <c r="U779" s="10" t="n">
        <v>68</v>
      </c>
      <c r="V779" s="10" t="s">
        <v>44</v>
      </c>
      <c r="W779" s="11" t="n">
        <v>68</v>
      </c>
      <c r="X779" s="12" t="n">
        <v>99</v>
      </c>
      <c r="Y779" s="12" t="s">
        <v>54</v>
      </c>
      <c r="Z779" s="13" t="n">
        <v>99</v>
      </c>
      <c r="AA779" s="14" t="n">
        <v>80</v>
      </c>
      <c r="AB779" s="14" t="s">
        <v>42</v>
      </c>
      <c r="AC779" s="15" t="n">
        <v>80</v>
      </c>
      <c r="AD779" s="2" t="n">
        <f aca="false">SUM(L779,O779,R779,U779,X779,AA779)</f>
        <v>488</v>
      </c>
      <c r="AE779" s="16" t="n">
        <f aca="false">AD779/6</f>
        <v>81.3333333333333</v>
      </c>
      <c r="AF779" s="2" t="str">
        <f aca="false">IF(SUM(COUNTIF(M779,"RA"),COUNTIF(P779,"RA"),COUNTIF(S779,"RA"),COUNTIF(V779,"RA"),COUNTIF(Y779,"RA"),COUNTIF(AB779,"RA"))&gt;0,"FAIL","PASS")</f>
        <v>PASS</v>
      </c>
    </row>
    <row r="780" customFormat="false" ht="15" hidden="false" customHeight="false" outlineLevel="0" collapsed="false">
      <c r="A780" s="2" t="n">
        <v>779</v>
      </c>
      <c r="B780" s="3" t="s">
        <v>4326</v>
      </c>
      <c r="C780" s="2" t="s">
        <v>912</v>
      </c>
      <c r="D780" s="2" t="s">
        <v>4327</v>
      </c>
      <c r="E780" s="2" t="s">
        <v>35</v>
      </c>
      <c r="F780" s="2" t="s">
        <v>36</v>
      </c>
      <c r="G780" s="2" t="s">
        <v>64</v>
      </c>
      <c r="H780" s="2" t="s">
        <v>4328</v>
      </c>
      <c r="I780" s="3" t="s">
        <v>4329</v>
      </c>
      <c r="J780" s="2" t="s">
        <v>4330</v>
      </c>
      <c r="K780" s="2" t="s">
        <v>4331</v>
      </c>
      <c r="L780" s="4" t="n">
        <v>61</v>
      </c>
      <c r="M780" s="4" t="s">
        <v>44</v>
      </c>
      <c r="N780" s="5" t="n">
        <v>61</v>
      </c>
      <c r="O780" s="6" t="n">
        <v>86</v>
      </c>
      <c r="P780" s="6" t="s">
        <v>42</v>
      </c>
      <c r="Q780" s="7" t="n">
        <v>86</v>
      </c>
      <c r="R780" s="8" t="n">
        <v>86</v>
      </c>
      <c r="S780" s="8" t="s">
        <v>42</v>
      </c>
      <c r="T780" s="9" t="n">
        <v>86</v>
      </c>
      <c r="U780" s="10" t="n">
        <v>82</v>
      </c>
      <c r="V780" s="10" t="s">
        <v>42</v>
      </c>
      <c r="W780" s="11" t="n">
        <v>82</v>
      </c>
      <c r="X780" s="12" t="n">
        <v>100</v>
      </c>
      <c r="Y780" s="12" t="s">
        <v>54</v>
      </c>
      <c r="Z780" s="13" t="n">
        <v>100</v>
      </c>
      <c r="AA780" s="14" t="n">
        <v>86</v>
      </c>
      <c r="AB780" s="14" t="s">
        <v>42</v>
      </c>
      <c r="AC780" s="15" t="n">
        <v>86</v>
      </c>
      <c r="AD780" s="2" t="n">
        <f aca="false">SUM(L780,O780,R780,U780,X780,AA780)</f>
        <v>501</v>
      </c>
      <c r="AE780" s="16" t="n">
        <f aca="false">AD780/6</f>
        <v>83.5</v>
      </c>
      <c r="AF780" s="2" t="str">
        <f aca="false">IF(SUM(COUNTIF(M780,"RA"),COUNTIF(P780,"RA"),COUNTIF(S780,"RA"),COUNTIF(V780,"RA"),COUNTIF(Y780,"RA"),COUNTIF(AB780,"RA"))&gt;0,"FAIL","PASS")</f>
        <v>PASS</v>
      </c>
    </row>
    <row r="781" customFormat="false" ht="15" hidden="false" customHeight="false" outlineLevel="0" collapsed="false">
      <c r="A781" s="2" t="n">
        <v>780</v>
      </c>
      <c r="B781" s="3" t="s">
        <v>4332</v>
      </c>
      <c r="C781" s="2" t="s">
        <v>912</v>
      </c>
      <c r="D781" s="2" t="s">
        <v>4333</v>
      </c>
      <c r="E781" s="2" t="s">
        <v>35</v>
      </c>
      <c r="F781" s="2" t="s">
        <v>36</v>
      </c>
      <c r="G781" s="2" t="s">
        <v>48</v>
      </c>
      <c r="H781" s="2" t="s">
        <v>4334</v>
      </c>
      <c r="I781" s="3" t="s">
        <v>243</v>
      </c>
      <c r="J781" s="2" t="s">
        <v>4335</v>
      </c>
      <c r="K781" s="2" t="s">
        <v>4336</v>
      </c>
      <c r="L781" s="4" t="n">
        <v>87</v>
      </c>
      <c r="M781" s="4" t="s">
        <v>42</v>
      </c>
      <c r="N781" s="5" t="n">
        <v>87</v>
      </c>
      <c r="O781" s="6" t="n">
        <v>95</v>
      </c>
      <c r="P781" s="6" t="s">
        <v>54</v>
      </c>
      <c r="Q781" s="7" t="n">
        <v>95</v>
      </c>
      <c r="R781" s="8" t="n">
        <v>77</v>
      </c>
      <c r="S781" s="8" t="s">
        <v>43</v>
      </c>
      <c r="T781" s="9" t="n">
        <v>77</v>
      </c>
      <c r="U781" s="10" t="n">
        <v>63</v>
      </c>
      <c r="V781" s="10" t="s">
        <v>44</v>
      </c>
      <c r="W781" s="11" t="n">
        <v>63</v>
      </c>
      <c r="X781" s="12" t="n">
        <v>75</v>
      </c>
      <c r="Y781" s="12" t="s">
        <v>43</v>
      </c>
      <c r="Z781" s="13" t="n">
        <v>75</v>
      </c>
      <c r="AA781" s="14" t="n">
        <v>90</v>
      </c>
      <c r="AB781" s="14" t="s">
        <v>54</v>
      </c>
      <c r="AC781" s="15" t="n">
        <v>90</v>
      </c>
      <c r="AD781" s="2" t="n">
        <f aca="false">SUM(L781,O781,R781,U781,X781,AA781)</f>
        <v>487</v>
      </c>
      <c r="AE781" s="16" t="n">
        <f aca="false">AD781/6</f>
        <v>81.1666666666667</v>
      </c>
      <c r="AF781" s="2" t="str">
        <f aca="false">IF(SUM(COUNTIF(M781,"RA"),COUNTIF(P781,"RA"),COUNTIF(S781,"RA"),COUNTIF(V781,"RA"),COUNTIF(Y781,"RA"),COUNTIF(AB781,"RA"))&gt;0,"FAIL","PASS")</f>
        <v>PASS</v>
      </c>
    </row>
    <row r="782" customFormat="false" ht="15" hidden="false" customHeight="false" outlineLevel="0" collapsed="false">
      <c r="A782" s="2" t="n">
        <v>781</v>
      </c>
      <c r="B782" s="3" t="s">
        <v>4337</v>
      </c>
      <c r="C782" s="2" t="s">
        <v>750</v>
      </c>
      <c r="D782" s="2" t="s">
        <v>4338</v>
      </c>
      <c r="E782" s="2" t="s">
        <v>35</v>
      </c>
      <c r="F782" s="2" t="s">
        <v>36</v>
      </c>
      <c r="G782" s="2" t="s">
        <v>64</v>
      </c>
      <c r="H782" s="2" t="s">
        <v>4339</v>
      </c>
      <c r="I782" s="3" t="s">
        <v>3073</v>
      </c>
      <c r="J782" s="2" t="s">
        <v>4340</v>
      </c>
      <c r="K782" s="2" t="s">
        <v>4341</v>
      </c>
      <c r="L782" s="4" t="n">
        <v>86</v>
      </c>
      <c r="M782" s="4" t="s">
        <v>42</v>
      </c>
      <c r="N782" s="5" t="n">
        <v>86</v>
      </c>
      <c r="O782" s="6" t="n">
        <v>77</v>
      </c>
      <c r="P782" s="6" t="s">
        <v>43</v>
      </c>
      <c r="Q782" s="7" t="n">
        <v>77</v>
      </c>
      <c r="R782" s="8" t="n">
        <v>72</v>
      </c>
      <c r="S782" s="8" t="s">
        <v>43</v>
      </c>
      <c r="T782" s="9" t="n">
        <v>72</v>
      </c>
      <c r="U782" s="10" t="n">
        <v>43</v>
      </c>
      <c r="V782" s="10" t="s">
        <v>45</v>
      </c>
      <c r="W782" s="11" t="n">
        <v>43</v>
      </c>
      <c r="X782" s="12" t="n">
        <v>71</v>
      </c>
      <c r="Y782" s="12" t="s">
        <v>43</v>
      </c>
      <c r="Z782" s="13" t="n">
        <v>71</v>
      </c>
      <c r="AA782" s="14" t="n">
        <v>98</v>
      </c>
      <c r="AB782" s="14" t="s">
        <v>54</v>
      </c>
      <c r="AC782" s="15" t="n">
        <v>98</v>
      </c>
      <c r="AD782" s="2" t="n">
        <f aca="false">SUM(L782,O782,R782,U782,X782,AA782)</f>
        <v>447</v>
      </c>
      <c r="AE782" s="16" t="n">
        <f aca="false">AD782/6</f>
        <v>74.5</v>
      </c>
      <c r="AF782" s="2" t="str">
        <f aca="false">IF(SUM(COUNTIF(M782,"RA"),COUNTIF(P782,"RA"),COUNTIF(S782,"RA"),COUNTIF(V782,"RA"),COUNTIF(Y782,"RA"),COUNTIF(AB782,"RA"))&gt;0,"FAIL","PASS")</f>
        <v>FAIL</v>
      </c>
    </row>
    <row r="783" customFormat="false" ht="15" hidden="false" customHeight="false" outlineLevel="0" collapsed="false">
      <c r="A783" s="2" t="n">
        <v>782</v>
      </c>
      <c r="B783" s="3" t="s">
        <v>4342</v>
      </c>
      <c r="C783" s="2" t="s">
        <v>790</v>
      </c>
      <c r="D783" s="2" t="s">
        <v>4343</v>
      </c>
      <c r="E783" s="2" t="s">
        <v>57</v>
      </c>
      <c r="F783" s="2" t="s">
        <v>36</v>
      </c>
      <c r="G783" s="2" t="s">
        <v>42</v>
      </c>
      <c r="H783" s="2" t="s">
        <v>4344</v>
      </c>
      <c r="I783" s="3" t="s">
        <v>117</v>
      </c>
      <c r="J783" s="2" t="s">
        <v>4345</v>
      </c>
      <c r="K783" s="2" t="s">
        <v>4346</v>
      </c>
      <c r="L783" s="4" t="n">
        <v>82</v>
      </c>
      <c r="M783" s="4" t="s">
        <v>42</v>
      </c>
      <c r="N783" s="5" t="n">
        <v>82</v>
      </c>
      <c r="O783" s="6" t="n">
        <v>65</v>
      </c>
      <c r="P783" s="6" t="s">
        <v>44</v>
      </c>
      <c r="Q783" s="7" t="n">
        <v>65</v>
      </c>
      <c r="R783" s="8" t="n">
        <v>88</v>
      </c>
      <c r="S783" s="8" t="s">
        <v>42</v>
      </c>
      <c r="T783" s="9" t="n">
        <v>88</v>
      </c>
      <c r="U783" s="10" t="n">
        <v>100</v>
      </c>
      <c r="V783" s="10" t="s">
        <v>54</v>
      </c>
      <c r="W783" s="11" t="n">
        <v>100</v>
      </c>
      <c r="X783" s="12" t="n">
        <v>71</v>
      </c>
      <c r="Y783" s="12" t="s">
        <v>43</v>
      </c>
      <c r="Z783" s="13" t="n">
        <v>71</v>
      </c>
      <c r="AA783" s="14" t="n">
        <v>98</v>
      </c>
      <c r="AB783" s="14" t="s">
        <v>54</v>
      </c>
      <c r="AC783" s="15" t="n">
        <v>98</v>
      </c>
      <c r="AD783" s="2" t="n">
        <f aca="false">SUM(L783,O783,R783,U783,X783,AA783)</f>
        <v>504</v>
      </c>
      <c r="AE783" s="16" t="n">
        <f aca="false">AD783/6</f>
        <v>84</v>
      </c>
      <c r="AF783" s="2" t="str">
        <f aca="false">IF(SUM(COUNTIF(M783,"RA"),COUNTIF(P783,"RA"),COUNTIF(S783,"RA"),COUNTIF(V783,"RA"),COUNTIF(Y783,"RA"),COUNTIF(AB783,"RA"))&gt;0,"FAIL","PASS")</f>
        <v>PASS</v>
      </c>
    </row>
    <row r="784" customFormat="false" ht="15" hidden="false" customHeight="false" outlineLevel="0" collapsed="false">
      <c r="A784" s="2" t="n">
        <v>783</v>
      </c>
      <c r="B784" s="3" t="s">
        <v>4347</v>
      </c>
      <c r="C784" s="2" t="s">
        <v>841</v>
      </c>
      <c r="D784" s="2" t="s">
        <v>4348</v>
      </c>
      <c r="E784" s="2" t="s">
        <v>35</v>
      </c>
      <c r="F784" s="2" t="s">
        <v>36</v>
      </c>
      <c r="G784" s="2" t="s">
        <v>37</v>
      </c>
      <c r="H784" s="2" t="s">
        <v>526</v>
      </c>
      <c r="I784" s="3" t="s">
        <v>4349</v>
      </c>
      <c r="J784" s="2" t="s">
        <v>4350</v>
      </c>
      <c r="K784" s="2" t="s">
        <v>4351</v>
      </c>
      <c r="L784" s="4" t="n">
        <v>50</v>
      </c>
      <c r="M784" s="4" t="s">
        <v>53</v>
      </c>
      <c r="N784" s="5" t="n">
        <v>50</v>
      </c>
      <c r="O784" s="6" t="n">
        <v>56</v>
      </c>
      <c r="P784" s="6" t="s">
        <v>53</v>
      </c>
      <c r="Q784" s="7" t="n">
        <v>56</v>
      </c>
      <c r="R784" s="8" t="n">
        <v>85</v>
      </c>
      <c r="S784" s="8" t="s">
        <v>42</v>
      </c>
      <c r="T784" s="9" t="n">
        <v>85</v>
      </c>
      <c r="U784" s="10" t="n">
        <v>86</v>
      </c>
      <c r="V784" s="10" t="s">
        <v>42</v>
      </c>
      <c r="W784" s="11" t="n">
        <v>86</v>
      </c>
      <c r="X784" s="12" t="n">
        <v>69</v>
      </c>
      <c r="Y784" s="12" t="s">
        <v>44</v>
      </c>
      <c r="Z784" s="13" t="n">
        <v>69</v>
      </c>
      <c r="AA784" s="14" t="n">
        <v>88</v>
      </c>
      <c r="AB784" s="14" t="s">
        <v>42</v>
      </c>
      <c r="AC784" s="15" t="n">
        <v>88</v>
      </c>
      <c r="AD784" s="2" t="n">
        <f aca="false">SUM(L784,O784,R784,U784,X784,AA784)</f>
        <v>434</v>
      </c>
      <c r="AE784" s="16" t="n">
        <f aca="false">AD784/6</f>
        <v>72.3333333333333</v>
      </c>
      <c r="AF784" s="2" t="str">
        <f aca="false">IF(SUM(COUNTIF(M784,"RA"),COUNTIF(P784,"RA"),COUNTIF(S784,"RA"),COUNTIF(V784,"RA"),COUNTIF(Y784,"RA"),COUNTIF(AB784,"RA"))&gt;0,"FAIL","PASS")</f>
        <v>PASS</v>
      </c>
    </row>
    <row r="785" customFormat="false" ht="15" hidden="false" customHeight="false" outlineLevel="0" collapsed="false">
      <c r="A785" s="2" t="n">
        <v>784</v>
      </c>
      <c r="B785" s="3" t="s">
        <v>4352</v>
      </c>
      <c r="C785" s="2" t="s">
        <v>757</v>
      </c>
      <c r="D785" s="2" t="s">
        <v>4353</v>
      </c>
      <c r="E785" s="2" t="s">
        <v>35</v>
      </c>
      <c r="F785" s="2" t="s">
        <v>36</v>
      </c>
      <c r="G785" s="2" t="s">
        <v>44</v>
      </c>
      <c r="H785" s="2" t="s">
        <v>2983</v>
      </c>
      <c r="I785" s="3" t="s">
        <v>3444</v>
      </c>
      <c r="J785" s="2" t="s">
        <v>4354</v>
      </c>
      <c r="K785" s="2" t="s">
        <v>4355</v>
      </c>
      <c r="L785" s="4" t="n">
        <v>79</v>
      </c>
      <c r="M785" s="4" t="s">
        <v>43</v>
      </c>
      <c r="N785" s="5" t="n">
        <v>79</v>
      </c>
      <c r="O785" s="6" t="n">
        <v>63</v>
      </c>
      <c r="P785" s="6" t="s">
        <v>44</v>
      </c>
      <c r="Q785" s="7" t="n">
        <v>63</v>
      </c>
      <c r="R785" s="8" t="n">
        <v>95</v>
      </c>
      <c r="S785" s="8" t="s">
        <v>54</v>
      </c>
      <c r="T785" s="9" t="n">
        <v>95</v>
      </c>
      <c r="U785" s="10" t="n">
        <v>45</v>
      </c>
      <c r="V785" s="10" t="s">
        <v>45</v>
      </c>
      <c r="W785" s="11" t="n">
        <v>45</v>
      </c>
      <c r="X785" s="12" t="n">
        <v>77</v>
      </c>
      <c r="Y785" s="12" t="s">
        <v>43</v>
      </c>
      <c r="Z785" s="13" t="n">
        <v>77</v>
      </c>
      <c r="AA785" s="14" t="n">
        <v>70</v>
      </c>
      <c r="AB785" s="14" t="s">
        <v>43</v>
      </c>
      <c r="AC785" s="15" t="n">
        <v>70</v>
      </c>
      <c r="AD785" s="2" t="n">
        <f aca="false">SUM(L785,O785,R785,U785,X785,AA785)</f>
        <v>429</v>
      </c>
      <c r="AE785" s="16" t="n">
        <f aca="false">AD785/6</f>
        <v>71.5</v>
      </c>
      <c r="AF785" s="2" t="str">
        <f aca="false">IF(SUM(COUNTIF(M785,"RA"),COUNTIF(P785,"RA"),COUNTIF(S785,"RA"),COUNTIF(V785,"RA"),COUNTIF(Y785,"RA"),COUNTIF(AB785,"RA"))&gt;0,"FAIL","PASS")</f>
        <v>FAIL</v>
      </c>
    </row>
    <row r="786" customFormat="false" ht="15" hidden="false" customHeight="false" outlineLevel="0" collapsed="false">
      <c r="A786" s="2" t="n">
        <v>785</v>
      </c>
      <c r="B786" s="3" t="s">
        <v>4356</v>
      </c>
      <c r="C786" s="2" t="s">
        <v>757</v>
      </c>
      <c r="D786" s="2" t="s">
        <v>4357</v>
      </c>
      <c r="E786" s="2" t="s">
        <v>57</v>
      </c>
      <c r="F786" s="2" t="s">
        <v>36</v>
      </c>
      <c r="G786" s="2" t="s">
        <v>64</v>
      </c>
      <c r="H786" s="2" t="s">
        <v>4358</v>
      </c>
      <c r="I786" s="3" t="s">
        <v>4359</v>
      </c>
      <c r="J786" s="2" t="s">
        <v>4360</v>
      </c>
      <c r="K786" s="2" t="s">
        <v>4361</v>
      </c>
      <c r="L786" s="4" t="n">
        <v>83</v>
      </c>
      <c r="M786" s="4" t="s">
        <v>42</v>
      </c>
      <c r="N786" s="5" t="n">
        <v>83</v>
      </c>
      <c r="O786" s="6" t="n">
        <v>43</v>
      </c>
      <c r="P786" s="6" t="s">
        <v>45</v>
      </c>
      <c r="Q786" s="7" t="n">
        <v>43</v>
      </c>
      <c r="R786" s="8" t="n">
        <v>85</v>
      </c>
      <c r="S786" s="8" t="s">
        <v>42</v>
      </c>
      <c r="T786" s="9" t="n">
        <v>85</v>
      </c>
      <c r="U786" s="10" t="n">
        <v>84</v>
      </c>
      <c r="V786" s="10" t="s">
        <v>42</v>
      </c>
      <c r="W786" s="11" t="n">
        <v>84</v>
      </c>
      <c r="X786" s="12" t="n">
        <v>87</v>
      </c>
      <c r="Y786" s="12" t="s">
        <v>42</v>
      </c>
      <c r="Z786" s="13" t="n">
        <v>87</v>
      </c>
      <c r="AA786" s="14" t="n">
        <v>87</v>
      </c>
      <c r="AB786" s="14" t="s">
        <v>42</v>
      </c>
      <c r="AC786" s="15" t="n">
        <v>87</v>
      </c>
      <c r="AD786" s="2" t="n">
        <f aca="false">SUM(L786,O786,R786,U786,X786,AA786)</f>
        <v>469</v>
      </c>
      <c r="AE786" s="16" t="n">
        <f aca="false">AD786/6</f>
        <v>78.1666666666667</v>
      </c>
      <c r="AF786" s="2" t="str">
        <f aca="false">IF(SUM(COUNTIF(M786,"RA"),COUNTIF(P786,"RA"),COUNTIF(S786,"RA"),COUNTIF(V786,"RA"),COUNTIF(Y786,"RA"),COUNTIF(AB786,"RA"))&gt;0,"FAIL","PASS")</f>
        <v>FAIL</v>
      </c>
    </row>
    <row r="787" customFormat="false" ht="15" hidden="false" customHeight="false" outlineLevel="0" collapsed="false">
      <c r="A787" s="2" t="n">
        <v>786</v>
      </c>
      <c r="B787" s="3" t="s">
        <v>4362</v>
      </c>
      <c r="C787" s="2" t="s">
        <v>841</v>
      </c>
      <c r="D787" s="2" t="s">
        <v>4363</v>
      </c>
      <c r="E787" s="2" t="s">
        <v>35</v>
      </c>
      <c r="F787" s="2" t="s">
        <v>36</v>
      </c>
      <c r="G787" s="2" t="s">
        <v>44</v>
      </c>
      <c r="H787" s="2" t="s">
        <v>4364</v>
      </c>
      <c r="I787" s="3" t="s">
        <v>1750</v>
      </c>
      <c r="J787" s="2" t="s">
        <v>4365</v>
      </c>
      <c r="K787" s="2" t="s">
        <v>4366</v>
      </c>
      <c r="L787" s="4" t="n">
        <v>85</v>
      </c>
      <c r="M787" s="4" t="s">
        <v>42</v>
      </c>
      <c r="N787" s="5" t="n">
        <v>85</v>
      </c>
      <c r="O787" s="6" t="n">
        <v>92</v>
      </c>
      <c r="P787" s="6" t="s">
        <v>54</v>
      </c>
      <c r="Q787" s="7" t="n">
        <v>92</v>
      </c>
      <c r="R787" s="8" t="n">
        <v>63</v>
      </c>
      <c r="S787" s="8" t="s">
        <v>44</v>
      </c>
      <c r="T787" s="9" t="n">
        <v>63</v>
      </c>
      <c r="U787" s="10" t="n">
        <v>41</v>
      </c>
      <c r="V787" s="10" t="s">
        <v>45</v>
      </c>
      <c r="W787" s="11" t="n">
        <v>41</v>
      </c>
      <c r="X787" s="12" t="n">
        <v>57</v>
      </c>
      <c r="Y787" s="12" t="s">
        <v>53</v>
      </c>
      <c r="Z787" s="13" t="n">
        <v>57</v>
      </c>
      <c r="AA787" s="14" t="n">
        <v>71</v>
      </c>
      <c r="AB787" s="14" t="s">
        <v>43</v>
      </c>
      <c r="AC787" s="15" t="n">
        <v>71</v>
      </c>
      <c r="AD787" s="2" t="n">
        <f aca="false">SUM(L787,O787,R787,U787,X787,AA787)</f>
        <v>409</v>
      </c>
      <c r="AE787" s="16" t="n">
        <f aca="false">AD787/6</f>
        <v>68.1666666666667</v>
      </c>
      <c r="AF787" s="2" t="str">
        <f aca="false">IF(SUM(COUNTIF(M787,"RA"),COUNTIF(P787,"RA"),COUNTIF(S787,"RA"),COUNTIF(V787,"RA"),COUNTIF(Y787,"RA"),COUNTIF(AB787,"RA"))&gt;0,"FAIL","PASS")</f>
        <v>FAIL</v>
      </c>
    </row>
    <row r="788" customFormat="false" ht="15" hidden="false" customHeight="false" outlineLevel="0" collapsed="false">
      <c r="A788" s="2" t="n">
        <v>787</v>
      </c>
      <c r="B788" s="3" t="s">
        <v>4367</v>
      </c>
      <c r="C788" s="2" t="s">
        <v>770</v>
      </c>
      <c r="D788" s="2" t="s">
        <v>4368</v>
      </c>
      <c r="E788" s="2" t="s">
        <v>57</v>
      </c>
      <c r="F788" s="2" t="s">
        <v>36</v>
      </c>
      <c r="G788" s="2" t="s">
        <v>42</v>
      </c>
      <c r="H788" s="2" t="s">
        <v>4369</v>
      </c>
      <c r="I788" s="3" t="s">
        <v>4370</v>
      </c>
      <c r="J788" s="2" t="s">
        <v>4371</v>
      </c>
      <c r="K788" s="2" t="s">
        <v>4372</v>
      </c>
      <c r="L788" s="4" t="n">
        <v>83</v>
      </c>
      <c r="M788" s="4" t="s">
        <v>42</v>
      </c>
      <c r="N788" s="5" t="n">
        <v>83</v>
      </c>
      <c r="O788" s="6" t="n">
        <v>79</v>
      </c>
      <c r="P788" s="6" t="s">
        <v>43</v>
      </c>
      <c r="Q788" s="7" t="n">
        <v>79</v>
      </c>
      <c r="R788" s="8" t="n">
        <v>87</v>
      </c>
      <c r="S788" s="8" t="s">
        <v>42</v>
      </c>
      <c r="T788" s="9" t="n">
        <v>87</v>
      </c>
      <c r="U788" s="10" t="n">
        <v>91</v>
      </c>
      <c r="V788" s="10" t="s">
        <v>54</v>
      </c>
      <c r="W788" s="11" t="n">
        <v>91</v>
      </c>
      <c r="X788" s="12" t="n">
        <v>46</v>
      </c>
      <c r="Y788" s="12" t="s">
        <v>45</v>
      </c>
      <c r="Z788" s="13" t="n">
        <v>46</v>
      </c>
      <c r="AA788" s="14" t="n">
        <v>68</v>
      </c>
      <c r="AB788" s="14" t="s">
        <v>44</v>
      </c>
      <c r="AC788" s="15" t="n">
        <v>68</v>
      </c>
      <c r="AD788" s="2" t="n">
        <f aca="false">SUM(L788,O788,R788,U788,X788,AA788)</f>
        <v>454</v>
      </c>
      <c r="AE788" s="16" t="n">
        <f aca="false">AD788/6</f>
        <v>75.6666666666667</v>
      </c>
      <c r="AF788" s="2" t="str">
        <f aca="false">IF(SUM(COUNTIF(M788,"RA"),COUNTIF(P788,"RA"),COUNTIF(S788,"RA"),COUNTIF(V788,"RA"),COUNTIF(Y788,"RA"),COUNTIF(AB788,"RA"))&gt;0,"FAIL","PASS")</f>
        <v>FAIL</v>
      </c>
    </row>
    <row r="789" customFormat="false" ht="15" hidden="false" customHeight="false" outlineLevel="0" collapsed="false">
      <c r="A789" s="2" t="n">
        <v>788</v>
      </c>
      <c r="B789" s="3" t="s">
        <v>4373</v>
      </c>
      <c r="C789" s="2" t="s">
        <v>841</v>
      </c>
      <c r="D789" s="2" t="s">
        <v>4374</v>
      </c>
      <c r="E789" s="2" t="s">
        <v>57</v>
      </c>
      <c r="F789" s="2" t="s">
        <v>36</v>
      </c>
      <c r="G789" s="2" t="s">
        <v>48</v>
      </c>
      <c r="H789" s="2" t="s">
        <v>2983</v>
      </c>
      <c r="I789" s="3" t="s">
        <v>4375</v>
      </c>
      <c r="J789" s="2" t="s">
        <v>4376</v>
      </c>
      <c r="K789" s="2" t="s">
        <v>4377</v>
      </c>
      <c r="L789" s="4" t="n">
        <v>70</v>
      </c>
      <c r="M789" s="4" t="s">
        <v>43</v>
      </c>
      <c r="N789" s="5" t="n">
        <v>70</v>
      </c>
      <c r="O789" s="6" t="n">
        <v>76</v>
      </c>
      <c r="P789" s="6" t="s">
        <v>43</v>
      </c>
      <c r="Q789" s="7" t="n">
        <v>76</v>
      </c>
      <c r="R789" s="8" t="n">
        <v>89</v>
      </c>
      <c r="S789" s="8" t="s">
        <v>42</v>
      </c>
      <c r="T789" s="9" t="n">
        <v>89</v>
      </c>
      <c r="U789" s="10" t="n">
        <v>84</v>
      </c>
      <c r="V789" s="10" t="s">
        <v>42</v>
      </c>
      <c r="W789" s="11" t="n">
        <v>84</v>
      </c>
      <c r="X789" s="12" t="n">
        <v>43</v>
      </c>
      <c r="Y789" s="12" t="s">
        <v>45</v>
      </c>
      <c r="Z789" s="13" t="n">
        <v>43</v>
      </c>
      <c r="AA789" s="14" t="n">
        <v>81</v>
      </c>
      <c r="AB789" s="14" t="s">
        <v>42</v>
      </c>
      <c r="AC789" s="15" t="n">
        <v>81</v>
      </c>
      <c r="AD789" s="2" t="n">
        <f aca="false">SUM(L789,O789,R789,U789,X789,AA789)</f>
        <v>443</v>
      </c>
      <c r="AE789" s="16" t="n">
        <f aca="false">AD789/6</f>
        <v>73.8333333333333</v>
      </c>
      <c r="AF789" s="2" t="str">
        <f aca="false">IF(SUM(COUNTIF(M789,"RA"),COUNTIF(P789,"RA"),COUNTIF(S789,"RA"),COUNTIF(V789,"RA"),COUNTIF(Y789,"RA"),COUNTIF(AB789,"RA"))&gt;0,"FAIL","PASS")</f>
        <v>FAIL</v>
      </c>
    </row>
    <row r="790" customFormat="false" ht="15" hidden="false" customHeight="false" outlineLevel="0" collapsed="false">
      <c r="A790" s="2" t="n">
        <v>789</v>
      </c>
      <c r="B790" s="3" t="s">
        <v>4378</v>
      </c>
      <c r="C790" s="2" t="s">
        <v>859</v>
      </c>
      <c r="D790" s="2" t="s">
        <v>4379</v>
      </c>
      <c r="E790" s="2" t="s">
        <v>35</v>
      </c>
      <c r="F790" s="2" t="s">
        <v>36</v>
      </c>
      <c r="G790" s="2" t="s">
        <v>48</v>
      </c>
      <c r="H790" s="2" t="s">
        <v>4380</v>
      </c>
      <c r="I790" s="3" t="s">
        <v>2978</v>
      </c>
      <c r="J790" s="2" t="s">
        <v>4381</v>
      </c>
      <c r="K790" s="2" t="s">
        <v>4382</v>
      </c>
      <c r="L790" s="4" t="n">
        <v>69</v>
      </c>
      <c r="M790" s="4" t="s">
        <v>44</v>
      </c>
      <c r="N790" s="5" t="n">
        <v>69</v>
      </c>
      <c r="O790" s="6" t="n">
        <v>61</v>
      </c>
      <c r="P790" s="6" t="s">
        <v>44</v>
      </c>
      <c r="Q790" s="7" t="n">
        <v>61</v>
      </c>
      <c r="R790" s="8" t="n">
        <v>42</v>
      </c>
      <c r="S790" s="8" t="s">
        <v>45</v>
      </c>
      <c r="T790" s="9" t="n">
        <v>42</v>
      </c>
      <c r="U790" s="10" t="n">
        <v>40</v>
      </c>
      <c r="V790" s="10" t="s">
        <v>45</v>
      </c>
      <c r="W790" s="11" t="n">
        <v>40</v>
      </c>
      <c r="X790" s="12" t="n">
        <v>47</v>
      </c>
      <c r="Y790" s="12" t="s">
        <v>45</v>
      </c>
      <c r="Z790" s="13" t="n">
        <v>47</v>
      </c>
      <c r="AA790" s="14" t="n">
        <v>66</v>
      </c>
      <c r="AB790" s="14" t="s">
        <v>44</v>
      </c>
      <c r="AC790" s="15" t="n">
        <v>66</v>
      </c>
      <c r="AD790" s="2" t="n">
        <f aca="false">SUM(L790,O790,R790,U790,X790,AA790)</f>
        <v>325</v>
      </c>
      <c r="AE790" s="16" t="n">
        <f aca="false">AD790/6</f>
        <v>54.1666666666667</v>
      </c>
      <c r="AF790" s="2" t="str">
        <f aca="false">IF(SUM(COUNTIF(M790,"RA"),COUNTIF(P790,"RA"),COUNTIF(S790,"RA"),COUNTIF(V790,"RA"),COUNTIF(Y790,"RA"),COUNTIF(AB790,"RA"))&gt;0,"FAIL","PASS")</f>
        <v>FAIL</v>
      </c>
    </row>
    <row r="791" customFormat="false" ht="15" hidden="false" customHeight="false" outlineLevel="0" collapsed="false">
      <c r="A791" s="2" t="n">
        <v>790</v>
      </c>
      <c r="B791" s="3" t="s">
        <v>4383</v>
      </c>
      <c r="C791" s="2" t="s">
        <v>803</v>
      </c>
      <c r="D791" s="2" t="s">
        <v>4384</v>
      </c>
      <c r="E791" s="2" t="s">
        <v>57</v>
      </c>
      <c r="F791" s="2" t="s">
        <v>36</v>
      </c>
      <c r="G791" s="2" t="s">
        <v>91</v>
      </c>
      <c r="H791" s="2" t="s">
        <v>4385</v>
      </c>
      <c r="I791" s="3" t="s">
        <v>1405</v>
      </c>
      <c r="J791" s="2" t="s">
        <v>4386</v>
      </c>
      <c r="K791" s="2" t="s">
        <v>4387</v>
      </c>
      <c r="L791" s="4" t="n">
        <v>98</v>
      </c>
      <c r="M791" s="4" t="s">
        <v>54</v>
      </c>
      <c r="N791" s="5" t="n">
        <v>98</v>
      </c>
      <c r="O791" s="6" t="n">
        <v>58</v>
      </c>
      <c r="P791" s="6" t="s">
        <v>53</v>
      </c>
      <c r="Q791" s="7" t="n">
        <v>58</v>
      </c>
      <c r="R791" s="8" t="n">
        <v>64</v>
      </c>
      <c r="S791" s="8" t="s">
        <v>44</v>
      </c>
      <c r="T791" s="9" t="n">
        <v>64</v>
      </c>
      <c r="U791" s="10" t="n">
        <v>84</v>
      </c>
      <c r="V791" s="10" t="s">
        <v>42</v>
      </c>
      <c r="W791" s="11" t="n">
        <v>84</v>
      </c>
      <c r="X791" s="12" t="n">
        <v>89</v>
      </c>
      <c r="Y791" s="12" t="s">
        <v>42</v>
      </c>
      <c r="Z791" s="13" t="n">
        <v>89</v>
      </c>
      <c r="AA791" s="14" t="n">
        <v>87</v>
      </c>
      <c r="AB791" s="14" t="s">
        <v>42</v>
      </c>
      <c r="AC791" s="15" t="n">
        <v>87</v>
      </c>
      <c r="AD791" s="2" t="n">
        <f aca="false">SUM(L791,O791,R791,U791,X791,AA791)</f>
        <v>480</v>
      </c>
      <c r="AE791" s="16" t="n">
        <f aca="false">AD791/6</f>
        <v>80</v>
      </c>
      <c r="AF791" s="2" t="str">
        <f aca="false">IF(SUM(COUNTIF(M791,"RA"),COUNTIF(P791,"RA"),COUNTIF(S791,"RA"),COUNTIF(V791,"RA"),COUNTIF(Y791,"RA"),COUNTIF(AB791,"RA"))&gt;0,"FAIL","PASS")</f>
        <v>PASS</v>
      </c>
    </row>
    <row r="792" customFormat="false" ht="15" hidden="false" customHeight="false" outlineLevel="0" collapsed="false">
      <c r="A792" s="2" t="n">
        <v>791</v>
      </c>
      <c r="B792" s="3" t="s">
        <v>4388</v>
      </c>
      <c r="C792" s="2" t="s">
        <v>750</v>
      </c>
      <c r="D792" s="2" t="s">
        <v>4389</v>
      </c>
      <c r="E792" s="2" t="s">
        <v>57</v>
      </c>
      <c r="F792" s="2" t="s">
        <v>36</v>
      </c>
      <c r="G792" s="2" t="s">
        <v>78</v>
      </c>
      <c r="H792" s="2" t="s">
        <v>4390</v>
      </c>
      <c r="I792" s="3" t="s">
        <v>1739</v>
      </c>
      <c r="J792" s="2" t="s">
        <v>4391</v>
      </c>
      <c r="K792" s="2" t="s">
        <v>4392</v>
      </c>
      <c r="L792" s="4" t="n">
        <v>85</v>
      </c>
      <c r="M792" s="4" t="s">
        <v>42</v>
      </c>
      <c r="N792" s="5" t="n">
        <v>85</v>
      </c>
      <c r="O792" s="6" t="n">
        <v>47</v>
      </c>
      <c r="P792" s="6" t="s">
        <v>45</v>
      </c>
      <c r="Q792" s="7" t="n">
        <v>47</v>
      </c>
      <c r="R792" s="8" t="n">
        <v>44</v>
      </c>
      <c r="S792" s="8" t="s">
        <v>45</v>
      </c>
      <c r="T792" s="9" t="n">
        <v>44</v>
      </c>
      <c r="U792" s="10" t="n">
        <v>73</v>
      </c>
      <c r="V792" s="10" t="s">
        <v>43</v>
      </c>
      <c r="W792" s="11" t="n">
        <v>73</v>
      </c>
      <c r="X792" s="12" t="n">
        <v>82</v>
      </c>
      <c r="Y792" s="12" t="s">
        <v>42</v>
      </c>
      <c r="Z792" s="13" t="n">
        <v>82</v>
      </c>
      <c r="AA792" s="14" t="n">
        <v>65</v>
      </c>
      <c r="AB792" s="14" t="s">
        <v>44</v>
      </c>
      <c r="AC792" s="15" t="n">
        <v>65</v>
      </c>
      <c r="AD792" s="2" t="n">
        <f aca="false">SUM(L792,O792,R792,U792,X792,AA792)</f>
        <v>396</v>
      </c>
      <c r="AE792" s="16" t="n">
        <f aca="false">AD792/6</f>
        <v>66</v>
      </c>
      <c r="AF792" s="2" t="str">
        <f aca="false">IF(SUM(COUNTIF(M792,"RA"),COUNTIF(P792,"RA"),COUNTIF(S792,"RA"),COUNTIF(V792,"RA"),COUNTIF(Y792,"RA"),COUNTIF(AB792,"RA"))&gt;0,"FAIL","PASS")</f>
        <v>FAIL</v>
      </c>
    </row>
    <row r="793" customFormat="false" ht="15" hidden="false" customHeight="false" outlineLevel="0" collapsed="false">
      <c r="A793" s="2" t="n">
        <v>792</v>
      </c>
      <c r="B793" s="3" t="s">
        <v>4393</v>
      </c>
      <c r="C793" s="2" t="s">
        <v>803</v>
      </c>
      <c r="D793" s="2" t="s">
        <v>4394</v>
      </c>
      <c r="E793" s="2" t="s">
        <v>35</v>
      </c>
      <c r="F793" s="2" t="s">
        <v>36</v>
      </c>
      <c r="G793" s="2" t="s">
        <v>48</v>
      </c>
      <c r="H793" s="2" t="s">
        <v>4390</v>
      </c>
      <c r="I793" s="3" t="s">
        <v>4395</v>
      </c>
      <c r="J793" s="2" t="s">
        <v>4396</v>
      </c>
      <c r="K793" s="2" t="s">
        <v>4397</v>
      </c>
      <c r="L793" s="4" t="n">
        <v>57</v>
      </c>
      <c r="M793" s="4" t="s">
        <v>53</v>
      </c>
      <c r="N793" s="5" t="n">
        <v>57</v>
      </c>
      <c r="O793" s="6" t="n">
        <v>79</v>
      </c>
      <c r="P793" s="6" t="s">
        <v>43</v>
      </c>
      <c r="Q793" s="7" t="n">
        <v>79</v>
      </c>
      <c r="R793" s="8" t="n">
        <v>70</v>
      </c>
      <c r="S793" s="8" t="s">
        <v>43</v>
      </c>
      <c r="T793" s="9" t="n">
        <v>70</v>
      </c>
      <c r="U793" s="10" t="n">
        <v>72</v>
      </c>
      <c r="V793" s="10" t="s">
        <v>43</v>
      </c>
      <c r="W793" s="11" t="n">
        <v>72</v>
      </c>
      <c r="X793" s="12" t="n">
        <v>98</v>
      </c>
      <c r="Y793" s="12" t="s">
        <v>54</v>
      </c>
      <c r="Z793" s="13" t="n">
        <v>98</v>
      </c>
      <c r="AA793" s="14" t="n">
        <v>83</v>
      </c>
      <c r="AB793" s="14" t="s">
        <v>42</v>
      </c>
      <c r="AC793" s="15" t="n">
        <v>83</v>
      </c>
      <c r="AD793" s="2" t="n">
        <f aca="false">SUM(L793,O793,R793,U793,X793,AA793)</f>
        <v>459</v>
      </c>
      <c r="AE793" s="16" t="n">
        <f aca="false">AD793/6</f>
        <v>76.5</v>
      </c>
      <c r="AF793" s="2" t="str">
        <f aca="false">IF(SUM(COUNTIF(M793,"RA"),COUNTIF(P793,"RA"),COUNTIF(S793,"RA"),COUNTIF(V793,"RA"),COUNTIF(Y793,"RA"),COUNTIF(AB793,"RA"))&gt;0,"FAIL","PASS")</f>
        <v>PASS</v>
      </c>
    </row>
    <row r="794" customFormat="false" ht="15" hidden="false" customHeight="false" outlineLevel="0" collapsed="false">
      <c r="A794" s="2" t="n">
        <v>793</v>
      </c>
      <c r="B794" s="3" t="s">
        <v>4398</v>
      </c>
      <c r="C794" s="2" t="s">
        <v>770</v>
      </c>
      <c r="D794" s="2" t="s">
        <v>4399</v>
      </c>
      <c r="E794" s="2" t="s">
        <v>35</v>
      </c>
      <c r="F794" s="2" t="s">
        <v>36</v>
      </c>
      <c r="G794" s="2" t="s">
        <v>48</v>
      </c>
      <c r="H794" s="2" t="s">
        <v>4400</v>
      </c>
      <c r="I794" s="3" t="s">
        <v>3695</v>
      </c>
      <c r="J794" s="2" t="s">
        <v>4401</v>
      </c>
      <c r="K794" s="2" t="s">
        <v>4402</v>
      </c>
      <c r="L794" s="4" t="n">
        <v>59</v>
      </c>
      <c r="M794" s="4" t="s">
        <v>53</v>
      </c>
      <c r="N794" s="5" t="n">
        <v>59</v>
      </c>
      <c r="O794" s="6" t="n">
        <v>56</v>
      </c>
      <c r="P794" s="6" t="s">
        <v>53</v>
      </c>
      <c r="Q794" s="7" t="n">
        <v>56</v>
      </c>
      <c r="R794" s="8" t="n">
        <v>87</v>
      </c>
      <c r="S794" s="8" t="s">
        <v>42</v>
      </c>
      <c r="T794" s="9" t="n">
        <v>87</v>
      </c>
      <c r="U794" s="10" t="n">
        <v>63</v>
      </c>
      <c r="V794" s="10" t="s">
        <v>44</v>
      </c>
      <c r="W794" s="11" t="n">
        <v>63</v>
      </c>
      <c r="X794" s="12" t="n">
        <v>83</v>
      </c>
      <c r="Y794" s="12" t="s">
        <v>42</v>
      </c>
      <c r="Z794" s="13" t="n">
        <v>83</v>
      </c>
      <c r="AA794" s="14" t="n">
        <v>78</v>
      </c>
      <c r="AB794" s="14" t="s">
        <v>43</v>
      </c>
      <c r="AC794" s="15" t="n">
        <v>78</v>
      </c>
      <c r="AD794" s="2" t="n">
        <f aca="false">SUM(L794,O794,R794,U794,X794,AA794)</f>
        <v>426</v>
      </c>
      <c r="AE794" s="16" t="n">
        <f aca="false">AD794/6</f>
        <v>71</v>
      </c>
      <c r="AF794" s="2" t="str">
        <f aca="false">IF(SUM(COUNTIF(M794,"RA"),COUNTIF(P794,"RA"),COUNTIF(S794,"RA"),COUNTIF(V794,"RA"),COUNTIF(Y794,"RA"),COUNTIF(AB794,"RA"))&gt;0,"FAIL","PASS")</f>
        <v>PASS</v>
      </c>
    </row>
    <row r="795" customFormat="false" ht="15" hidden="false" customHeight="false" outlineLevel="0" collapsed="false">
      <c r="A795" s="2" t="n">
        <v>794</v>
      </c>
      <c r="B795" s="3" t="s">
        <v>4403</v>
      </c>
      <c r="C795" s="2" t="s">
        <v>912</v>
      </c>
      <c r="D795" s="2" t="s">
        <v>4404</v>
      </c>
      <c r="E795" s="2" t="s">
        <v>57</v>
      </c>
      <c r="F795" s="2" t="s">
        <v>36</v>
      </c>
      <c r="G795" s="2" t="s">
        <v>91</v>
      </c>
      <c r="H795" s="2" t="s">
        <v>4405</v>
      </c>
      <c r="I795" s="3" t="s">
        <v>3399</v>
      </c>
      <c r="J795" s="2" t="s">
        <v>4406</v>
      </c>
      <c r="K795" s="2" t="s">
        <v>4407</v>
      </c>
      <c r="L795" s="4" t="n">
        <v>99</v>
      </c>
      <c r="M795" s="4" t="s">
        <v>54</v>
      </c>
      <c r="N795" s="5" t="n">
        <v>99</v>
      </c>
      <c r="O795" s="6" t="n">
        <v>81</v>
      </c>
      <c r="P795" s="6" t="s">
        <v>42</v>
      </c>
      <c r="Q795" s="7" t="n">
        <v>81</v>
      </c>
      <c r="R795" s="8" t="n">
        <v>84</v>
      </c>
      <c r="S795" s="8" t="s">
        <v>42</v>
      </c>
      <c r="T795" s="9" t="n">
        <v>84</v>
      </c>
      <c r="U795" s="10" t="n">
        <v>42</v>
      </c>
      <c r="V795" s="10" t="s">
        <v>45</v>
      </c>
      <c r="W795" s="11" t="n">
        <v>42</v>
      </c>
      <c r="X795" s="12" t="n">
        <v>61</v>
      </c>
      <c r="Y795" s="12" t="s">
        <v>44</v>
      </c>
      <c r="Z795" s="13" t="n">
        <v>61</v>
      </c>
      <c r="AA795" s="14" t="n">
        <v>40</v>
      </c>
      <c r="AB795" s="14" t="s">
        <v>45</v>
      </c>
      <c r="AC795" s="15" t="n">
        <v>40</v>
      </c>
      <c r="AD795" s="2" t="n">
        <f aca="false">SUM(L795,O795,R795,U795,X795,AA795)</f>
        <v>407</v>
      </c>
      <c r="AE795" s="16" t="n">
        <f aca="false">AD795/6</f>
        <v>67.8333333333333</v>
      </c>
      <c r="AF795" s="2" t="str">
        <f aca="false">IF(SUM(COUNTIF(M795,"RA"),COUNTIF(P795,"RA"),COUNTIF(S795,"RA"),COUNTIF(V795,"RA"),COUNTIF(Y795,"RA"),COUNTIF(AB795,"RA"))&gt;0,"FAIL","PASS")</f>
        <v>FAIL</v>
      </c>
    </row>
    <row r="796" customFormat="false" ht="15" hidden="false" customHeight="false" outlineLevel="0" collapsed="false">
      <c r="A796" s="2" t="n">
        <v>795</v>
      </c>
      <c r="B796" s="3" t="s">
        <v>4408</v>
      </c>
      <c r="C796" s="2" t="s">
        <v>770</v>
      </c>
      <c r="D796" s="2" t="s">
        <v>4409</v>
      </c>
      <c r="E796" s="2" t="s">
        <v>35</v>
      </c>
      <c r="F796" s="2" t="s">
        <v>36</v>
      </c>
      <c r="G796" s="2" t="s">
        <v>71</v>
      </c>
      <c r="H796" s="2" t="s">
        <v>4410</v>
      </c>
      <c r="I796" s="3" t="s">
        <v>4411</v>
      </c>
      <c r="J796" s="2" t="s">
        <v>4412</v>
      </c>
      <c r="K796" s="2" t="s">
        <v>4413</v>
      </c>
      <c r="L796" s="4" t="n">
        <v>72</v>
      </c>
      <c r="M796" s="4" t="s">
        <v>43</v>
      </c>
      <c r="N796" s="5" t="n">
        <v>72</v>
      </c>
      <c r="O796" s="6" t="n">
        <v>76</v>
      </c>
      <c r="P796" s="6" t="s">
        <v>43</v>
      </c>
      <c r="Q796" s="7" t="n">
        <v>76</v>
      </c>
      <c r="R796" s="8" t="n">
        <v>73</v>
      </c>
      <c r="S796" s="8" t="s">
        <v>43</v>
      </c>
      <c r="T796" s="9" t="n">
        <v>73</v>
      </c>
      <c r="U796" s="10" t="n">
        <v>84</v>
      </c>
      <c r="V796" s="10" t="s">
        <v>42</v>
      </c>
      <c r="W796" s="11" t="n">
        <v>84</v>
      </c>
      <c r="X796" s="12" t="n">
        <v>43</v>
      </c>
      <c r="Y796" s="12" t="s">
        <v>45</v>
      </c>
      <c r="Z796" s="13" t="n">
        <v>43</v>
      </c>
      <c r="AA796" s="14" t="n">
        <v>91</v>
      </c>
      <c r="AB796" s="14" t="s">
        <v>54</v>
      </c>
      <c r="AC796" s="15" t="n">
        <v>91</v>
      </c>
      <c r="AD796" s="2" t="n">
        <f aca="false">SUM(L796,O796,R796,U796,X796,AA796)</f>
        <v>439</v>
      </c>
      <c r="AE796" s="16" t="n">
        <f aca="false">AD796/6</f>
        <v>73.1666666666667</v>
      </c>
      <c r="AF796" s="2" t="str">
        <f aca="false">IF(SUM(COUNTIF(M796,"RA"),COUNTIF(P796,"RA"),COUNTIF(S796,"RA"),COUNTIF(V796,"RA"),COUNTIF(Y796,"RA"),COUNTIF(AB796,"RA"))&gt;0,"FAIL","PASS")</f>
        <v>FAIL</v>
      </c>
    </row>
    <row r="797" customFormat="false" ht="15" hidden="false" customHeight="false" outlineLevel="0" collapsed="false">
      <c r="A797" s="2" t="n">
        <v>796</v>
      </c>
      <c r="B797" s="3" t="s">
        <v>4414</v>
      </c>
      <c r="C797" s="2" t="s">
        <v>783</v>
      </c>
      <c r="D797" s="2" t="s">
        <v>4415</v>
      </c>
      <c r="E797" s="2" t="s">
        <v>35</v>
      </c>
      <c r="F797" s="2" t="s">
        <v>36</v>
      </c>
      <c r="G797" s="2" t="s">
        <v>91</v>
      </c>
      <c r="H797" s="2" t="s">
        <v>4416</v>
      </c>
      <c r="I797" s="3" t="s">
        <v>4417</v>
      </c>
      <c r="J797" s="2" t="s">
        <v>4418</v>
      </c>
      <c r="K797" s="2" t="s">
        <v>4419</v>
      </c>
      <c r="L797" s="4" t="n">
        <v>60</v>
      </c>
      <c r="M797" s="4" t="s">
        <v>44</v>
      </c>
      <c r="N797" s="5" t="n">
        <v>60</v>
      </c>
      <c r="O797" s="6" t="n">
        <v>80</v>
      </c>
      <c r="P797" s="6" t="s">
        <v>42</v>
      </c>
      <c r="Q797" s="7" t="n">
        <v>80</v>
      </c>
      <c r="R797" s="8" t="n">
        <v>53</v>
      </c>
      <c r="S797" s="8" t="s">
        <v>53</v>
      </c>
      <c r="T797" s="9" t="n">
        <v>53</v>
      </c>
      <c r="U797" s="10" t="n">
        <v>96</v>
      </c>
      <c r="V797" s="10" t="s">
        <v>54</v>
      </c>
      <c r="W797" s="11" t="n">
        <v>96</v>
      </c>
      <c r="X797" s="12" t="n">
        <v>66</v>
      </c>
      <c r="Y797" s="12" t="s">
        <v>44</v>
      </c>
      <c r="Z797" s="13" t="n">
        <v>66</v>
      </c>
      <c r="AA797" s="14" t="n">
        <v>75</v>
      </c>
      <c r="AB797" s="14" t="s">
        <v>43</v>
      </c>
      <c r="AC797" s="15" t="n">
        <v>75</v>
      </c>
      <c r="AD797" s="2" t="n">
        <f aca="false">SUM(L797,O797,R797,U797,X797,AA797)</f>
        <v>430</v>
      </c>
      <c r="AE797" s="16" t="n">
        <f aca="false">AD797/6</f>
        <v>71.6666666666667</v>
      </c>
      <c r="AF797" s="2" t="str">
        <f aca="false">IF(SUM(COUNTIF(M797,"RA"),COUNTIF(P797,"RA"),COUNTIF(S797,"RA"),COUNTIF(V797,"RA"),COUNTIF(Y797,"RA"),COUNTIF(AB797,"RA"))&gt;0,"FAIL","PASS")</f>
        <v>PASS</v>
      </c>
    </row>
    <row r="798" customFormat="false" ht="15" hidden="false" customHeight="false" outlineLevel="0" collapsed="false">
      <c r="A798" s="2" t="n">
        <v>797</v>
      </c>
      <c r="B798" s="3" t="s">
        <v>4420</v>
      </c>
      <c r="C798" s="2" t="s">
        <v>757</v>
      </c>
      <c r="D798" s="2" t="s">
        <v>4421</v>
      </c>
      <c r="E798" s="2" t="s">
        <v>57</v>
      </c>
      <c r="F798" s="2" t="s">
        <v>36</v>
      </c>
      <c r="G798" s="2" t="s">
        <v>71</v>
      </c>
      <c r="H798" s="2" t="s">
        <v>2129</v>
      </c>
      <c r="I798" s="3" t="s">
        <v>2828</v>
      </c>
      <c r="J798" s="2" t="s">
        <v>4422</v>
      </c>
      <c r="K798" s="2" t="s">
        <v>4423</v>
      </c>
      <c r="L798" s="4" t="n">
        <v>100</v>
      </c>
      <c r="M798" s="4" t="s">
        <v>54</v>
      </c>
      <c r="N798" s="5" t="n">
        <v>100</v>
      </c>
      <c r="O798" s="6" t="n">
        <v>86</v>
      </c>
      <c r="P798" s="6" t="s">
        <v>42</v>
      </c>
      <c r="Q798" s="7" t="n">
        <v>86</v>
      </c>
      <c r="R798" s="8" t="n">
        <v>79</v>
      </c>
      <c r="S798" s="8" t="s">
        <v>43</v>
      </c>
      <c r="T798" s="9" t="n">
        <v>79</v>
      </c>
      <c r="U798" s="10" t="n">
        <v>80</v>
      </c>
      <c r="V798" s="10" t="s">
        <v>42</v>
      </c>
      <c r="W798" s="11" t="n">
        <v>80</v>
      </c>
      <c r="X798" s="12" t="n">
        <v>82</v>
      </c>
      <c r="Y798" s="12" t="s">
        <v>42</v>
      </c>
      <c r="Z798" s="13" t="n">
        <v>82</v>
      </c>
      <c r="AA798" s="14" t="n">
        <v>78</v>
      </c>
      <c r="AB798" s="14" t="s">
        <v>43</v>
      </c>
      <c r="AC798" s="15" t="n">
        <v>78</v>
      </c>
      <c r="AD798" s="2" t="n">
        <f aca="false">SUM(L798,O798,R798,U798,X798,AA798)</f>
        <v>505</v>
      </c>
      <c r="AE798" s="16" t="n">
        <f aca="false">AD798/6</f>
        <v>84.1666666666667</v>
      </c>
      <c r="AF798" s="2" t="str">
        <f aca="false">IF(SUM(COUNTIF(M798,"RA"),COUNTIF(P798,"RA"),COUNTIF(S798,"RA"),COUNTIF(V798,"RA"),COUNTIF(Y798,"RA"),COUNTIF(AB798,"RA"))&gt;0,"FAIL","PASS")</f>
        <v>PASS</v>
      </c>
    </row>
    <row r="799" customFormat="false" ht="15" hidden="false" customHeight="false" outlineLevel="0" collapsed="false">
      <c r="A799" s="2" t="n">
        <v>798</v>
      </c>
      <c r="B799" s="3" t="s">
        <v>4424</v>
      </c>
      <c r="C799" s="2" t="s">
        <v>790</v>
      </c>
      <c r="D799" s="2" t="s">
        <v>4425</v>
      </c>
      <c r="E799" s="2" t="s">
        <v>57</v>
      </c>
      <c r="F799" s="2" t="s">
        <v>36</v>
      </c>
      <c r="G799" s="2" t="s">
        <v>44</v>
      </c>
      <c r="H799" s="2" t="s">
        <v>4426</v>
      </c>
      <c r="I799" s="3" t="s">
        <v>485</v>
      </c>
      <c r="J799" s="2" t="s">
        <v>4427</v>
      </c>
      <c r="K799" s="2" t="s">
        <v>4428</v>
      </c>
      <c r="L799" s="4" t="n">
        <v>82</v>
      </c>
      <c r="M799" s="4" t="s">
        <v>42</v>
      </c>
      <c r="N799" s="5" t="n">
        <v>82</v>
      </c>
      <c r="O799" s="6" t="n">
        <v>63</v>
      </c>
      <c r="P799" s="6" t="s">
        <v>44</v>
      </c>
      <c r="Q799" s="7" t="n">
        <v>63</v>
      </c>
      <c r="R799" s="8" t="n">
        <v>84</v>
      </c>
      <c r="S799" s="8" t="s">
        <v>42</v>
      </c>
      <c r="T799" s="9" t="n">
        <v>84</v>
      </c>
      <c r="U799" s="10" t="n">
        <v>69</v>
      </c>
      <c r="V799" s="10" t="s">
        <v>44</v>
      </c>
      <c r="W799" s="11" t="n">
        <v>69</v>
      </c>
      <c r="X799" s="12" t="n">
        <v>65</v>
      </c>
      <c r="Y799" s="12" t="s">
        <v>44</v>
      </c>
      <c r="Z799" s="13" t="n">
        <v>65</v>
      </c>
      <c r="AA799" s="14" t="n">
        <v>95</v>
      </c>
      <c r="AB799" s="14" t="s">
        <v>54</v>
      </c>
      <c r="AC799" s="15" t="n">
        <v>95</v>
      </c>
      <c r="AD799" s="2" t="n">
        <f aca="false">SUM(L799,O799,R799,U799,X799,AA799)</f>
        <v>458</v>
      </c>
      <c r="AE799" s="16" t="n">
        <f aca="false">AD799/6</f>
        <v>76.3333333333333</v>
      </c>
      <c r="AF799" s="2" t="str">
        <f aca="false">IF(SUM(COUNTIF(M799,"RA"),COUNTIF(P799,"RA"),COUNTIF(S799,"RA"),COUNTIF(V799,"RA"),COUNTIF(Y799,"RA"),COUNTIF(AB799,"RA"))&gt;0,"FAIL","PASS")</f>
        <v>PASS</v>
      </c>
    </row>
    <row r="800" customFormat="false" ht="15" hidden="false" customHeight="false" outlineLevel="0" collapsed="false">
      <c r="A800" s="2" t="n">
        <v>799</v>
      </c>
      <c r="B800" s="3" t="s">
        <v>4429</v>
      </c>
      <c r="C800" s="2" t="s">
        <v>859</v>
      </c>
      <c r="D800" s="2" t="s">
        <v>4430</v>
      </c>
      <c r="E800" s="2" t="s">
        <v>57</v>
      </c>
      <c r="F800" s="2" t="s">
        <v>36</v>
      </c>
      <c r="G800" s="2" t="s">
        <v>78</v>
      </c>
      <c r="H800" s="2" t="s">
        <v>4431</v>
      </c>
      <c r="I800" s="3" t="s">
        <v>4432</v>
      </c>
      <c r="J800" s="2" t="s">
        <v>4433</v>
      </c>
      <c r="K800" s="2" t="s">
        <v>4434</v>
      </c>
      <c r="L800" s="4" t="n">
        <v>61</v>
      </c>
      <c r="M800" s="4" t="s">
        <v>44</v>
      </c>
      <c r="N800" s="5" t="n">
        <v>61</v>
      </c>
      <c r="O800" s="6" t="n">
        <v>85</v>
      </c>
      <c r="P800" s="6" t="s">
        <v>42</v>
      </c>
      <c r="Q800" s="7" t="n">
        <v>85</v>
      </c>
      <c r="R800" s="8" t="n">
        <v>89</v>
      </c>
      <c r="S800" s="8" t="s">
        <v>42</v>
      </c>
      <c r="T800" s="9" t="n">
        <v>89</v>
      </c>
      <c r="U800" s="10" t="n">
        <v>90</v>
      </c>
      <c r="V800" s="10" t="s">
        <v>54</v>
      </c>
      <c r="W800" s="11" t="n">
        <v>90</v>
      </c>
      <c r="X800" s="12" t="n">
        <v>78</v>
      </c>
      <c r="Y800" s="12" t="s">
        <v>43</v>
      </c>
      <c r="Z800" s="13" t="n">
        <v>78</v>
      </c>
      <c r="AA800" s="14" t="n">
        <v>83</v>
      </c>
      <c r="AB800" s="14" t="s">
        <v>42</v>
      </c>
      <c r="AC800" s="15" t="n">
        <v>83</v>
      </c>
      <c r="AD800" s="2" t="n">
        <f aca="false">SUM(L800,O800,R800,U800,X800,AA800)</f>
        <v>486</v>
      </c>
      <c r="AE800" s="16" t="n">
        <f aca="false">AD800/6</f>
        <v>81</v>
      </c>
      <c r="AF800" s="2" t="str">
        <f aca="false">IF(SUM(COUNTIF(M800,"RA"),COUNTIF(P800,"RA"),COUNTIF(S800,"RA"),COUNTIF(V800,"RA"),COUNTIF(Y800,"RA"),COUNTIF(AB800,"RA"))&gt;0,"FAIL","PASS")</f>
        <v>PASS</v>
      </c>
    </row>
    <row r="801" customFormat="false" ht="15" hidden="false" customHeight="false" outlineLevel="0" collapsed="false">
      <c r="A801" s="2" t="n">
        <v>800</v>
      </c>
      <c r="B801" s="3" t="s">
        <v>4435</v>
      </c>
      <c r="C801" s="2" t="s">
        <v>816</v>
      </c>
      <c r="D801" s="2" t="s">
        <v>4436</v>
      </c>
      <c r="E801" s="2" t="s">
        <v>57</v>
      </c>
      <c r="F801" s="2" t="s">
        <v>36</v>
      </c>
      <c r="G801" s="2" t="s">
        <v>78</v>
      </c>
      <c r="H801" s="2" t="s">
        <v>4437</v>
      </c>
      <c r="I801" s="3" t="s">
        <v>4073</v>
      </c>
      <c r="J801" s="2" t="s">
        <v>4438</v>
      </c>
      <c r="K801" s="2" t="s">
        <v>4439</v>
      </c>
      <c r="L801" s="4" t="n">
        <v>68</v>
      </c>
      <c r="M801" s="4" t="s">
        <v>44</v>
      </c>
      <c r="N801" s="5" t="n">
        <v>68</v>
      </c>
      <c r="O801" s="6" t="n">
        <v>58</v>
      </c>
      <c r="P801" s="6" t="s">
        <v>53</v>
      </c>
      <c r="Q801" s="7" t="n">
        <v>58</v>
      </c>
      <c r="R801" s="8" t="n">
        <v>78</v>
      </c>
      <c r="S801" s="8" t="s">
        <v>43</v>
      </c>
      <c r="T801" s="9" t="n">
        <v>78</v>
      </c>
      <c r="U801" s="10" t="n">
        <v>67</v>
      </c>
      <c r="V801" s="10" t="s">
        <v>44</v>
      </c>
      <c r="W801" s="11" t="n">
        <v>67</v>
      </c>
      <c r="X801" s="12" t="n">
        <v>87</v>
      </c>
      <c r="Y801" s="12" t="s">
        <v>42</v>
      </c>
      <c r="Z801" s="13" t="n">
        <v>87</v>
      </c>
      <c r="AA801" s="14" t="n">
        <v>91</v>
      </c>
      <c r="AB801" s="14" t="s">
        <v>54</v>
      </c>
      <c r="AC801" s="15" t="n">
        <v>91</v>
      </c>
      <c r="AD801" s="2" t="n">
        <f aca="false">SUM(L801,O801,R801,U801,X801,AA801)</f>
        <v>449</v>
      </c>
      <c r="AE801" s="16" t="n">
        <f aca="false">AD801/6</f>
        <v>74.8333333333333</v>
      </c>
      <c r="AF801" s="2" t="str">
        <f aca="false">IF(SUM(COUNTIF(M801,"RA"),COUNTIF(P801,"RA"),COUNTIF(S801,"RA"),COUNTIF(V801,"RA"),COUNTIF(Y801,"RA"),COUNTIF(AB801,"RA"))&gt;0,"FAIL","PASS")</f>
        <v>PASS</v>
      </c>
    </row>
    <row r="802" customFormat="false" ht="15" hidden="false" customHeight="false" outlineLevel="0" collapsed="false">
      <c r="A802" s="2" t="n">
        <v>801</v>
      </c>
      <c r="B802" s="3" t="s">
        <v>4440</v>
      </c>
      <c r="C802" s="2" t="s">
        <v>750</v>
      </c>
      <c r="D802" s="2" t="s">
        <v>4441</v>
      </c>
      <c r="E802" s="2" t="s">
        <v>57</v>
      </c>
      <c r="F802" s="2" t="s">
        <v>36</v>
      </c>
      <c r="G802" s="2" t="s">
        <v>44</v>
      </c>
      <c r="H802" s="2" t="s">
        <v>4442</v>
      </c>
      <c r="I802" s="3" t="s">
        <v>1067</v>
      </c>
      <c r="J802" s="2" t="s">
        <v>4443</v>
      </c>
      <c r="K802" s="2" t="s">
        <v>4444</v>
      </c>
      <c r="L802" s="4" t="n">
        <v>99</v>
      </c>
      <c r="M802" s="4" t="s">
        <v>54</v>
      </c>
      <c r="N802" s="5" t="n">
        <v>99</v>
      </c>
      <c r="O802" s="6" t="n">
        <v>47</v>
      </c>
      <c r="P802" s="6" t="s">
        <v>45</v>
      </c>
      <c r="Q802" s="7" t="n">
        <v>47</v>
      </c>
      <c r="R802" s="8" t="n">
        <v>60</v>
      </c>
      <c r="S802" s="8" t="s">
        <v>44</v>
      </c>
      <c r="T802" s="9" t="n">
        <v>60</v>
      </c>
      <c r="U802" s="10" t="n">
        <v>93</v>
      </c>
      <c r="V802" s="10" t="s">
        <v>54</v>
      </c>
      <c r="W802" s="11" t="n">
        <v>93</v>
      </c>
      <c r="X802" s="12" t="n">
        <v>84</v>
      </c>
      <c r="Y802" s="12" t="s">
        <v>42</v>
      </c>
      <c r="Z802" s="13" t="n">
        <v>84</v>
      </c>
      <c r="AA802" s="14" t="n">
        <v>82</v>
      </c>
      <c r="AB802" s="14" t="s">
        <v>42</v>
      </c>
      <c r="AC802" s="15" t="n">
        <v>82</v>
      </c>
      <c r="AD802" s="2" t="n">
        <f aca="false">SUM(L802,O802,R802,U802,X802,AA802)</f>
        <v>465</v>
      </c>
      <c r="AE802" s="16" t="n">
        <f aca="false">AD802/6</f>
        <v>77.5</v>
      </c>
      <c r="AF802" s="2" t="str">
        <f aca="false">IF(SUM(COUNTIF(M802,"RA"),COUNTIF(P802,"RA"),COUNTIF(S802,"RA"),COUNTIF(V802,"RA"),COUNTIF(Y802,"RA"),COUNTIF(AB802,"RA"))&gt;0,"FAIL","PASS")</f>
        <v>FAIL</v>
      </c>
    </row>
    <row r="803" customFormat="false" ht="15" hidden="false" customHeight="false" outlineLevel="0" collapsed="false">
      <c r="A803" s="2" t="n">
        <v>802</v>
      </c>
      <c r="B803" s="3" t="s">
        <v>4445</v>
      </c>
      <c r="C803" s="2" t="s">
        <v>783</v>
      </c>
      <c r="D803" s="2" t="s">
        <v>4446</v>
      </c>
      <c r="E803" s="2" t="s">
        <v>57</v>
      </c>
      <c r="F803" s="2" t="s">
        <v>36</v>
      </c>
      <c r="G803" s="2" t="s">
        <v>42</v>
      </c>
      <c r="H803" s="2" t="s">
        <v>4344</v>
      </c>
      <c r="I803" s="3" t="s">
        <v>4447</v>
      </c>
      <c r="J803" s="2" t="s">
        <v>4448</v>
      </c>
      <c r="K803" s="2" t="s">
        <v>4449</v>
      </c>
      <c r="L803" s="4" t="n">
        <v>96</v>
      </c>
      <c r="M803" s="4" t="s">
        <v>54</v>
      </c>
      <c r="N803" s="5" t="n">
        <v>96</v>
      </c>
      <c r="O803" s="6" t="n">
        <v>84</v>
      </c>
      <c r="P803" s="6" t="s">
        <v>42</v>
      </c>
      <c r="Q803" s="7" t="n">
        <v>84</v>
      </c>
      <c r="R803" s="8" t="n">
        <v>92</v>
      </c>
      <c r="S803" s="8" t="s">
        <v>54</v>
      </c>
      <c r="T803" s="9" t="n">
        <v>92</v>
      </c>
      <c r="U803" s="10" t="n">
        <v>86</v>
      </c>
      <c r="V803" s="10" t="s">
        <v>42</v>
      </c>
      <c r="W803" s="11" t="n">
        <v>86</v>
      </c>
      <c r="X803" s="12" t="n">
        <v>98</v>
      </c>
      <c r="Y803" s="12" t="s">
        <v>54</v>
      </c>
      <c r="Z803" s="13" t="n">
        <v>98</v>
      </c>
      <c r="AA803" s="14" t="n">
        <v>62</v>
      </c>
      <c r="AB803" s="14" t="s">
        <v>44</v>
      </c>
      <c r="AC803" s="15" t="n">
        <v>62</v>
      </c>
      <c r="AD803" s="2" t="n">
        <f aca="false">SUM(L803,O803,R803,U803,X803,AA803)</f>
        <v>518</v>
      </c>
      <c r="AE803" s="16" t="n">
        <f aca="false">AD803/6</f>
        <v>86.3333333333333</v>
      </c>
      <c r="AF803" s="2" t="str">
        <f aca="false">IF(SUM(COUNTIF(M803,"RA"),COUNTIF(P803,"RA"),COUNTIF(S803,"RA"),COUNTIF(V803,"RA"),COUNTIF(Y803,"RA"),COUNTIF(AB803,"RA"))&gt;0,"FAIL","PASS")</f>
        <v>PASS</v>
      </c>
    </row>
    <row r="804" customFormat="false" ht="15" hidden="false" customHeight="false" outlineLevel="0" collapsed="false">
      <c r="A804" s="2" t="n">
        <v>803</v>
      </c>
      <c r="B804" s="3" t="s">
        <v>4450</v>
      </c>
      <c r="C804" s="2" t="s">
        <v>912</v>
      </c>
      <c r="D804" s="2" t="s">
        <v>4451</v>
      </c>
      <c r="E804" s="2" t="s">
        <v>57</v>
      </c>
      <c r="F804" s="2" t="s">
        <v>36</v>
      </c>
      <c r="G804" s="2" t="s">
        <v>78</v>
      </c>
      <c r="H804" s="2" t="s">
        <v>4452</v>
      </c>
      <c r="I804" s="3" t="s">
        <v>2933</v>
      </c>
      <c r="J804" s="2" t="s">
        <v>4453</v>
      </c>
      <c r="K804" s="2" t="s">
        <v>4454</v>
      </c>
      <c r="L804" s="4" t="n">
        <v>83</v>
      </c>
      <c r="M804" s="4" t="s">
        <v>42</v>
      </c>
      <c r="N804" s="5" t="n">
        <v>83</v>
      </c>
      <c r="O804" s="6" t="n">
        <v>100</v>
      </c>
      <c r="P804" s="6" t="s">
        <v>54</v>
      </c>
      <c r="Q804" s="7" t="n">
        <v>100</v>
      </c>
      <c r="R804" s="8" t="n">
        <v>77</v>
      </c>
      <c r="S804" s="8" t="s">
        <v>43</v>
      </c>
      <c r="T804" s="9" t="n">
        <v>77</v>
      </c>
      <c r="U804" s="10" t="n">
        <v>54</v>
      </c>
      <c r="V804" s="10" t="s">
        <v>53</v>
      </c>
      <c r="W804" s="11" t="n">
        <v>54</v>
      </c>
      <c r="X804" s="12" t="n">
        <v>60</v>
      </c>
      <c r="Y804" s="12" t="s">
        <v>44</v>
      </c>
      <c r="Z804" s="13" t="n">
        <v>60</v>
      </c>
      <c r="AA804" s="14" t="n">
        <v>71</v>
      </c>
      <c r="AB804" s="14" t="s">
        <v>43</v>
      </c>
      <c r="AC804" s="15" t="n">
        <v>71</v>
      </c>
      <c r="AD804" s="2" t="n">
        <f aca="false">SUM(L804,O804,R804,U804,X804,AA804)</f>
        <v>445</v>
      </c>
      <c r="AE804" s="16" t="n">
        <f aca="false">AD804/6</f>
        <v>74.1666666666667</v>
      </c>
      <c r="AF804" s="2" t="str">
        <f aca="false">IF(SUM(COUNTIF(M804,"RA"),COUNTIF(P804,"RA"),COUNTIF(S804,"RA"),COUNTIF(V804,"RA"),COUNTIF(Y804,"RA"),COUNTIF(AB804,"RA"))&gt;0,"FAIL","PASS")</f>
        <v>PASS</v>
      </c>
    </row>
    <row r="805" customFormat="false" ht="15" hidden="false" customHeight="false" outlineLevel="0" collapsed="false">
      <c r="A805" s="2" t="n">
        <v>804</v>
      </c>
      <c r="B805" s="3" t="s">
        <v>4455</v>
      </c>
      <c r="C805" s="2" t="s">
        <v>816</v>
      </c>
      <c r="D805" s="2" t="s">
        <v>4456</v>
      </c>
      <c r="E805" s="2" t="s">
        <v>35</v>
      </c>
      <c r="F805" s="2" t="s">
        <v>36</v>
      </c>
      <c r="G805" s="2" t="s">
        <v>48</v>
      </c>
      <c r="H805" s="2" t="s">
        <v>4126</v>
      </c>
      <c r="I805" s="3" t="s">
        <v>4457</v>
      </c>
      <c r="J805" s="2" t="s">
        <v>4458</v>
      </c>
      <c r="K805" s="2" t="s">
        <v>4459</v>
      </c>
      <c r="L805" s="4" t="n">
        <v>80</v>
      </c>
      <c r="M805" s="4" t="s">
        <v>42</v>
      </c>
      <c r="N805" s="5" t="n">
        <v>80</v>
      </c>
      <c r="O805" s="6" t="n">
        <v>87</v>
      </c>
      <c r="P805" s="6" t="s">
        <v>42</v>
      </c>
      <c r="Q805" s="7" t="n">
        <v>87</v>
      </c>
      <c r="R805" s="8" t="n">
        <v>88</v>
      </c>
      <c r="S805" s="8" t="s">
        <v>42</v>
      </c>
      <c r="T805" s="9" t="n">
        <v>88</v>
      </c>
      <c r="U805" s="10" t="n">
        <v>87</v>
      </c>
      <c r="V805" s="10" t="s">
        <v>42</v>
      </c>
      <c r="W805" s="11" t="n">
        <v>87</v>
      </c>
      <c r="X805" s="12" t="n">
        <v>93</v>
      </c>
      <c r="Y805" s="12" t="s">
        <v>54</v>
      </c>
      <c r="Z805" s="13" t="n">
        <v>93</v>
      </c>
      <c r="AA805" s="14" t="n">
        <v>74</v>
      </c>
      <c r="AB805" s="14" t="s">
        <v>43</v>
      </c>
      <c r="AC805" s="15" t="n">
        <v>74</v>
      </c>
      <c r="AD805" s="2" t="n">
        <f aca="false">SUM(L805,O805,R805,U805,X805,AA805)</f>
        <v>509</v>
      </c>
      <c r="AE805" s="16" t="n">
        <f aca="false">AD805/6</f>
        <v>84.8333333333333</v>
      </c>
      <c r="AF805" s="2" t="str">
        <f aca="false">IF(SUM(COUNTIF(M805,"RA"),COUNTIF(P805,"RA"),COUNTIF(S805,"RA"),COUNTIF(V805,"RA"),COUNTIF(Y805,"RA"),COUNTIF(AB805,"RA"))&gt;0,"FAIL","PASS")</f>
        <v>PASS</v>
      </c>
    </row>
    <row r="806" customFormat="false" ht="15" hidden="false" customHeight="false" outlineLevel="0" collapsed="false">
      <c r="A806" s="2" t="n">
        <v>805</v>
      </c>
      <c r="B806" s="3" t="s">
        <v>4460</v>
      </c>
      <c r="C806" s="2" t="s">
        <v>750</v>
      </c>
      <c r="D806" s="2" t="s">
        <v>4461</v>
      </c>
      <c r="E806" s="2" t="s">
        <v>57</v>
      </c>
      <c r="F806" s="2" t="s">
        <v>36</v>
      </c>
      <c r="G806" s="2" t="s">
        <v>71</v>
      </c>
      <c r="H806" s="2" t="s">
        <v>4462</v>
      </c>
      <c r="I806" s="3" t="s">
        <v>2650</v>
      </c>
      <c r="J806" s="2" t="s">
        <v>4463</v>
      </c>
      <c r="K806" s="2" t="s">
        <v>4464</v>
      </c>
      <c r="L806" s="4" t="n">
        <v>86</v>
      </c>
      <c r="M806" s="4" t="s">
        <v>42</v>
      </c>
      <c r="N806" s="5" t="n">
        <v>86</v>
      </c>
      <c r="O806" s="6" t="n">
        <v>75</v>
      </c>
      <c r="P806" s="6" t="s">
        <v>43</v>
      </c>
      <c r="Q806" s="7" t="n">
        <v>75</v>
      </c>
      <c r="R806" s="8" t="n">
        <v>86</v>
      </c>
      <c r="S806" s="8" t="s">
        <v>42</v>
      </c>
      <c r="T806" s="9" t="n">
        <v>86</v>
      </c>
      <c r="U806" s="10" t="n">
        <v>81</v>
      </c>
      <c r="V806" s="10" t="s">
        <v>42</v>
      </c>
      <c r="W806" s="11" t="n">
        <v>81</v>
      </c>
      <c r="X806" s="12" t="n">
        <v>77</v>
      </c>
      <c r="Y806" s="12" t="s">
        <v>43</v>
      </c>
      <c r="Z806" s="13" t="n">
        <v>77</v>
      </c>
      <c r="AA806" s="14" t="n">
        <v>44</v>
      </c>
      <c r="AB806" s="14" t="s">
        <v>45</v>
      </c>
      <c r="AC806" s="15" t="n">
        <v>44</v>
      </c>
      <c r="AD806" s="2" t="n">
        <f aca="false">SUM(L806,O806,R806,U806,X806,AA806)</f>
        <v>449</v>
      </c>
      <c r="AE806" s="16" t="n">
        <f aca="false">AD806/6</f>
        <v>74.8333333333333</v>
      </c>
      <c r="AF806" s="2" t="str">
        <f aca="false">IF(SUM(COUNTIF(M806,"RA"),COUNTIF(P806,"RA"),COUNTIF(S806,"RA"),COUNTIF(V806,"RA"),COUNTIF(Y806,"RA"),COUNTIF(AB806,"RA"))&gt;0,"FAIL","PASS")</f>
        <v>FAIL</v>
      </c>
    </row>
    <row r="807" customFormat="false" ht="15" hidden="false" customHeight="false" outlineLevel="0" collapsed="false">
      <c r="A807" s="2" t="n">
        <v>806</v>
      </c>
      <c r="B807" s="3" t="s">
        <v>4465</v>
      </c>
      <c r="C807" s="2" t="s">
        <v>859</v>
      </c>
      <c r="D807" s="2" t="s">
        <v>4466</v>
      </c>
      <c r="E807" s="2" t="s">
        <v>35</v>
      </c>
      <c r="F807" s="2" t="s">
        <v>36</v>
      </c>
      <c r="G807" s="2" t="s">
        <v>78</v>
      </c>
      <c r="H807" s="2" t="s">
        <v>3856</v>
      </c>
      <c r="I807" s="3" t="s">
        <v>2231</v>
      </c>
      <c r="J807" s="2" t="s">
        <v>4467</v>
      </c>
      <c r="K807" s="2" t="s">
        <v>4468</v>
      </c>
      <c r="L807" s="4" t="n">
        <v>94</v>
      </c>
      <c r="M807" s="4" t="s">
        <v>54</v>
      </c>
      <c r="N807" s="5" t="n">
        <v>94</v>
      </c>
      <c r="O807" s="6" t="n">
        <v>50</v>
      </c>
      <c r="P807" s="6" t="s">
        <v>53</v>
      </c>
      <c r="Q807" s="7" t="n">
        <v>50</v>
      </c>
      <c r="R807" s="8" t="n">
        <v>66</v>
      </c>
      <c r="S807" s="8" t="s">
        <v>44</v>
      </c>
      <c r="T807" s="9" t="n">
        <v>66</v>
      </c>
      <c r="U807" s="10" t="n">
        <v>61</v>
      </c>
      <c r="V807" s="10" t="s">
        <v>44</v>
      </c>
      <c r="W807" s="11" t="n">
        <v>61</v>
      </c>
      <c r="X807" s="12" t="n">
        <v>85</v>
      </c>
      <c r="Y807" s="12" t="s">
        <v>42</v>
      </c>
      <c r="Z807" s="13" t="n">
        <v>85</v>
      </c>
      <c r="AA807" s="14" t="n">
        <v>50</v>
      </c>
      <c r="AB807" s="14" t="s">
        <v>53</v>
      </c>
      <c r="AC807" s="15" t="n">
        <v>50</v>
      </c>
      <c r="AD807" s="2" t="n">
        <f aca="false">SUM(L807,O807,R807,U807,X807,AA807)</f>
        <v>406</v>
      </c>
      <c r="AE807" s="16" t="n">
        <f aca="false">AD807/6</f>
        <v>67.6666666666667</v>
      </c>
      <c r="AF807" s="2" t="str">
        <f aca="false">IF(SUM(COUNTIF(M807,"RA"),COUNTIF(P807,"RA"),COUNTIF(S807,"RA"),COUNTIF(V807,"RA"),COUNTIF(Y807,"RA"),COUNTIF(AB807,"RA"))&gt;0,"FAIL","PASS")</f>
        <v>PASS</v>
      </c>
    </row>
    <row r="808" customFormat="false" ht="15" hidden="false" customHeight="false" outlineLevel="0" collapsed="false">
      <c r="A808" s="2" t="n">
        <v>807</v>
      </c>
      <c r="B808" s="3" t="s">
        <v>4469</v>
      </c>
      <c r="C808" s="2" t="s">
        <v>750</v>
      </c>
      <c r="D808" s="2" t="s">
        <v>4470</v>
      </c>
      <c r="E808" s="2" t="s">
        <v>57</v>
      </c>
      <c r="F808" s="2" t="s">
        <v>36</v>
      </c>
      <c r="G808" s="2" t="s">
        <v>91</v>
      </c>
      <c r="H808" s="2" t="s">
        <v>590</v>
      </c>
      <c r="I808" s="3" t="s">
        <v>1130</v>
      </c>
      <c r="J808" s="2" t="s">
        <v>4471</v>
      </c>
      <c r="K808" s="2" t="s">
        <v>4472</v>
      </c>
      <c r="L808" s="4" t="n">
        <v>80</v>
      </c>
      <c r="M808" s="4" t="s">
        <v>42</v>
      </c>
      <c r="N808" s="5" t="n">
        <v>80</v>
      </c>
      <c r="O808" s="6" t="n">
        <v>87</v>
      </c>
      <c r="P808" s="6" t="s">
        <v>42</v>
      </c>
      <c r="Q808" s="7" t="n">
        <v>87</v>
      </c>
      <c r="R808" s="8" t="n">
        <v>82</v>
      </c>
      <c r="S808" s="8" t="s">
        <v>42</v>
      </c>
      <c r="T808" s="9" t="n">
        <v>82</v>
      </c>
      <c r="U808" s="10" t="n">
        <v>81</v>
      </c>
      <c r="V808" s="10" t="s">
        <v>42</v>
      </c>
      <c r="W808" s="11" t="n">
        <v>81</v>
      </c>
      <c r="X808" s="12" t="n">
        <v>88</v>
      </c>
      <c r="Y808" s="12" t="s">
        <v>42</v>
      </c>
      <c r="Z808" s="13" t="n">
        <v>88</v>
      </c>
      <c r="AA808" s="14" t="n">
        <v>99</v>
      </c>
      <c r="AB808" s="14" t="s">
        <v>54</v>
      </c>
      <c r="AC808" s="15" t="n">
        <v>99</v>
      </c>
      <c r="AD808" s="2" t="n">
        <f aca="false">SUM(L808,O808,R808,U808,X808,AA808)</f>
        <v>517</v>
      </c>
      <c r="AE808" s="16" t="n">
        <f aca="false">AD808/6</f>
        <v>86.1666666666667</v>
      </c>
      <c r="AF808" s="2" t="str">
        <f aca="false">IF(SUM(COUNTIF(M808,"RA"),COUNTIF(P808,"RA"),COUNTIF(S808,"RA"),COUNTIF(V808,"RA"),COUNTIF(Y808,"RA"),COUNTIF(AB808,"RA"))&gt;0,"FAIL","PASS")</f>
        <v>PASS</v>
      </c>
    </row>
    <row r="809" customFormat="false" ht="15" hidden="false" customHeight="false" outlineLevel="0" collapsed="false">
      <c r="A809" s="2" t="n">
        <v>808</v>
      </c>
      <c r="B809" s="3" t="s">
        <v>4473</v>
      </c>
      <c r="C809" s="2" t="s">
        <v>750</v>
      </c>
      <c r="D809" s="2" t="s">
        <v>4474</v>
      </c>
      <c r="E809" s="2" t="s">
        <v>35</v>
      </c>
      <c r="F809" s="2" t="s">
        <v>36</v>
      </c>
      <c r="G809" s="2" t="s">
        <v>71</v>
      </c>
      <c r="H809" s="2" t="s">
        <v>2815</v>
      </c>
      <c r="I809" s="3" t="s">
        <v>4475</v>
      </c>
      <c r="J809" s="2" t="s">
        <v>4476</v>
      </c>
      <c r="K809" s="2" t="s">
        <v>4477</v>
      </c>
      <c r="L809" s="4" t="n">
        <v>86</v>
      </c>
      <c r="M809" s="4" t="s">
        <v>42</v>
      </c>
      <c r="N809" s="5" t="n">
        <v>86</v>
      </c>
      <c r="O809" s="6" t="n">
        <v>68</v>
      </c>
      <c r="P809" s="6" t="s">
        <v>44</v>
      </c>
      <c r="Q809" s="7" t="n">
        <v>68</v>
      </c>
      <c r="R809" s="8" t="n">
        <v>88</v>
      </c>
      <c r="S809" s="8" t="s">
        <v>42</v>
      </c>
      <c r="T809" s="9" t="n">
        <v>88</v>
      </c>
      <c r="U809" s="10" t="n">
        <v>71</v>
      </c>
      <c r="V809" s="10" t="s">
        <v>43</v>
      </c>
      <c r="W809" s="11" t="n">
        <v>71</v>
      </c>
      <c r="X809" s="12" t="n">
        <v>75</v>
      </c>
      <c r="Y809" s="12" t="s">
        <v>43</v>
      </c>
      <c r="Z809" s="13" t="n">
        <v>75</v>
      </c>
      <c r="AA809" s="14" t="n">
        <v>85</v>
      </c>
      <c r="AB809" s="14" t="s">
        <v>42</v>
      </c>
      <c r="AC809" s="15" t="n">
        <v>85</v>
      </c>
      <c r="AD809" s="2" t="n">
        <f aca="false">SUM(L809,O809,R809,U809,X809,AA809)</f>
        <v>473</v>
      </c>
      <c r="AE809" s="16" t="n">
        <f aca="false">AD809/6</f>
        <v>78.8333333333333</v>
      </c>
      <c r="AF809" s="2" t="str">
        <f aca="false">IF(SUM(COUNTIF(M809,"RA"),COUNTIF(P809,"RA"),COUNTIF(S809,"RA"),COUNTIF(V809,"RA"),COUNTIF(Y809,"RA"),COUNTIF(AB809,"RA"))&gt;0,"FAIL","PASS")</f>
        <v>PASS</v>
      </c>
    </row>
    <row r="810" customFormat="false" ht="15" hidden="false" customHeight="false" outlineLevel="0" collapsed="false">
      <c r="A810" s="2" t="n">
        <v>809</v>
      </c>
      <c r="B810" s="3" t="s">
        <v>4478</v>
      </c>
      <c r="C810" s="2" t="s">
        <v>816</v>
      </c>
      <c r="D810" s="2" t="s">
        <v>4479</v>
      </c>
      <c r="E810" s="2" t="s">
        <v>35</v>
      </c>
      <c r="F810" s="2" t="s">
        <v>36</v>
      </c>
      <c r="G810" s="2" t="s">
        <v>42</v>
      </c>
      <c r="H810" s="2" t="s">
        <v>4480</v>
      </c>
      <c r="I810" s="3" t="s">
        <v>4481</v>
      </c>
      <c r="J810" s="2" t="s">
        <v>4482</v>
      </c>
      <c r="K810" s="2" t="s">
        <v>4483</v>
      </c>
      <c r="L810" s="4" t="n">
        <v>66</v>
      </c>
      <c r="M810" s="4" t="s">
        <v>44</v>
      </c>
      <c r="N810" s="5" t="n">
        <v>66</v>
      </c>
      <c r="O810" s="6" t="n">
        <v>84</v>
      </c>
      <c r="P810" s="6" t="s">
        <v>42</v>
      </c>
      <c r="Q810" s="7" t="n">
        <v>84</v>
      </c>
      <c r="R810" s="8" t="n">
        <v>97</v>
      </c>
      <c r="S810" s="8" t="s">
        <v>54</v>
      </c>
      <c r="T810" s="9" t="n">
        <v>97</v>
      </c>
      <c r="U810" s="10" t="n">
        <v>99</v>
      </c>
      <c r="V810" s="10" t="s">
        <v>54</v>
      </c>
      <c r="W810" s="11" t="n">
        <v>99</v>
      </c>
      <c r="X810" s="12" t="n">
        <v>99</v>
      </c>
      <c r="Y810" s="12" t="s">
        <v>54</v>
      </c>
      <c r="Z810" s="13" t="n">
        <v>99</v>
      </c>
      <c r="AA810" s="14" t="n">
        <v>98</v>
      </c>
      <c r="AB810" s="14" t="s">
        <v>54</v>
      </c>
      <c r="AC810" s="15" t="n">
        <v>98</v>
      </c>
      <c r="AD810" s="2" t="n">
        <f aca="false">SUM(L810,O810,R810,U810,X810,AA810)</f>
        <v>543</v>
      </c>
      <c r="AE810" s="16" t="n">
        <f aca="false">AD810/6</f>
        <v>90.5</v>
      </c>
      <c r="AF810" s="2" t="str">
        <f aca="false">IF(SUM(COUNTIF(M810,"RA"),COUNTIF(P810,"RA"),COUNTIF(S810,"RA"),COUNTIF(V810,"RA"),COUNTIF(Y810,"RA"),COUNTIF(AB810,"RA"))&gt;0,"FAIL","PASS")</f>
        <v>PASS</v>
      </c>
    </row>
    <row r="811" customFormat="false" ht="15" hidden="false" customHeight="false" outlineLevel="0" collapsed="false">
      <c r="A811" s="2" t="n">
        <v>810</v>
      </c>
      <c r="B811" s="3" t="s">
        <v>4484</v>
      </c>
      <c r="C811" s="2" t="s">
        <v>770</v>
      </c>
      <c r="D811" s="2" t="s">
        <v>4485</v>
      </c>
      <c r="E811" s="2" t="s">
        <v>35</v>
      </c>
      <c r="F811" s="2" t="s">
        <v>36</v>
      </c>
      <c r="G811" s="2" t="s">
        <v>91</v>
      </c>
      <c r="H811" s="2" t="s">
        <v>4486</v>
      </c>
      <c r="I811" s="3" t="s">
        <v>982</v>
      </c>
      <c r="J811" s="2" t="s">
        <v>4487</v>
      </c>
      <c r="K811" s="2" t="s">
        <v>4488</v>
      </c>
      <c r="L811" s="4" t="n">
        <v>98</v>
      </c>
      <c r="M811" s="4" t="s">
        <v>54</v>
      </c>
      <c r="N811" s="5" t="n">
        <v>98</v>
      </c>
      <c r="O811" s="6" t="n">
        <v>80</v>
      </c>
      <c r="P811" s="6" t="s">
        <v>42</v>
      </c>
      <c r="Q811" s="7" t="n">
        <v>80</v>
      </c>
      <c r="R811" s="8" t="n">
        <v>90</v>
      </c>
      <c r="S811" s="8" t="s">
        <v>54</v>
      </c>
      <c r="T811" s="9" t="n">
        <v>90</v>
      </c>
      <c r="U811" s="10" t="n">
        <v>88</v>
      </c>
      <c r="V811" s="10" t="s">
        <v>42</v>
      </c>
      <c r="W811" s="11" t="n">
        <v>88</v>
      </c>
      <c r="X811" s="12" t="n">
        <v>83</v>
      </c>
      <c r="Y811" s="12" t="s">
        <v>42</v>
      </c>
      <c r="Z811" s="13" t="n">
        <v>83</v>
      </c>
      <c r="AA811" s="14" t="n">
        <v>76</v>
      </c>
      <c r="AB811" s="14" t="s">
        <v>43</v>
      </c>
      <c r="AC811" s="15" t="n">
        <v>76</v>
      </c>
      <c r="AD811" s="2" t="n">
        <f aca="false">SUM(L811,O811,R811,U811,X811,AA811)</f>
        <v>515</v>
      </c>
      <c r="AE811" s="16" t="n">
        <f aca="false">AD811/6</f>
        <v>85.8333333333333</v>
      </c>
      <c r="AF811" s="2" t="str">
        <f aca="false">IF(SUM(COUNTIF(M811,"RA"),COUNTIF(P811,"RA"),COUNTIF(S811,"RA"),COUNTIF(V811,"RA"),COUNTIF(Y811,"RA"),COUNTIF(AB811,"RA"))&gt;0,"FAIL","PASS")</f>
        <v>PASS</v>
      </c>
    </row>
    <row r="812" customFormat="false" ht="15" hidden="false" customHeight="false" outlineLevel="0" collapsed="false">
      <c r="A812" s="2" t="n">
        <v>811</v>
      </c>
      <c r="B812" s="3" t="s">
        <v>4489</v>
      </c>
      <c r="C812" s="2" t="s">
        <v>841</v>
      </c>
      <c r="D812" s="2" t="s">
        <v>4490</v>
      </c>
      <c r="E812" s="2" t="s">
        <v>35</v>
      </c>
      <c r="F812" s="2" t="s">
        <v>36</v>
      </c>
      <c r="G812" s="2" t="s">
        <v>91</v>
      </c>
      <c r="H812" s="2" t="s">
        <v>4491</v>
      </c>
      <c r="I812" s="3" t="s">
        <v>1624</v>
      </c>
      <c r="J812" s="2" t="s">
        <v>4492</v>
      </c>
      <c r="K812" s="2" t="s">
        <v>4493</v>
      </c>
      <c r="L812" s="4" t="n">
        <v>76</v>
      </c>
      <c r="M812" s="4" t="s">
        <v>43</v>
      </c>
      <c r="N812" s="5" t="n">
        <v>76</v>
      </c>
      <c r="O812" s="6" t="n">
        <v>44</v>
      </c>
      <c r="P812" s="6" t="s">
        <v>45</v>
      </c>
      <c r="Q812" s="7" t="n">
        <v>44</v>
      </c>
      <c r="R812" s="8" t="n">
        <v>74</v>
      </c>
      <c r="S812" s="8" t="s">
        <v>43</v>
      </c>
      <c r="T812" s="9" t="n">
        <v>74</v>
      </c>
      <c r="U812" s="10" t="n">
        <v>91</v>
      </c>
      <c r="V812" s="10" t="s">
        <v>54</v>
      </c>
      <c r="W812" s="11" t="n">
        <v>91</v>
      </c>
      <c r="X812" s="12" t="n">
        <v>61</v>
      </c>
      <c r="Y812" s="12" t="s">
        <v>44</v>
      </c>
      <c r="Z812" s="13" t="n">
        <v>61</v>
      </c>
      <c r="AA812" s="14" t="n">
        <v>48</v>
      </c>
      <c r="AB812" s="14" t="s">
        <v>45</v>
      </c>
      <c r="AC812" s="15" t="n">
        <v>48</v>
      </c>
      <c r="AD812" s="2" t="n">
        <f aca="false">SUM(L812,O812,R812,U812,X812,AA812)</f>
        <v>394</v>
      </c>
      <c r="AE812" s="16" t="n">
        <f aca="false">AD812/6</f>
        <v>65.6666666666667</v>
      </c>
      <c r="AF812" s="2" t="str">
        <f aca="false">IF(SUM(COUNTIF(M812,"RA"),COUNTIF(P812,"RA"),COUNTIF(S812,"RA"),COUNTIF(V812,"RA"),COUNTIF(Y812,"RA"),COUNTIF(AB812,"RA"))&gt;0,"FAIL","PASS")</f>
        <v>FAIL</v>
      </c>
    </row>
    <row r="813" customFormat="false" ht="15" hidden="false" customHeight="false" outlineLevel="0" collapsed="false">
      <c r="A813" s="2" t="n">
        <v>812</v>
      </c>
      <c r="B813" s="3" t="s">
        <v>4494</v>
      </c>
      <c r="C813" s="2" t="s">
        <v>790</v>
      </c>
      <c r="D813" s="2" t="s">
        <v>4495</v>
      </c>
      <c r="E813" s="2" t="s">
        <v>35</v>
      </c>
      <c r="F813" s="2" t="s">
        <v>36</v>
      </c>
      <c r="G813" s="2" t="s">
        <v>64</v>
      </c>
      <c r="H813" s="2" t="s">
        <v>4437</v>
      </c>
      <c r="I813" s="3" t="s">
        <v>86</v>
      </c>
      <c r="J813" s="2" t="s">
        <v>4496</v>
      </c>
      <c r="K813" s="2" t="s">
        <v>4497</v>
      </c>
      <c r="L813" s="4" t="n">
        <v>73</v>
      </c>
      <c r="M813" s="4" t="s">
        <v>43</v>
      </c>
      <c r="N813" s="5" t="n">
        <v>73</v>
      </c>
      <c r="O813" s="6" t="n">
        <v>96</v>
      </c>
      <c r="P813" s="6" t="s">
        <v>54</v>
      </c>
      <c r="Q813" s="7" t="n">
        <v>96</v>
      </c>
      <c r="R813" s="8" t="n">
        <v>87</v>
      </c>
      <c r="S813" s="8" t="s">
        <v>42</v>
      </c>
      <c r="T813" s="9" t="n">
        <v>87</v>
      </c>
      <c r="U813" s="10" t="n">
        <v>82</v>
      </c>
      <c r="V813" s="10" t="s">
        <v>42</v>
      </c>
      <c r="W813" s="11" t="n">
        <v>82</v>
      </c>
      <c r="X813" s="12" t="n">
        <v>64</v>
      </c>
      <c r="Y813" s="12" t="s">
        <v>44</v>
      </c>
      <c r="Z813" s="13" t="n">
        <v>64</v>
      </c>
      <c r="AA813" s="14" t="n">
        <v>60</v>
      </c>
      <c r="AB813" s="14" t="s">
        <v>44</v>
      </c>
      <c r="AC813" s="15" t="n">
        <v>60</v>
      </c>
      <c r="AD813" s="2" t="n">
        <f aca="false">SUM(L813,O813,R813,U813,X813,AA813)</f>
        <v>462</v>
      </c>
      <c r="AE813" s="16" t="n">
        <f aca="false">AD813/6</f>
        <v>77</v>
      </c>
      <c r="AF813" s="2" t="str">
        <f aca="false">IF(SUM(COUNTIF(M813,"RA"),COUNTIF(P813,"RA"),COUNTIF(S813,"RA"),COUNTIF(V813,"RA"),COUNTIF(Y813,"RA"),COUNTIF(AB813,"RA"))&gt;0,"FAIL","PASS")</f>
        <v>PASS</v>
      </c>
    </row>
    <row r="814" customFormat="false" ht="15" hidden="false" customHeight="false" outlineLevel="0" collapsed="false">
      <c r="A814" s="2" t="n">
        <v>813</v>
      </c>
      <c r="B814" s="3" t="s">
        <v>4498</v>
      </c>
      <c r="C814" s="2" t="s">
        <v>841</v>
      </c>
      <c r="D814" s="2" t="s">
        <v>4499</v>
      </c>
      <c r="E814" s="2" t="s">
        <v>57</v>
      </c>
      <c r="F814" s="2" t="s">
        <v>36</v>
      </c>
      <c r="G814" s="2" t="s">
        <v>64</v>
      </c>
      <c r="H814" s="2" t="s">
        <v>4500</v>
      </c>
      <c r="I814" s="3" t="s">
        <v>4501</v>
      </c>
      <c r="J814" s="2" t="s">
        <v>4502</v>
      </c>
      <c r="K814" s="2" t="s">
        <v>4503</v>
      </c>
      <c r="L814" s="4" t="n">
        <v>92</v>
      </c>
      <c r="M814" s="4" t="s">
        <v>54</v>
      </c>
      <c r="N814" s="5" t="n">
        <v>92</v>
      </c>
      <c r="O814" s="6" t="n">
        <v>80</v>
      </c>
      <c r="P814" s="6" t="s">
        <v>42</v>
      </c>
      <c r="Q814" s="7" t="n">
        <v>80</v>
      </c>
      <c r="R814" s="8" t="n">
        <v>91</v>
      </c>
      <c r="S814" s="8" t="s">
        <v>54</v>
      </c>
      <c r="T814" s="9" t="n">
        <v>91</v>
      </c>
      <c r="U814" s="10" t="n">
        <v>87</v>
      </c>
      <c r="V814" s="10" t="s">
        <v>42</v>
      </c>
      <c r="W814" s="11" t="n">
        <v>87</v>
      </c>
      <c r="X814" s="12" t="n">
        <v>68</v>
      </c>
      <c r="Y814" s="12" t="s">
        <v>44</v>
      </c>
      <c r="Z814" s="13" t="n">
        <v>68</v>
      </c>
      <c r="AA814" s="14" t="n">
        <v>84</v>
      </c>
      <c r="AB814" s="14" t="s">
        <v>42</v>
      </c>
      <c r="AC814" s="15" t="n">
        <v>84</v>
      </c>
      <c r="AD814" s="2" t="n">
        <f aca="false">SUM(L814,O814,R814,U814,X814,AA814)</f>
        <v>502</v>
      </c>
      <c r="AE814" s="16" t="n">
        <f aca="false">AD814/6</f>
        <v>83.6666666666667</v>
      </c>
      <c r="AF814" s="2" t="str">
        <f aca="false">IF(SUM(COUNTIF(M814,"RA"),COUNTIF(P814,"RA"),COUNTIF(S814,"RA"),COUNTIF(V814,"RA"),COUNTIF(Y814,"RA"),COUNTIF(AB814,"RA"))&gt;0,"FAIL","PASS")</f>
        <v>PASS</v>
      </c>
    </row>
    <row r="815" customFormat="false" ht="15" hidden="false" customHeight="false" outlineLevel="0" collapsed="false">
      <c r="A815" s="2" t="n">
        <v>814</v>
      </c>
      <c r="B815" s="3" t="s">
        <v>4504</v>
      </c>
      <c r="C815" s="2" t="s">
        <v>859</v>
      </c>
      <c r="D815" s="2" t="s">
        <v>4505</v>
      </c>
      <c r="E815" s="2" t="s">
        <v>57</v>
      </c>
      <c r="F815" s="2" t="s">
        <v>36</v>
      </c>
      <c r="G815" s="2" t="s">
        <v>37</v>
      </c>
      <c r="H815" s="2" t="s">
        <v>4506</v>
      </c>
      <c r="I815" s="3" t="s">
        <v>4507</v>
      </c>
      <c r="J815" s="2" t="s">
        <v>4508</v>
      </c>
      <c r="K815" s="2" t="s">
        <v>4509</v>
      </c>
      <c r="L815" s="4" t="n">
        <v>63</v>
      </c>
      <c r="M815" s="4" t="s">
        <v>44</v>
      </c>
      <c r="N815" s="5" t="n">
        <v>63</v>
      </c>
      <c r="O815" s="6" t="n">
        <v>90</v>
      </c>
      <c r="P815" s="6" t="s">
        <v>54</v>
      </c>
      <c r="Q815" s="7" t="n">
        <v>90</v>
      </c>
      <c r="R815" s="8" t="n">
        <v>99</v>
      </c>
      <c r="S815" s="8" t="s">
        <v>54</v>
      </c>
      <c r="T815" s="9" t="n">
        <v>99</v>
      </c>
      <c r="U815" s="10" t="n">
        <v>50</v>
      </c>
      <c r="V815" s="10" t="s">
        <v>53</v>
      </c>
      <c r="W815" s="11" t="n">
        <v>50</v>
      </c>
      <c r="X815" s="12" t="n">
        <v>69</v>
      </c>
      <c r="Y815" s="12" t="s">
        <v>44</v>
      </c>
      <c r="Z815" s="13" t="n">
        <v>69</v>
      </c>
      <c r="AA815" s="14" t="n">
        <v>90</v>
      </c>
      <c r="AB815" s="14" t="s">
        <v>54</v>
      </c>
      <c r="AC815" s="15" t="n">
        <v>90</v>
      </c>
      <c r="AD815" s="2" t="n">
        <f aca="false">SUM(L815,O815,R815,U815,X815,AA815)</f>
        <v>461</v>
      </c>
      <c r="AE815" s="16" t="n">
        <f aca="false">AD815/6</f>
        <v>76.8333333333333</v>
      </c>
      <c r="AF815" s="2" t="str">
        <f aca="false">IF(SUM(COUNTIF(M815,"RA"),COUNTIF(P815,"RA"),COUNTIF(S815,"RA"),COUNTIF(V815,"RA"),COUNTIF(Y815,"RA"),COUNTIF(AB815,"RA"))&gt;0,"FAIL","PASS")</f>
        <v>PASS</v>
      </c>
    </row>
    <row r="816" customFormat="false" ht="15" hidden="false" customHeight="false" outlineLevel="0" collapsed="false">
      <c r="A816" s="2" t="n">
        <v>815</v>
      </c>
      <c r="B816" s="3" t="s">
        <v>4510</v>
      </c>
      <c r="C816" s="2" t="s">
        <v>816</v>
      </c>
      <c r="D816" s="2" t="s">
        <v>4511</v>
      </c>
      <c r="E816" s="2" t="s">
        <v>35</v>
      </c>
      <c r="F816" s="2" t="s">
        <v>36</v>
      </c>
      <c r="G816" s="2" t="s">
        <v>78</v>
      </c>
      <c r="H816" s="2" t="s">
        <v>3903</v>
      </c>
      <c r="I816" s="3" t="s">
        <v>3131</v>
      </c>
      <c r="J816" s="2" t="s">
        <v>4512</v>
      </c>
      <c r="K816" s="2" t="s">
        <v>4513</v>
      </c>
      <c r="L816" s="4" t="n">
        <v>96</v>
      </c>
      <c r="M816" s="4" t="s">
        <v>54</v>
      </c>
      <c r="N816" s="5" t="n">
        <v>96</v>
      </c>
      <c r="O816" s="6" t="n">
        <v>51</v>
      </c>
      <c r="P816" s="6" t="s">
        <v>53</v>
      </c>
      <c r="Q816" s="7" t="n">
        <v>51</v>
      </c>
      <c r="R816" s="8" t="n">
        <v>68</v>
      </c>
      <c r="S816" s="8" t="s">
        <v>44</v>
      </c>
      <c r="T816" s="9" t="n">
        <v>68</v>
      </c>
      <c r="U816" s="10" t="n">
        <v>81</v>
      </c>
      <c r="V816" s="10" t="s">
        <v>42</v>
      </c>
      <c r="W816" s="11" t="n">
        <v>81</v>
      </c>
      <c r="X816" s="12" t="n">
        <v>84</v>
      </c>
      <c r="Y816" s="12" t="s">
        <v>42</v>
      </c>
      <c r="Z816" s="13" t="n">
        <v>84</v>
      </c>
      <c r="AA816" s="14" t="n">
        <v>99</v>
      </c>
      <c r="AB816" s="14" t="s">
        <v>54</v>
      </c>
      <c r="AC816" s="15" t="n">
        <v>99</v>
      </c>
      <c r="AD816" s="2" t="n">
        <f aca="false">SUM(L816,O816,R816,U816,X816,AA816)</f>
        <v>479</v>
      </c>
      <c r="AE816" s="16" t="n">
        <f aca="false">AD816/6</f>
        <v>79.8333333333333</v>
      </c>
      <c r="AF816" s="2" t="str">
        <f aca="false">IF(SUM(COUNTIF(M816,"RA"),COUNTIF(P816,"RA"),COUNTIF(S816,"RA"),COUNTIF(V816,"RA"),COUNTIF(Y816,"RA"),COUNTIF(AB816,"RA"))&gt;0,"FAIL","PASS")</f>
        <v>PASS</v>
      </c>
    </row>
    <row r="817" customFormat="false" ht="15" hidden="false" customHeight="false" outlineLevel="0" collapsed="false">
      <c r="A817" s="2" t="n">
        <v>816</v>
      </c>
      <c r="B817" s="3" t="s">
        <v>4514</v>
      </c>
      <c r="C817" s="2" t="s">
        <v>912</v>
      </c>
      <c r="D817" s="2" t="s">
        <v>4515</v>
      </c>
      <c r="E817" s="2" t="s">
        <v>57</v>
      </c>
      <c r="F817" s="2" t="s">
        <v>36</v>
      </c>
      <c r="G817" s="2" t="s">
        <v>91</v>
      </c>
      <c r="H817" s="2" t="s">
        <v>4516</v>
      </c>
      <c r="I817" s="3" t="s">
        <v>4517</v>
      </c>
      <c r="J817" s="2" t="s">
        <v>4518</v>
      </c>
      <c r="K817" s="2" t="s">
        <v>4519</v>
      </c>
      <c r="L817" s="4" t="n">
        <v>78</v>
      </c>
      <c r="M817" s="4" t="s">
        <v>43</v>
      </c>
      <c r="N817" s="5" t="n">
        <v>78</v>
      </c>
      <c r="O817" s="6" t="n">
        <v>67</v>
      </c>
      <c r="P817" s="6" t="s">
        <v>44</v>
      </c>
      <c r="Q817" s="7" t="n">
        <v>67</v>
      </c>
      <c r="R817" s="8" t="n">
        <v>43</v>
      </c>
      <c r="S817" s="8" t="s">
        <v>45</v>
      </c>
      <c r="T817" s="9" t="n">
        <v>43</v>
      </c>
      <c r="U817" s="10" t="n">
        <v>85</v>
      </c>
      <c r="V817" s="10" t="s">
        <v>42</v>
      </c>
      <c r="W817" s="11" t="n">
        <v>85</v>
      </c>
      <c r="X817" s="12" t="n">
        <v>88</v>
      </c>
      <c r="Y817" s="12" t="s">
        <v>42</v>
      </c>
      <c r="Z817" s="13" t="n">
        <v>88</v>
      </c>
      <c r="AA817" s="14" t="n">
        <v>72</v>
      </c>
      <c r="AB817" s="14" t="s">
        <v>43</v>
      </c>
      <c r="AC817" s="15" t="n">
        <v>72</v>
      </c>
      <c r="AD817" s="2" t="n">
        <f aca="false">SUM(L817,O817,R817,U817,X817,AA817)</f>
        <v>433</v>
      </c>
      <c r="AE817" s="16" t="n">
        <f aca="false">AD817/6</f>
        <v>72.1666666666667</v>
      </c>
      <c r="AF817" s="2" t="str">
        <f aca="false">IF(SUM(COUNTIF(M817,"RA"),COUNTIF(P817,"RA"),COUNTIF(S817,"RA"),COUNTIF(V817,"RA"),COUNTIF(Y817,"RA"),COUNTIF(AB817,"RA"))&gt;0,"FAIL","PASS")</f>
        <v>FAIL</v>
      </c>
    </row>
    <row r="818" customFormat="false" ht="15" hidden="false" customHeight="false" outlineLevel="0" collapsed="false">
      <c r="A818" s="2" t="n">
        <v>817</v>
      </c>
      <c r="B818" s="3" t="s">
        <v>4520</v>
      </c>
      <c r="C818" s="2" t="s">
        <v>803</v>
      </c>
      <c r="D818" s="2" t="s">
        <v>4521</v>
      </c>
      <c r="E818" s="2" t="s">
        <v>57</v>
      </c>
      <c r="F818" s="2" t="s">
        <v>36</v>
      </c>
      <c r="G818" s="2" t="s">
        <v>71</v>
      </c>
      <c r="H818" s="2" t="s">
        <v>1323</v>
      </c>
      <c r="I818" s="3" t="s">
        <v>171</v>
      </c>
      <c r="J818" s="2" t="s">
        <v>4522</v>
      </c>
      <c r="K818" s="2" t="s">
        <v>4523</v>
      </c>
      <c r="L818" s="4" t="n">
        <v>81</v>
      </c>
      <c r="M818" s="4" t="s">
        <v>42</v>
      </c>
      <c r="N818" s="5" t="n">
        <v>81</v>
      </c>
      <c r="O818" s="6" t="n">
        <v>64</v>
      </c>
      <c r="P818" s="6" t="s">
        <v>44</v>
      </c>
      <c r="Q818" s="7" t="n">
        <v>64</v>
      </c>
      <c r="R818" s="8" t="n">
        <v>61</v>
      </c>
      <c r="S818" s="8" t="s">
        <v>44</v>
      </c>
      <c r="T818" s="9" t="n">
        <v>61</v>
      </c>
      <c r="U818" s="10" t="n">
        <v>76</v>
      </c>
      <c r="V818" s="10" t="s">
        <v>43</v>
      </c>
      <c r="W818" s="11" t="n">
        <v>76</v>
      </c>
      <c r="X818" s="12" t="n">
        <v>43</v>
      </c>
      <c r="Y818" s="12" t="s">
        <v>45</v>
      </c>
      <c r="Z818" s="13" t="n">
        <v>43</v>
      </c>
      <c r="AA818" s="14" t="n">
        <v>86</v>
      </c>
      <c r="AB818" s="14" t="s">
        <v>42</v>
      </c>
      <c r="AC818" s="15" t="n">
        <v>86</v>
      </c>
      <c r="AD818" s="2" t="n">
        <f aca="false">SUM(L818,O818,R818,U818,X818,AA818)</f>
        <v>411</v>
      </c>
      <c r="AE818" s="16" t="n">
        <f aca="false">AD818/6</f>
        <v>68.5</v>
      </c>
      <c r="AF818" s="2" t="str">
        <f aca="false">IF(SUM(COUNTIF(M818,"RA"),COUNTIF(P818,"RA"),COUNTIF(S818,"RA"),COUNTIF(V818,"RA"),COUNTIF(Y818,"RA"),COUNTIF(AB818,"RA"))&gt;0,"FAIL","PASS")</f>
        <v>FAIL</v>
      </c>
    </row>
    <row r="819" customFormat="false" ht="15" hidden="false" customHeight="false" outlineLevel="0" collapsed="false">
      <c r="A819" s="2" t="n">
        <v>818</v>
      </c>
      <c r="B819" s="3" t="s">
        <v>4524</v>
      </c>
      <c r="C819" s="2" t="s">
        <v>912</v>
      </c>
      <c r="D819" s="2" t="s">
        <v>4525</v>
      </c>
      <c r="E819" s="2" t="s">
        <v>35</v>
      </c>
      <c r="F819" s="2" t="s">
        <v>36</v>
      </c>
      <c r="G819" s="2" t="s">
        <v>44</v>
      </c>
      <c r="H819" s="2" t="s">
        <v>4526</v>
      </c>
      <c r="I819" s="3" t="s">
        <v>3050</v>
      </c>
      <c r="J819" s="2" t="s">
        <v>4527</v>
      </c>
      <c r="K819" s="2" t="s">
        <v>4528</v>
      </c>
      <c r="L819" s="4" t="n">
        <v>75</v>
      </c>
      <c r="M819" s="4" t="s">
        <v>43</v>
      </c>
      <c r="N819" s="5" t="n">
        <v>75</v>
      </c>
      <c r="O819" s="6" t="n">
        <v>72</v>
      </c>
      <c r="P819" s="6" t="s">
        <v>43</v>
      </c>
      <c r="Q819" s="7" t="n">
        <v>72</v>
      </c>
      <c r="R819" s="8" t="n">
        <v>61</v>
      </c>
      <c r="S819" s="8" t="s">
        <v>44</v>
      </c>
      <c r="T819" s="9" t="n">
        <v>61</v>
      </c>
      <c r="U819" s="10" t="n">
        <v>95</v>
      </c>
      <c r="V819" s="10" t="s">
        <v>54</v>
      </c>
      <c r="W819" s="11" t="n">
        <v>95</v>
      </c>
      <c r="X819" s="12" t="n">
        <v>91</v>
      </c>
      <c r="Y819" s="12" t="s">
        <v>54</v>
      </c>
      <c r="Z819" s="13" t="n">
        <v>91</v>
      </c>
      <c r="AA819" s="14" t="n">
        <v>60</v>
      </c>
      <c r="AB819" s="14" t="s">
        <v>44</v>
      </c>
      <c r="AC819" s="15" t="n">
        <v>60</v>
      </c>
      <c r="AD819" s="2" t="n">
        <f aca="false">SUM(L819,O819,R819,U819,X819,AA819)</f>
        <v>454</v>
      </c>
      <c r="AE819" s="16" t="n">
        <f aca="false">AD819/6</f>
        <v>75.6666666666667</v>
      </c>
      <c r="AF819" s="2" t="str">
        <f aca="false">IF(SUM(COUNTIF(M819,"RA"),COUNTIF(P819,"RA"),COUNTIF(S819,"RA"),COUNTIF(V819,"RA"),COUNTIF(Y819,"RA"),COUNTIF(AB819,"RA"))&gt;0,"FAIL","PASS")</f>
        <v>PASS</v>
      </c>
    </row>
    <row r="820" customFormat="false" ht="15" hidden="false" customHeight="false" outlineLevel="0" collapsed="false">
      <c r="A820" s="2" t="n">
        <v>819</v>
      </c>
      <c r="B820" s="3" t="s">
        <v>4529</v>
      </c>
      <c r="C820" s="2" t="s">
        <v>750</v>
      </c>
      <c r="D820" s="2" t="s">
        <v>4530</v>
      </c>
      <c r="E820" s="2" t="s">
        <v>35</v>
      </c>
      <c r="F820" s="2" t="s">
        <v>36</v>
      </c>
      <c r="G820" s="2" t="s">
        <v>48</v>
      </c>
      <c r="H820" s="2" t="s">
        <v>4531</v>
      </c>
      <c r="I820" s="3" t="s">
        <v>1630</v>
      </c>
      <c r="J820" s="2" t="s">
        <v>4532</v>
      </c>
      <c r="K820" s="2" t="s">
        <v>4533</v>
      </c>
      <c r="L820" s="4" t="n">
        <v>66</v>
      </c>
      <c r="M820" s="4" t="s">
        <v>44</v>
      </c>
      <c r="N820" s="5" t="n">
        <v>66</v>
      </c>
      <c r="O820" s="6" t="n">
        <v>68</v>
      </c>
      <c r="P820" s="6" t="s">
        <v>44</v>
      </c>
      <c r="Q820" s="7" t="n">
        <v>68</v>
      </c>
      <c r="R820" s="8" t="n">
        <v>100</v>
      </c>
      <c r="S820" s="8" t="s">
        <v>54</v>
      </c>
      <c r="T820" s="9" t="n">
        <v>100</v>
      </c>
      <c r="U820" s="10" t="n">
        <v>51</v>
      </c>
      <c r="V820" s="10" t="s">
        <v>53</v>
      </c>
      <c r="W820" s="11" t="n">
        <v>51</v>
      </c>
      <c r="X820" s="12" t="n">
        <v>79</v>
      </c>
      <c r="Y820" s="12" t="s">
        <v>43</v>
      </c>
      <c r="Z820" s="13" t="n">
        <v>79</v>
      </c>
      <c r="AA820" s="14" t="n">
        <v>91</v>
      </c>
      <c r="AB820" s="14" t="s">
        <v>54</v>
      </c>
      <c r="AC820" s="15" t="n">
        <v>91</v>
      </c>
      <c r="AD820" s="2" t="n">
        <f aca="false">SUM(L820,O820,R820,U820,X820,AA820)</f>
        <v>455</v>
      </c>
      <c r="AE820" s="16" t="n">
        <f aca="false">AD820/6</f>
        <v>75.8333333333333</v>
      </c>
      <c r="AF820" s="2" t="str">
        <f aca="false">IF(SUM(COUNTIF(M820,"RA"),COUNTIF(P820,"RA"),COUNTIF(S820,"RA"),COUNTIF(V820,"RA"),COUNTIF(Y820,"RA"),COUNTIF(AB820,"RA"))&gt;0,"FAIL","PASS")</f>
        <v>PASS</v>
      </c>
    </row>
    <row r="821" customFormat="false" ht="15" hidden="false" customHeight="false" outlineLevel="0" collapsed="false">
      <c r="A821" s="2" t="n">
        <v>820</v>
      </c>
      <c r="B821" s="3" t="s">
        <v>4534</v>
      </c>
      <c r="C821" s="2" t="s">
        <v>783</v>
      </c>
      <c r="D821" s="2" t="s">
        <v>4535</v>
      </c>
      <c r="E821" s="2" t="s">
        <v>35</v>
      </c>
      <c r="F821" s="2" t="s">
        <v>36</v>
      </c>
      <c r="G821" s="2" t="s">
        <v>91</v>
      </c>
      <c r="H821" s="2" t="s">
        <v>2539</v>
      </c>
      <c r="I821" s="3" t="s">
        <v>4536</v>
      </c>
      <c r="J821" s="2" t="s">
        <v>4537</v>
      </c>
      <c r="K821" s="2" t="s">
        <v>4538</v>
      </c>
      <c r="L821" s="4" t="n">
        <v>77</v>
      </c>
      <c r="M821" s="4" t="s">
        <v>43</v>
      </c>
      <c r="N821" s="5" t="n">
        <v>77</v>
      </c>
      <c r="O821" s="6" t="n">
        <v>59</v>
      </c>
      <c r="P821" s="6" t="s">
        <v>53</v>
      </c>
      <c r="Q821" s="7" t="n">
        <v>59</v>
      </c>
      <c r="R821" s="8" t="n">
        <v>97</v>
      </c>
      <c r="S821" s="8" t="s">
        <v>54</v>
      </c>
      <c r="T821" s="9" t="n">
        <v>97</v>
      </c>
      <c r="U821" s="10" t="n">
        <v>50</v>
      </c>
      <c r="V821" s="10" t="s">
        <v>53</v>
      </c>
      <c r="W821" s="11" t="n">
        <v>50</v>
      </c>
      <c r="X821" s="12" t="n">
        <v>82</v>
      </c>
      <c r="Y821" s="12" t="s">
        <v>42</v>
      </c>
      <c r="Z821" s="13" t="n">
        <v>82</v>
      </c>
      <c r="AA821" s="14" t="n">
        <v>87</v>
      </c>
      <c r="AB821" s="14" t="s">
        <v>42</v>
      </c>
      <c r="AC821" s="15" t="n">
        <v>87</v>
      </c>
      <c r="AD821" s="2" t="n">
        <f aca="false">SUM(L821,O821,R821,U821,X821,AA821)</f>
        <v>452</v>
      </c>
      <c r="AE821" s="16" t="n">
        <f aca="false">AD821/6</f>
        <v>75.3333333333333</v>
      </c>
      <c r="AF821" s="2" t="str">
        <f aca="false">IF(SUM(COUNTIF(M821,"RA"),COUNTIF(P821,"RA"),COUNTIF(S821,"RA"),COUNTIF(V821,"RA"),COUNTIF(Y821,"RA"),COUNTIF(AB821,"RA"))&gt;0,"FAIL","PASS")</f>
        <v>PASS</v>
      </c>
    </row>
    <row r="822" customFormat="false" ht="15" hidden="false" customHeight="false" outlineLevel="0" collapsed="false">
      <c r="A822" s="2" t="n">
        <v>821</v>
      </c>
      <c r="B822" s="3" t="s">
        <v>4539</v>
      </c>
      <c r="C822" s="2" t="s">
        <v>859</v>
      </c>
      <c r="D822" s="2" t="s">
        <v>4540</v>
      </c>
      <c r="E822" s="2" t="s">
        <v>35</v>
      </c>
      <c r="F822" s="2" t="s">
        <v>36</v>
      </c>
      <c r="G822" s="2" t="s">
        <v>91</v>
      </c>
      <c r="H822" s="2" t="s">
        <v>4541</v>
      </c>
      <c r="I822" s="3" t="s">
        <v>2972</v>
      </c>
      <c r="J822" s="2" t="s">
        <v>4542</v>
      </c>
      <c r="K822" s="2" t="s">
        <v>4543</v>
      </c>
      <c r="L822" s="4" t="n">
        <v>64</v>
      </c>
      <c r="M822" s="4" t="s">
        <v>44</v>
      </c>
      <c r="N822" s="5" t="n">
        <v>64</v>
      </c>
      <c r="O822" s="6" t="n">
        <v>49</v>
      </c>
      <c r="P822" s="6" t="s">
        <v>45</v>
      </c>
      <c r="Q822" s="7" t="n">
        <v>49</v>
      </c>
      <c r="R822" s="8" t="n">
        <v>62</v>
      </c>
      <c r="S822" s="8" t="s">
        <v>44</v>
      </c>
      <c r="T822" s="9" t="n">
        <v>62</v>
      </c>
      <c r="U822" s="10" t="n">
        <v>89</v>
      </c>
      <c r="V822" s="10" t="s">
        <v>42</v>
      </c>
      <c r="W822" s="11" t="n">
        <v>89</v>
      </c>
      <c r="X822" s="12" t="n">
        <v>93</v>
      </c>
      <c r="Y822" s="12" t="s">
        <v>54</v>
      </c>
      <c r="Z822" s="13" t="n">
        <v>93</v>
      </c>
      <c r="AA822" s="14" t="n">
        <v>98</v>
      </c>
      <c r="AB822" s="14" t="s">
        <v>54</v>
      </c>
      <c r="AC822" s="15" t="n">
        <v>98</v>
      </c>
      <c r="AD822" s="2" t="n">
        <f aca="false">SUM(L822,O822,R822,U822,X822,AA822)</f>
        <v>455</v>
      </c>
      <c r="AE822" s="16" t="n">
        <f aca="false">AD822/6</f>
        <v>75.8333333333333</v>
      </c>
      <c r="AF822" s="2" t="str">
        <f aca="false">IF(SUM(COUNTIF(M822,"RA"),COUNTIF(P822,"RA"),COUNTIF(S822,"RA"),COUNTIF(V822,"RA"),COUNTIF(Y822,"RA"),COUNTIF(AB822,"RA"))&gt;0,"FAIL","PASS")</f>
        <v>FAIL</v>
      </c>
    </row>
    <row r="823" customFormat="false" ht="15" hidden="false" customHeight="false" outlineLevel="0" collapsed="false">
      <c r="A823" s="2" t="n">
        <v>822</v>
      </c>
      <c r="B823" s="3" t="s">
        <v>4544</v>
      </c>
      <c r="C823" s="2" t="s">
        <v>750</v>
      </c>
      <c r="D823" s="2" t="s">
        <v>4545</v>
      </c>
      <c r="E823" s="2" t="s">
        <v>57</v>
      </c>
      <c r="F823" s="2" t="s">
        <v>36</v>
      </c>
      <c r="G823" s="2" t="s">
        <v>48</v>
      </c>
      <c r="H823" s="2" t="s">
        <v>4546</v>
      </c>
      <c r="I823" s="3" t="s">
        <v>4547</v>
      </c>
      <c r="J823" s="2" t="s">
        <v>4548</v>
      </c>
      <c r="K823" s="2" t="s">
        <v>4549</v>
      </c>
      <c r="L823" s="4" t="n">
        <v>61</v>
      </c>
      <c r="M823" s="4" t="s">
        <v>44</v>
      </c>
      <c r="N823" s="5" t="n">
        <v>61</v>
      </c>
      <c r="O823" s="6" t="n">
        <v>76</v>
      </c>
      <c r="P823" s="6" t="s">
        <v>43</v>
      </c>
      <c r="Q823" s="7" t="n">
        <v>76</v>
      </c>
      <c r="R823" s="8" t="n">
        <v>80</v>
      </c>
      <c r="S823" s="8" t="s">
        <v>42</v>
      </c>
      <c r="T823" s="9" t="n">
        <v>80</v>
      </c>
      <c r="U823" s="10" t="n">
        <v>66</v>
      </c>
      <c r="V823" s="10" t="s">
        <v>44</v>
      </c>
      <c r="W823" s="11" t="n">
        <v>66</v>
      </c>
      <c r="X823" s="12" t="n">
        <v>96</v>
      </c>
      <c r="Y823" s="12" t="s">
        <v>54</v>
      </c>
      <c r="Z823" s="13" t="n">
        <v>96</v>
      </c>
      <c r="AA823" s="14" t="n">
        <v>86</v>
      </c>
      <c r="AB823" s="14" t="s">
        <v>42</v>
      </c>
      <c r="AC823" s="15" t="n">
        <v>86</v>
      </c>
      <c r="AD823" s="2" t="n">
        <f aca="false">SUM(L823,O823,R823,U823,X823,AA823)</f>
        <v>465</v>
      </c>
      <c r="AE823" s="16" t="n">
        <f aca="false">AD823/6</f>
        <v>77.5</v>
      </c>
      <c r="AF823" s="2" t="str">
        <f aca="false">IF(SUM(COUNTIF(M823,"RA"),COUNTIF(P823,"RA"),COUNTIF(S823,"RA"),COUNTIF(V823,"RA"),COUNTIF(Y823,"RA"),COUNTIF(AB823,"RA"))&gt;0,"FAIL","PASS")</f>
        <v>PASS</v>
      </c>
    </row>
    <row r="824" customFormat="false" ht="15" hidden="false" customHeight="false" outlineLevel="0" collapsed="false">
      <c r="A824" s="2" t="n">
        <v>823</v>
      </c>
      <c r="B824" s="3" t="s">
        <v>4550</v>
      </c>
      <c r="C824" s="2" t="s">
        <v>770</v>
      </c>
      <c r="D824" s="2" t="s">
        <v>4551</v>
      </c>
      <c r="E824" s="2" t="s">
        <v>35</v>
      </c>
      <c r="F824" s="2" t="s">
        <v>36</v>
      </c>
      <c r="G824" s="2" t="s">
        <v>44</v>
      </c>
      <c r="H824" s="2" t="s">
        <v>3279</v>
      </c>
      <c r="I824" s="3" t="s">
        <v>343</v>
      </c>
      <c r="J824" s="2" t="s">
        <v>4552</v>
      </c>
      <c r="K824" s="2" t="s">
        <v>4553</v>
      </c>
      <c r="L824" s="4" t="n">
        <v>84</v>
      </c>
      <c r="M824" s="4" t="s">
        <v>42</v>
      </c>
      <c r="N824" s="5" t="n">
        <v>84</v>
      </c>
      <c r="O824" s="6" t="n">
        <v>95</v>
      </c>
      <c r="P824" s="6" t="s">
        <v>54</v>
      </c>
      <c r="Q824" s="7" t="n">
        <v>95</v>
      </c>
      <c r="R824" s="8" t="n">
        <v>100</v>
      </c>
      <c r="S824" s="8" t="s">
        <v>54</v>
      </c>
      <c r="T824" s="9" t="n">
        <v>100</v>
      </c>
      <c r="U824" s="10" t="n">
        <v>75</v>
      </c>
      <c r="V824" s="10" t="s">
        <v>43</v>
      </c>
      <c r="W824" s="11" t="n">
        <v>75</v>
      </c>
      <c r="X824" s="12" t="n">
        <v>97</v>
      </c>
      <c r="Y824" s="12" t="s">
        <v>54</v>
      </c>
      <c r="Z824" s="13" t="n">
        <v>97</v>
      </c>
      <c r="AA824" s="14" t="n">
        <v>100</v>
      </c>
      <c r="AB824" s="14" t="s">
        <v>54</v>
      </c>
      <c r="AC824" s="15" t="n">
        <v>100</v>
      </c>
      <c r="AD824" s="2" t="n">
        <f aca="false">SUM(L824,O824,R824,U824,X824,AA824)</f>
        <v>551</v>
      </c>
      <c r="AE824" s="16" t="n">
        <f aca="false">AD824/6</f>
        <v>91.8333333333333</v>
      </c>
      <c r="AF824" s="2" t="str">
        <f aca="false">IF(SUM(COUNTIF(M824,"RA"),COUNTIF(P824,"RA"),COUNTIF(S824,"RA"),COUNTIF(V824,"RA"),COUNTIF(Y824,"RA"),COUNTIF(AB824,"RA"))&gt;0,"FAIL","PASS")</f>
        <v>PASS</v>
      </c>
    </row>
    <row r="825" customFormat="false" ht="15" hidden="false" customHeight="false" outlineLevel="0" collapsed="false">
      <c r="A825" s="2" t="n">
        <v>824</v>
      </c>
      <c r="B825" s="3" t="s">
        <v>4554</v>
      </c>
      <c r="C825" s="2" t="s">
        <v>803</v>
      </c>
      <c r="D825" s="2" t="s">
        <v>4555</v>
      </c>
      <c r="E825" s="2" t="s">
        <v>35</v>
      </c>
      <c r="F825" s="2" t="s">
        <v>36</v>
      </c>
      <c r="G825" s="2" t="s">
        <v>91</v>
      </c>
      <c r="H825" s="2" t="s">
        <v>4556</v>
      </c>
      <c r="I825" s="3" t="s">
        <v>607</v>
      </c>
      <c r="J825" s="2" t="s">
        <v>4557</v>
      </c>
      <c r="K825" s="2" t="s">
        <v>4558</v>
      </c>
      <c r="L825" s="4" t="n">
        <v>77</v>
      </c>
      <c r="M825" s="4" t="s">
        <v>43</v>
      </c>
      <c r="N825" s="5" t="n">
        <v>77</v>
      </c>
      <c r="O825" s="6" t="n">
        <v>71</v>
      </c>
      <c r="P825" s="6" t="s">
        <v>43</v>
      </c>
      <c r="Q825" s="7" t="n">
        <v>71</v>
      </c>
      <c r="R825" s="8" t="n">
        <v>77</v>
      </c>
      <c r="S825" s="8" t="s">
        <v>43</v>
      </c>
      <c r="T825" s="9" t="n">
        <v>77</v>
      </c>
      <c r="U825" s="10" t="n">
        <v>87</v>
      </c>
      <c r="V825" s="10" t="s">
        <v>42</v>
      </c>
      <c r="W825" s="11" t="n">
        <v>87</v>
      </c>
      <c r="X825" s="12" t="n">
        <v>52</v>
      </c>
      <c r="Y825" s="12" t="s">
        <v>53</v>
      </c>
      <c r="Z825" s="13" t="n">
        <v>52</v>
      </c>
      <c r="AA825" s="14" t="n">
        <v>88</v>
      </c>
      <c r="AB825" s="14" t="s">
        <v>42</v>
      </c>
      <c r="AC825" s="15" t="n">
        <v>88</v>
      </c>
      <c r="AD825" s="2" t="n">
        <f aca="false">SUM(L825,O825,R825,U825,X825,AA825)</f>
        <v>452</v>
      </c>
      <c r="AE825" s="16" t="n">
        <f aca="false">AD825/6</f>
        <v>75.3333333333333</v>
      </c>
      <c r="AF825" s="2" t="str">
        <f aca="false">IF(SUM(COUNTIF(M825,"RA"),COUNTIF(P825,"RA"),COUNTIF(S825,"RA"),COUNTIF(V825,"RA"),COUNTIF(Y825,"RA"),COUNTIF(AB825,"RA"))&gt;0,"FAIL","PASS")</f>
        <v>PASS</v>
      </c>
    </row>
    <row r="826" customFormat="false" ht="15" hidden="false" customHeight="false" outlineLevel="0" collapsed="false">
      <c r="A826" s="2" t="n">
        <v>825</v>
      </c>
      <c r="B826" s="3" t="s">
        <v>4559</v>
      </c>
      <c r="C826" s="2" t="s">
        <v>757</v>
      </c>
      <c r="D826" s="2" t="s">
        <v>4560</v>
      </c>
      <c r="E826" s="2" t="s">
        <v>35</v>
      </c>
      <c r="F826" s="2" t="s">
        <v>36</v>
      </c>
      <c r="G826" s="2" t="s">
        <v>64</v>
      </c>
      <c r="H826" s="2" t="s">
        <v>2140</v>
      </c>
      <c r="I826" s="3" t="s">
        <v>2073</v>
      </c>
      <c r="J826" s="2" t="s">
        <v>4561</v>
      </c>
      <c r="K826" s="2" t="s">
        <v>4562</v>
      </c>
      <c r="L826" s="4" t="n">
        <v>86</v>
      </c>
      <c r="M826" s="4" t="s">
        <v>42</v>
      </c>
      <c r="N826" s="5" t="n">
        <v>86</v>
      </c>
      <c r="O826" s="6" t="n">
        <v>73</v>
      </c>
      <c r="P826" s="6" t="s">
        <v>43</v>
      </c>
      <c r="Q826" s="7" t="n">
        <v>73</v>
      </c>
      <c r="R826" s="8" t="n">
        <v>56</v>
      </c>
      <c r="S826" s="8" t="s">
        <v>53</v>
      </c>
      <c r="T826" s="9" t="n">
        <v>56</v>
      </c>
      <c r="U826" s="10" t="n">
        <v>60</v>
      </c>
      <c r="V826" s="10" t="s">
        <v>44</v>
      </c>
      <c r="W826" s="11" t="n">
        <v>60</v>
      </c>
      <c r="X826" s="12" t="n">
        <v>97</v>
      </c>
      <c r="Y826" s="12" t="s">
        <v>54</v>
      </c>
      <c r="Z826" s="13" t="n">
        <v>97</v>
      </c>
      <c r="AA826" s="14" t="n">
        <v>72</v>
      </c>
      <c r="AB826" s="14" t="s">
        <v>43</v>
      </c>
      <c r="AC826" s="15" t="n">
        <v>72</v>
      </c>
      <c r="AD826" s="2" t="n">
        <f aca="false">SUM(L826,O826,R826,U826,X826,AA826)</f>
        <v>444</v>
      </c>
      <c r="AE826" s="16" t="n">
        <f aca="false">AD826/6</f>
        <v>74</v>
      </c>
      <c r="AF826" s="2" t="str">
        <f aca="false">IF(SUM(COUNTIF(M826,"RA"),COUNTIF(P826,"RA"),COUNTIF(S826,"RA"),COUNTIF(V826,"RA"),COUNTIF(Y826,"RA"),COUNTIF(AB826,"RA"))&gt;0,"FAIL","PASS")</f>
        <v>PASS</v>
      </c>
    </row>
    <row r="827" customFormat="false" ht="15" hidden="false" customHeight="false" outlineLevel="0" collapsed="false">
      <c r="A827" s="2" t="n">
        <v>826</v>
      </c>
      <c r="B827" s="3" t="s">
        <v>4563</v>
      </c>
      <c r="C827" s="2" t="s">
        <v>816</v>
      </c>
      <c r="D827" s="2" t="s">
        <v>4564</v>
      </c>
      <c r="E827" s="2" t="s">
        <v>57</v>
      </c>
      <c r="F827" s="2" t="s">
        <v>36</v>
      </c>
      <c r="G827" s="2" t="s">
        <v>44</v>
      </c>
      <c r="H827" s="2" t="s">
        <v>4565</v>
      </c>
      <c r="I827" s="3" t="s">
        <v>4566</v>
      </c>
      <c r="J827" s="2" t="s">
        <v>4567</v>
      </c>
      <c r="K827" s="2" t="s">
        <v>4568</v>
      </c>
      <c r="L827" s="4" t="n">
        <v>73</v>
      </c>
      <c r="M827" s="4" t="s">
        <v>43</v>
      </c>
      <c r="N827" s="5" t="n">
        <v>73</v>
      </c>
      <c r="O827" s="6" t="n">
        <v>95</v>
      </c>
      <c r="P827" s="6" t="s">
        <v>54</v>
      </c>
      <c r="Q827" s="7" t="n">
        <v>95</v>
      </c>
      <c r="R827" s="8" t="n">
        <v>88</v>
      </c>
      <c r="S827" s="8" t="s">
        <v>42</v>
      </c>
      <c r="T827" s="9" t="n">
        <v>88</v>
      </c>
      <c r="U827" s="10" t="n">
        <v>85</v>
      </c>
      <c r="V827" s="10" t="s">
        <v>42</v>
      </c>
      <c r="W827" s="11" t="n">
        <v>85</v>
      </c>
      <c r="X827" s="12" t="n">
        <v>64</v>
      </c>
      <c r="Y827" s="12" t="s">
        <v>44</v>
      </c>
      <c r="Z827" s="13" t="n">
        <v>64</v>
      </c>
      <c r="AA827" s="14" t="n">
        <v>70</v>
      </c>
      <c r="AB827" s="14" t="s">
        <v>43</v>
      </c>
      <c r="AC827" s="15" t="n">
        <v>70</v>
      </c>
      <c r="AD827" s="2" t="n">
        <f aca="false">SUM(L827,O827,R827,U827,X827,AA827)</f>
        <v>475</v>
      </c>
      <c r="AE827" s="16" t="n">
        <f aca="false">AD827/6</f>
        <v>79.1666666666667</v>
      </c>
      <c r="AF827" s="2" t="str">
        <f aca="false">IF(SUM(COUNTIF(M827,"RA"),COUNTIF(P827,"RA"),COUNTIF(S827,"RA"),COUNTIF(V827,"RA"),COUNTIF(Y827,"RA"),COUNTIF(AB827,"RA"))&gt;0,"FAIL","PASS")</f>
        <v>PASS</v>
      </c>
    </row>
    <row r="828" customFormat="false" ht="15" hidden="false" customHeight="false" outlineLevel="0" collapsed="false">
      <c r="A828" s="2" t="n">
        <v>827</v>
      </c>
      <c r="B828" s="3" t="s">
        <v>4569</v>
      </c>
      <c r="C828" s="2" t="s">
        <v>912</v>
      </c>
      <c r="D828" s="2" t="s">
        <v>4570</v>
      </c>
      <c r="E828" s="2" t="s">
        <v>57</v>
      </c>
      <c r="F828" s="2" t="s">
        <v>36</v>
      </c>
      <c r="G828" s="2" t="s">
        <v>37</v>
      </c>
      <c r="H828" s="2" t="s">
        <v>4194</v>
      </c>
      <c r="I828" s="3" t="s">
        <v>105</v>
      </c>
      <c r="J828" s="2" t="s">
        <v>4571</v>
      </c>
      <c r="K828" s="2" t="s">
        <v>4572</v>
      </c>
      <c r="L828" s="4" t="n">
        <v>55</v>
      </c>
      <c r="M828" s="4" t="s">
        <v>53</v>
      </c>
      <c r="N828" s="5" t="n">
        <v>55</v>
      </c>
      <c r="O828" s="6" t="n">
        <v>76</v>
      </c>
      <c r="P828" s="6" t="s">
        <v>43</v>
      </c>
      <c r="Q828" s="7" t="n">
        <v>76</v>
      </c>
      <c r="R828" s="8" t="n">
        <v>70</v>
      </c>
      <c r="S828" s="8" t="s">
        <v>43</v>
      </c>
      <c r="T828" s="9" t="n">
        <v>70</v>
      </c>
      <c r="U828" s="10" t="n">
        <v>77</v>
      </c>
      <c r="V828" s="10" t="s">
        <v>43</v>
      </c>
      <c r="W828" s="11" t="n">
        <v>77</v>
      </c>
      <c r="X828" s="12" t="n">
        <v>63</v>
      </c>
      <c r="Y828" s="12" t="s">
        <v>44</v>
      </c>
      <c r="Z828" s="13" t="n">
        <v>63</v>
      </c>
      <c r="AA828" s="14" t="n">
        <v>99</v>
      </c>
      <c r="AB828" s="14" t="s">
        <v>54</v>
      </c>
      <c r="AC828" s="15" t="n">
        <v>99</v>
      </c>
      <c r="AD828" s="2" t="n">
        <f aca="false">SUM(L828,O828,R828,U828,X828,AA828)</f>
        <v>440</v>
      </c>
      <c r="AE828" s="16" t="n">
        <f aca="false">AD828/6</f>
        <v>73.3333333333333</v>
      </c>
      <c r="AF828" s="2" t="str">
        <f aca="false">IF(SUM(COUNTIF(M828,"RA"),COUNTIF(P828,"RA"),COUNTIF(S828,"RA"),COUNTIF(V828,"RA"),COUNTIF(Y828,"RA"),COUNTIF(AB828,"RA"))&gt;0,"FAIL","PASS")</f>
        <v>PASS</v>
      </c>
    </row>
    <row r="829" customFormat="false" ht="15" hidden="false" customHeight="false" outlineLevel="0" collapsed="false">
      <c r="A829" s="2" t="n">
        <v>828</v>
      </c>
      <c r="B829" s="3" t="s">
        <v>4573</v>
      </c>
      <c r="C829" s="2" t="s">
        <v>816</v>
      </c>
      <c r="D829" s="2" t="s">
        <v>4574</v>
      </c>
      <c r="E829" s="2" t="s">
        <v>35</v>
      </c>
      <c r="F829" s="2" t="s">
        <v>36</v>
      </c>
      <c r="G829" s="2" t="s">
        <v>64</v>
      </c>
      <c r="H829" s="2" t="s">
        <v>765</v>
      </c>
      <c r="I829" s="3" t="s">
        <v>4575</v>
      </c>
      <c r="J829" s="2" t="s">
        <v>4576</v>
      </c>
      <c r="K829" s="2" t="s">
        <v>4577</v>
      </c>
      <c r="L829" s="4" t="n">
        <v>91</v>
      </c>
      <c r="M829" s="4" t="s">
        <v>54</v>
      </c>
      <c r="N829" s="5" t="n">
        <v>91</v>
      </c>
      <c r="O829" s="6" t="n">
        <v>63</v>
      </c>
      <c r="P829" s="6" t="s">
        <v>44</v>
      </c>
      <c r="Q829" s="7" t="n">
        <v>63</v>
      </c>
      <c r="R829" s="8" t="n">
        <v>87</v>
      </c>
      <c r="S829" s="8" t="s">
        <v>42</v>
      </c>
      <c r="T829" s="9" t="n">
        <v>87</v>
      </c>
      <c r="U829" s="10" t="n">
        <v>61</v>
      </c>
      <c r="V829" s="10" t="s">
        <v>44</v>
      </c>
      <c r="W829" s="11" t="n">
        <v>61</v>
      </c>
      <c r="X829" s="12" t="n">
        <v>96</v>
      </c>
      <c r="Y829" s="12" t="s">
        <v>54</v>
      </c>
      <c r="Z829" s="13" t="n">
        <v>96</v>
      </c>
      <c r="AA829" s="14" t="n">
        <v>73</v>
      </c>
      <c r="AB829" s="14" t="s">
        <v>43</v>
      </c>
      <c r="AC829" s="15" t="n">
        <v>73</v>
      </c>
      <c r="AD829" s="2" t="n">
        <f aca="false">SUM(L829,O829,R829,U829,X829,AA829)</f>
        <v>471</v>
      </c>
      <c r="AE829" s="16" t="n">
        <f aca="false">AD829/6</f>
        <v>78.5</v>
      </c>
      <c r="AF829" s="2" t="str">
        <f aca="false">IF(SUM(COUNTIF(M829,"RA"),COUNTIF(P829,"RA"),COUNTIF(S829,"RA"),COUNTIF(V829,"RA"),COUNTIF(Y829,"RA"),COUNTIF(AB829,"RA"))&gt;0,"FAIL","PASS")</f>
        <v>PASS</v>
      </c>
    </row>
    <row r="830" customFormat="false" ht="15" hidden="false" customHeight="false" outlineLevel="0" collapsed="false">
      <c r="A830" s="2" t="n">
        <v>829</v>
      </c>
      <c r="B830" s="3" t="s">
        <v>4578</v>
      </c>
      <c r="C830" s="2" t="s">
        <v>912</v>
      </c>
      <c r="D830" s="2" t="s">
        <v>4579</v>
      </c>
      <c r="E830" s="2" t="s">
        <v>35</v>
      </c>
      <c r="F830" s="2" t="s">
        <v>36</v>
      </c>
      <c r="G830" s="2" t="s">
        <v>42</v>
      </c>
      <c r="H830" s="2" t="s">
        <v>4580</v>
      </c>
      <c r="I830" s="3" t="s">
        <v>367</v>
      </c>
      <c r="J830" s="2" t="s">
        <v>4581</v>
      </c>
      <c r="K830" s="2" t="s">
        <v>4582</v>
      </c>
      <c r="L830" s="4" t="n">
        <v>67</v>
      </c>
      <c r="M830" s="4" t="s">
        <v>44</v>
      </c>
      <c r="N830" s="5" t="n">
        <v>67</v>
      </c>
      <c r="O830" s="6" t="n">
        <v>88</v>
      </c>
      <c r="P830" s="6" t="s">
        <v>42</v>
      </c>
      <c r="Q830" s="7" t="n">
        <v>88</v>
      </c>
      <c r="R830" s="8" t="n">
        <v>89</v>
      </c>
      <c r="S830" s="8" t="s">
        <v>42</v>
      </c>
      <c r="T830" s="9" t="n">
        <v>89</v>
      </c>
      <c r="U830" s="10" t="n">
        <v>61</v>
      </c>
      <c r="V830" s="10" t="s">
        <v>44</v>
      </c>
      <c r="W830" s="11" t="n">
        <v>61</v>
      </c>
      <c r="X830" s="12" t="n">
        <v>97</v>
      </c>
      <c r="Y830" s="12" t="s">
        <v>54</v>
      </c>
      <c r="Z830" s="13" t="n">
        <v>97</v>
      </c>
      <c r="AA830" s="14" t="n">
        <v>80</v>
      </c>
      <c r="AB830" s="14" t="s">
        <v>42</v>
      </c>
      <c r="AC830" s="15" t="n">
        <v>80</v>
      </c>
      <c r="AD830" s="2" t="n">
        <f aca="false">SUM(L830,O830,R830,U830,X830,AA830)</f>
        <v>482</v>
      </c>
      <c r="AE830" s="16" t="n">
        <f aca="false">AD830/6</f>
        <v>80.3333333333333</v>
      </c>
      <c r="AF830" s="2" t="str">
        <f aca="false">IF(SUM(COUNTIF(M830,"RA"),COUNTIF(P830,"RA"),COUNTIF(S830,"RA"),COUNTIF(V830,"RA"),COUNTIF(Y830,"RA"),COUNTIF(AB830,"RA"))&gt;0,"FAIL","PASS")</f>
        <v>PASS</v>
      </c>
    </row>
    <row r="831" customFormat="false" ht="15" hidden="false" customHeight="false" outlineLevel="0" collapsed="false">
      <c r="A831" s="2" t="n">
        <v>830</v>
      </c>
      <c r="B831" s="3" t="s">
        <v>4583</v>
      </c>
      <c r="C831" s="2" t="s">
        <v>841</v>
      </c>
      <c r="D831" s="2" t="s">
        <v>4584</v>
      </c>
      <c r="E831" s="2" t="s">
        <v>35</v>
      </c>
      <c r="F831" s="2" t="s">
        <v>36</v>
      </c>
      <c r="G831" s="2" t="s">
        <v>42</v>
      </c>
      <c r="H831" s="2" t="s">
        <v>4585</v>
      </c>
      <c r="I831" s="3" t="s">
        <v>1142</v>
      </c>
      <c r="J831" s="2" t="s">
        <v>4586</v>
      </c>
      <c r="K831" s="2" t="s">
        <v>4587</v>
      </c>
      <c r="L831" s="4" t="n">
        <v>82</v>
      </c>
      <c r="M831" s="4" t="s">
        <v>42</v>
      </c>
      <c r="N831" s="5" t="n">
        <v>82</v>
      </c>
      <c r="O831" s="6" t="n">
        <v>68</v>
      </c>
      <c r="P831" s="6" t="s">
        <v>44</v>
      </c>
      <c r="Q831" s="7" t="n">
        <v>68</v>
      </c>
      <c r="R831" s="8" t="n">
        <v>95</v>
      </c>
      <c r="S831" s="8" t="s">
        <v>54</v>
      </c>
      <c r="T831" s="9" t="n">
        <v>95</v>
      </c>
      <c r="U831" s="10" t="n">
        <v>64</v>
      </c>
      <c r="V831" s="10" t="s">
        <v>44</v>
      </c>
      <c r="W831" s="11" t="n">
        <v>64</v>
      </c>
      <c r="X831" s="12" t="n">
        <v>95</v>
      </c>
      <c r="Y831" s="12" t="s">
        <v>54</v>
      </c>
      <c r="Z831" s="13" t="n">
        <v>95</v>
      </c>
      <c r="AA831" s="14" t="n">
        <v>65</v>
      </c>
      <c r="AB831" s="14" t="s">
        <v>44</v>
      </c>
      <c r="AC831" s="15" t="n">
        <v>65</v>
      </c>
      <c r="AD831" s="2" t="n">
        <f aca="false">SUM(L831,O831,R831,U831,X831,AA831)</f>
        <v>469</v>
      </c>
      <c r="AE831" s="16" t="n">
        <f aca="false">AD831/6</f>
        <v>78.1666666666667</v>
      </c>
      <c r="AF831" s="2" t="str">
        <f aca="false">IF(SUM(COUNTIF(M831,"RA"),COUNTIF(P831,"RA"),COUNTIF(S831,"RA"),COUNTIF(V831,"RA"),COUNTIF(Y831,"RA"),COUNTIF(AB831,"RA"))&gt;0,"FAIL","PASS")</f>
        <v>PASS</v>
      </c>
    </row>
    <row r="832" customFormat="false" ht="15" hidden="false" customHeight="false" outlineLevel="0" collapsed="false">
      <c r="A832" s="2" t="n">
        <v>831</v>
      </c>
      <c r="B832" s="3" t="s">
        <v>4588</v>
      </c>
      <c r="C832" s="2" t="s">
        <v>859</v>
      </c>
      <c r="D832" s="2" t="s">
        <v>4589</v>
      </c>
      <c r="E832" s="2" t="s">
        <v>35</v>
      </c>
      <c r="F832" s="2" t="s">
        <v>36</v>
      </c>
      <c r="G832" s="2" t="s">
        <v>37</v>
      </c>
      <c r="H832" s="2" t="s">
        <v>4590</v>
      </c>
      <c r="I832" s="3" t="s">
        <v>1680</v>
      </c>
      <c r="J832" s="2" t="s">
        <v>4591</v>
      </c>
      <c r="K832" s="2" t="s">
        <v>4592</v>
      </c>
      <c r="L832" s="4" t="n">
        <v>80</v>
      </c>
      <c r="M832" s="4" t="s">
        <v>42</v>
      </c>
      <c r="N832" s="5" t="n">
        <v>80</v>
      </c>
      <c r="O832" s="6" t="n">
        <v>74</v>
      </c>
      <c r="P832" s="6" t="s">
        <v>43</v>
      </c>
      <c r="Q832" s="7" t="n">
        <v>74</v>
      </c>
      <c r="R832" s="8" t="n">
        <v>100</v>
      </c>
      <c r="S832" s="8" t="s">
        <v>54</v>
      </c>
      <c r="T832" s="9" t="n">
        <v>100</v>
      </c>
      <c r="U832" s="10" t="n">
        <v>60</v>
      </c>
      <c r="V832" s="10" t="s">
        <v>44</v>
      </c>
      <c r="W832" s="11" t="n">
        <v>60</v>
      </c>
      <c r="X832" s="12" t="n">
        <v>60</v>
      </c>
      <c r="Y832" s="12" t="s">
        <v>44</v>
      </c>
      <c r="Z832" s="13" t="n">
        <v>60</v>
      </c>
      <c r="AA832" s="14" t="n">
        <v>86</v>
      </c>
      <c r="AB832" s="14" t="s">
        <v>42</v>
      </c>
      <c r="AC832" s="15" t="n">
        <v>86</v>
      </c>
      <c r="AD832" s="2" t="n">
        <f aca="false">SUM(L832,O832,R832,U832,X832,AA832)</f>
        <v>460</v>
      </c>
      <c r="AE832" s="16" t="n">
        <f aca="false">AD832/6</f>
        <v>76.6666666666667</v>
      </c>
      <c r="AF832" s="2" t="str">
        <f aca="false">IF(SUM(COUNTIF(M832,"RA"),COUNTIF(P832,"RA"),COUNTIF(S832,"RA"),COUNTIF(V832,"RA"),COUNTIF(Y832,"RA"),COUNTIF(AB832,"RA"))&gt;0,"FAIL","PASS")</f>
        <v>PASS</v>
      </c>
    </row>
    <row r="833" customFormat="false" ht="15" hidden="false" customHeight="false" outlineLevel="0" collapsed="false">
      <c r="A833" s="2" t="n">
        <v>832</v>
      </c>
      <c r="B833" s="3" t="s">
        <v>4593</v>
      </c>
      <c r="C833" s="2" t="s">
        <v>803</v>
      </c>
      <c r="D833" s="2" t="s">
        <v>4594</v>
      </c>
      <c r="E833" s="2" t="s">
        <v>35</v>
      </c>
      <c r="F833" s="2" t="s">
        <v>36</v>
      </c>
      <c r="G833" s="2" t="s">
        <v>44</v>
      </c>
      <c r="H833" s="2" t="s">
        <v>1495</v>
      </c>
      <c r="I833" s="3" t="s">
        <v>4595</v>
      </c>
      <c r="J833" s="2" t="s">
        <v>4596</v>
      </c>
      <c r="K833" s="2" t="s">
        <v>4597</v>
      </c>
      <c r="L833" s="4" t="n">
        <v>75</v>
      </c>
      <c r="M833" s="4" t="s">
        <v>43</v>
      </c>
      <c r="N833" s="5" t="n">
        <v>75</v>
      </c>
      <c r="O833" s="6" t="n">
        <v>82</v>
      </c>
      <c r="P833" s="6" t="s">
        <v>42</v>
      </c>
      <c r="Q833" s="7" t="n">
        <v>82</v>
      </c>
      <c r="R833" s="8" t="n">
        <v>63</v>
      </c>
      <c r="S833" s="8" t="s">
        <v>44</v>
      </c>
      <c r="T833" s="9" t="n">
        <v>63</v>
      </c>
      <c r="U833" s="10" t="n">
        <v>84</v>
      </c>
      <c r="V833" s="10" t="s">
        <v>42</v>
      </c>
      <c r="W833" s="11" t="n">
        <v>84</v>
      </c>
      <c r="X833" s="12" t="n">
        <v>54</v>
      </c>
      <c r="Y833" s="12" t="s">
        <v>53</v>
      </c>
      <c r="Z833" s="13" t="n">
        <v>54</v>
      </c>
      <c r="AA833" s="14" t="n">
        <v>87</v>
      </c>
      <c r="AB833" s="14" t="s">
        <v>42</v>
      </c>
      <c r="AC833" s="15" t="n">
        <v>87</v>
      </c>
      <c r="AD833" s="2" t="n">
        <f aca="false">SUM(L833,O833,R833,U833,X833,AA833)</f>
        <v>445</v>
      </c>
      <c r="AE833" s="16" t="n">
        <f aca="false">AD833/6</f>
        <v>74.1666666666667</v>
      </c>
      <c r="AF833" s="2" t="str">
        <f aca="false">IF(SUM(COUNTIF(M833,"RA"),COUNTIF(P833,"RA"),COUNTIF(S833,"RA"),COUNTIF(V833,"RA"),COUNTIF(Y833,"RA"),COUNTIF(AB833,"RA"))&gt;0,"FAIL","PASS")</f>
        <v>PASS</v>
      </c>
    </row>
    <row r="834" customFormat="false" ht="15" hidden="false" customHeight="false" outlineLevel="0" collapsed="false">
      <c r="A834" s="2" t="n">
        <v>833</v>
      </c>
      <c r="B834" s="3" t="s">
        <v>4598</v>
      </c>
      <c r="C834" s="2" t="s">
        <v>770</v>
      </c>
      <c r="D834" s="2" t="s">
        <v>4599</v>
      </c>
      <c r="E834" s="2" t="s">
        <v>35</v>
      </c>
      <c r="F834" s="2" t="s">
        <v>36</v>
      </c>
      <c r="G834" s="2" t="s">
        <v>78</v>
      </c>
      <c r="H834" s="2" t="s">
        <v>4600</v>
      </c>
      <c r="I834" s="3" t="s">
        <v>497</v>
      </c>
      <c r="J834" s="2" t="s">
        <v>4601</v>
      </c>
      <c r="K834" s="2" t="s">
        <v>4602</v>
      </c>
      <c r="L834" s="4" t="n">
        <v>83</v>
      </c>
      <c r="M834" s="4" t="s">
        <v>42</v>
      </c>
      <c r="N834" s="5" t="n">
        <v>83</v>
      </c>
      <c r="O834" s="6" t="n">
        <v>91</v>
      </c>
      <c r="P834" s="6" t="s">
        <v>54</v>
      </c>
      <c r="Q834" s="7" t="n">
        <v>91</v>
      </c>
      <c r="R834" s="8" t="n">
        <v>87</v>
      </c>
      <c r="S834" s="8" t="s">
        <v>42</v>
      </c>
      <c r="T834" s="9" t="n">
        <v>87</v>
      </c>
      <c r="U834" s="10" t="n">
        <v>77</v>
      </c>
      <c r="V834" s="10" t="s">
        <v>43</v>
      </c>
      <c r="W834" s="11" t="n">
        <v>77</v>
      </c>
      <c r="X834" s="12" t="n">
        <v>73</v>
      </c>
      <c r="Y834" s="12" t="s">
        <v>43</v>
      </c>
      <c r="Z834" s="13" t="n">
        <v>73</v>
      </c>
      <c r="AA834" s="14" t="n">
        <v>45</v>
      </c>
      <c r="AB834" s="14" t="s">
        <v>45</v>
      </c>
      <c r="AC834" s="15" t="n">
        <v>45</v>
      </c>
      <c r="AD834" s="2" t="n">
        <f aca="false">SUM(L834,O834,R834,U834,X834,AA834)</f>
        <v>456</v>
      </c>
      <c r="AE834" s="16" t="n">
        <f aca="false">AD834/6</f>
        <v>76</v>
      </c>
      <c r="AF834" s="2" t="str">
        <f aca="false">IF(SUM(COUNTIF(M834,"RA"),COUNTIF(P834,"RA"),COUNTIF(S834,"RA"),COUNTIF(V834,"RA"),COUNTIF(Y834,"RA"),COUNTIF(AB834,"RA"))&gt;0,"FAIL","PASS")</f>
        <v>FAIL</v>
      </c>
    </row>
    <row r="835" customFormat="false" ht="15" hidden="false" customHeight="false" outlineLevel="0" collapsed="false">
      <c r="A835" s="2" t="n">
        <v>834</v>
      </c>
      <c r="B835" s="3" t="s">
        <v>4603</v>
      </c>
      <c r="C835" s="2" t="s">
        <v>841</v>
      </c>
      <c r="D835" s="2" t="s">
        <v>4604</v>
      </c>
      <c r="E835" s="2" t="s">
        <v>35</v>
      </c>
      <c r="F835" s="2" t="s">
        <v>36</v>
      </c>
      <c r="G835" s="2" t="s">
        <v>37</v>
      </c>
      <c r="H835" s="2" t="s">
        <v>484</v>
      </c>
      <c r="I835" s="3" t="s">
        <v>2130</v>
      </c>
      <c r="J835" s="2" t="s">
        <v>4605</v>
      </c>
      <c r="K835" s="2" t="s">
        <v>4606</v>
      </c>
      <c r="L835" s="4" t="n">
        <v>68</v>
      </c>
      <c r="M835" s="4" t="s">
        <v>44</v>
      </c>
      <c r="N835" s="5" t="n">
        <v>68</v>
      </c>
      <c r="O835" s="6" t="n">
        <v>56</v>
      </c>
      <c r="P835" s="6" t="s">
        <v>53</v>
      </c>
      <c r="Q835" s="7" t="n">
        <v>56</v>
      </c>
      <c r="R835" s="8" t="n">
        <v>70</v>
      </c>
      <c r="S835" s="8" t="s">
        <v>43</v>
      </c>
      <c r="T835" s="9" t="n">
        <v>70</v>
      </c>
      <c r="U835" s="10" t="n">
        <v>60</v>
      </c>
      <c r="V835" s="10" t="s">
        <v>44</v>
      </c>
      <c r="W835" s="11" t="n">
        <v>60</v>
      </c>
      <c r="X835" s="12" t="n">
        <v>92</v>
      </c>
      <c r="Y835" s="12" t="s">
        <v>54</v>
      </c>
      <c r="Z835" s="13" t="n">
        <v>92</v>
      </c>
      <c r="AA835" s="14" t="n">
        <v>44</v>
      </c>
      <c r="AB835" s="14" t="s">
        <v>45</v>
      </c>
      <c r="AC835" s="15" t="n">
        <v>44</v>
      </c>
      <c r="AD835" s="2" t="n">
        <f aca="false">SUM(L835,O835,R835,U835,X835,AA835)</f>
        <v>390</v>
      </c>
      <c r="AE835" s="16" t="n">
        <f aca="false">AD835/6</f>
        <v>65</v>
      </c>
      <c r="AF835" s="2" t="str">
        <f aca="false">IF(SUM(COUNTIF(M835,"RA"),COUNTIF(P835,"RA"),COUNTIF(S835,"RA"),COUNTIF(V835,"RA"),COUNTIF(Y835,"RA"),COUNTIF(AB835,"RA"))&gt;0,"FAIL","PASS")</f>
        <v>FAIL</v>
      </c>
    </row>
    <row r="836" customFormat="false" ht="15" hidden="false" customHeight="false" outlineLevel="0" collapsed="false">
      <c r="A836" s="2" t="n">
        <v>835</v>
      </c>
      <c r="B836" s="3" t="s">
        <v>4607</v>
      </c>
      <c r="C836" s="2" t="s">
        <v>841</v>
      </c>
      <c r="D836" s="2" t="s">
        <v>4608</v>
      </c>
      <c r="E836" s="2" t="s">
        <v>57</v>
      </c>
      <c r="F836" s="2" t="s">
        <v>36</v>
      </c>
      <c r="G836" s="2" t="s">
        <v>71</v>
      </c>
      <c r="H836" s="2" t="s">
        <v>4609</v>
      </c>
      <c r="I836" s="3" t="s">
        <v>3576</v>
      </c>
      <c r="J836" s="2" t="s">
        <v>4610</v>
      </c>
      <c r="K836" s="2" t="s">
        <v>4611</v>
      </c>
      <c r="L836" s="4" t="n">
        <v>43</v>
      </c>
      <c r="M836" s="4" t="s">
        <v>45</v>
      </c>
      <c r="N836" s="5" t="n">
        <v>43</v>
      </c>
      <c r="O836" s="6" t="n">
        <v>75</v>
      </c>
      <c r="P836" s="6" t="s">
        <v>43</v>
      </c>
      <c r="Q836" s="7" t="n">
        <v>75</v>
      </c>
      <c r="R836" s="8" t="n">
        <v>71</v>
      </c>
      <c r="S836" s="8" t="s">
        <v>43</v>
      </c>
      <c r="T836" s="9" t="n">
        <v>71</v>
      </c>
      <c r="U836" s="10" t="n">
        <v>88</v>
      </c>
      <c r="V836" s="10" t="s">
        <v>42</v>
      </c>
      <c r="W836" s="11" t="n">
        <v>88</v>
      </c>
      <c r="X836" s="12" t="n">
        <v>61</v>
      </c>
      <c r="Y836" s="12" t="s">
        <v>44</v>
      </c>
      <c r="Z836" s="13" t="n">
        <v>61</v>
      </c>
      <c r="AA836" s="14" t="n">
        <v>65</v>
      </c>
      <c r="AB836" s="14" t="s">
        <v>44</v>
      </c>
      <c r="AC836" s="15" t="n">
        <v>65</v>
      </c>
      <c r="AD836" s="2" t="n">
        <f aca="false">SUM(L836,O836,R836,U836,X836,AA836)</f>
        <v>403</v>
      </c>
      <c r="AE836" s="16" t="n">
        <f aca="false">AD836/6</f>
        <v>67.1666666666667</v>
      </c>
      <c r="AF836" s="2" t="str">
        <f aca="false">IF(SUM(COUNTIF(M836,"RA"),COUNTIF(P836,"RA"),COUNTIF(S836,"RA"),COUNTIF(V836,"RA"),COUNTIF(Y836,"RA"),COUNTIF(AB836,"RA"))&gt;0,"FAIL","PASS")</f>
        <v>FAIL</v>
      </c>
    </row>
    <row r="837" customFormat="false" ht="15" hidden="false" customHeight="false" outlineLevel="0" collapsed="false">
      <c r="A837" s="2" t="n">
        <v>836</v>
      </c>
      <c r="B837" s="3" t="s">
        <v>4612</v>
      </c>
      <c r="C837" s="2" t="s">
        <v>757</v>
      </c>
      <c r="D837" s="2" t="s">
        <v>4613</v>
      </c>
      <c r="E837" s="2" t="s">
        <v>57</v>
      </c>
      <c r="F837" s="2" t="s">
        <v>36</v>
      </c>
      <c r="G837" s="2" t="s">
        <v>44</v>
      </c>
      <c r="H837" s="2" t="s">
        <v>4614</v>
      </c>
      <c r="I837" s="3" t="s">
        <v>3815</v>
      </c>
      <c r="J837" s="2" t="s">
        <v>4615</v>
      </c>
      <c r="K837" s="2" t="s">
        <v>4616</v>
      </c>
      <c r="L837" s="4" t="n">
        <v>46</v>
      </c>
      <c r="M837" s="4" t="s">
        <v>45</v>
      </c>
      <c r="N837" s="5" t="n">
        <v>46</v>
      </c>
      <c r="O837" s="6" t="n">
        <v>48</v>
      </c>
      <c r="P837" s="6" t="s">
        <v>45</v>
      </c>
      <c r="Q837" s="7" t="n">
        <v>48</v>
      </c>
      <c r="R837" s="8" t="n">
        <v>89</v>
      </c>
      <c r="S837" s="8" t="s">
        <v>42</v>
      </c>
      <c r="T837" s="9" t="n">
        <v>89</v>
      </c>
      <c r="U837" s="10" t="n">
        <v>96</v>
      </c>
      <c r="V837" s="10" t="s">
        <v>54</v>
      </c>
      <c r="W837" s="11" t="n">
        <v>96</v>
      </c>
      <c r="X837" s="12" t="n">
        <v>70</v>
      </c>
      <c r="Y837" s="12" t="s">
        <v>43</v>
      </c>
      <c r="Z837" s="13" t="n">
        <v>70</v>
      </c>
      <c r="AA837" s="14" t="n">
        <v>70</v>
      </c>
      <c r="AB837" s="14" t="s">
        <v>43</v>
      </c>
      <c r="AC837" s="15" t="n">
        <v>70</v>
      </c>
      <c r="AD837" s="2" t="n">
        <f aca="false">SUM(L837,O837,R837,U837,X837,AA837)</f>
        <v>419</v>
      </c>
      <c r="AE837" s="16" t="n">
        <f aca="false">AD837/6</f>
        <v>69.8333333333333</v>
      </c>
      <c r="AF837" s="2" t="str">
        <f aca="false">IF(SUM(COUNTIF(M837,"RA"),COUNTIF(P837,"RA"),COUNTIF(S837,"RA"),COUNTIF(V837,"RA"),COUNTIF(Y837,"RA"),COUNTIF(AB837,"RA"))&gt;0,"FAIL","PASS")</f>
        <v>FAIL</v>
      </c>
    </row>
    <row r="838" customFormat="false" ht="15" hidden="false" customHeight="false" outlineLevel="0" collapsed="false">
      <c r="A838" s="2" t="n">
        <v>837</v>
      </c>
      <c r="B838" s="3" t="s">
        <v>4617</v>
      </c>
      <c r="C838" s="2" t="s">
        <v>757</v>
      </c>
      <c r="D838" s="2" t="s">
        <v>4618</v>
      </c>
      <c r="E838" s="2" t="s">
        <v>57</v>
      </c>
      <c r="F838" s="2" t="s">
        <v>36</v>
      </c>
      <c r="G838" s="2" t="s">
        <v>42</v>
      </c>
      <c r="H838" s="2" t="s">
        <v>4619</v>
      </c>
      <c r="I838" s="3" t="s">
        <v>595</v>
      </c>
      <c r="J838" s="2" t="s">
        <v>4620</v>
      </c>
      <c r="K838" s="2" t="s">
        <v>4621</v>
      </c>
      <c r="L838" s="4" t="n">
        <v>87</v>
      </c>
      <c r="M838" s="4" t="s">
        <v>42</v>
      </c>
      <c r="N838" s="5" t="n">
        <v>87</v>
      </c>
      <c r="O838" s="6" t="n">
        <v>67</v>
      </c>
      <c r="P838" s="6" t="s">
        <v>44</v>
      </c>
      <c r="Q838" s="7" t="n">
        <v>67</v>
      </c>
      <c r="R838" s="8" t="n">
        <v>75</v>
      </c>
      <c r="S838" s="8" t="s">
        <v>43</v>
      </c>
      <c r="T838" s="9" t="n">
        <v>75</v>
      </c>
      <c r="U838" s="10" t="n">
        <v>91</v>
      </c>
      <c r="V838" s="10" t="s">
        <v>54</v>
      </c>
      <c r="W838" s="11" t="n">
        <v>91</v>
      </c>
      <c r="X838" s="12" t="n">
        <v>98</v>
      </c>
      <c r="Y838" s="12" t="s">
        <v>54</v>
      </c>
      <c r="Z838" s="13" t="n">
        <v>98</v>
      </c>
      <c r="AA838" s="14" t="n">
        <v>63</v>
      </c>
      <c r="AB838" s="14" t="s">
        <v>44</v>
      </c>
      <c r="AC838" s="15" t="n">
        <v>63</v>
      </c>
      <c r="AD838" s="2" t="n">
        <f aca="false">SUM(L838,O838,R838,U838,X838,AA838)</f>
        <v>481</v>
      </c>
      <c r="AE838" s="16" t="n">
        <f aca="false">AD838/6</f>
        <v>80.1666666666667</v>
      </c>
      <c r="AF838" s="2" t="str">
        <f aca="false">IF(SUM(COUNTIF(M838,"RA"),COUNTIF(P838,"RA"),COUNTIF(S838,"RA"),COUNTIF(V838,"RA"),COUNTIF(Y838,"RA"),COUNTIF(AB838,"RA"))&gt;0,"FAIL","PASS")</f>
        <v>PASS</v>
      </c>
    </row>
    <row r="839" customFormat="false" ht="15" hidden="false" customHeight="false" outlineLevel="0" collapsed="false">
      <c r="A839" s="2" t="n">
        <v>838</v>
      </c>
      <c r="B839" s="3" t="s">
        <v>4622</v>
      </c>
      <c r="C839" s="2" t="s">
        <v>859</v>
      </c>
      <c r="D839" s="2" t="s">
        <v>4623</v>
      </c>
      <c r="E839" s="2" t="s">
        <v>35</v>
      </c>
      <c r="F839" s="2" t="s">
        <v>36</v>
      </c>
      <c r="G839" s="2" t="s">
        <v>48</v>
      </c>
      <c r="H839" s="2" t="s">
        <v>348</v>
      </c>
      <c r="I839" s="3" t="s">
        <v>4624</v>
      </c>
      <c r="J839" s="2" t="s">
        <v>4625</v>
      </c>
      <c r="K839" s="2" t="s">
        <v>4626</v>
      </c>
      <c r="L839" s="4" t="n">
        <v>72</v>
      </c>
      <c r="M839" s="4" t="s">
        <v>43</v>
      </c>
      <c r="N839" s="5" t="n">
        <v>72</v>
      </c>
      <c r="O839" s="6" t="n">
        <v>85</v>
      </c>
      <c r="P839" s="6" t="s">
        <v>42</v>
      </c>
      <c r="Q839" s="7" t="n">
        <v>85</v>
      </c>
      <c r="R839" s="8" t="n">
        <v>76</v>
      </c>
      <c r="S839" s="8" t="s">
        <v>43</v>
      </c>
      <c r="T839" s="9" t="n">
        <v>76</v>
      </c>
      <c r="U839" s="10" t="n">
        <v>46</v>
      </c>
      <c r="V839" s="10" t="s">
        <v>45</v>
      </c>
      <c r="W839" s="11" t="n">
        <v>46</v>
      </c>
      <c r="X839" s="12" t="n">
        <v>86</v>
      </c>
      <c r="Y839" s="12" t="s">
        <v>42</v>
      </c>
      <c r="Z839" s="13" t="n">
        <v>86</v>
      </c>
      <c r="AA839" s="14" t="n">
        <v>88</v>
      </c>
      <c r="AB839" s="14" t="s">
        <v>42</v>
      </c>
      <c r="AC839" s="15" t="n">
        <v>88</v>
      </c>
      <c r="AD839" s="2" t="n">
        <f aca="false">SUM(L839,O839,R839,U839,X839,AA839)</f>
        <v>453</v>
      </c>
      <c r="AE839" s="16" t="n">
        <f aca="false">AD839/6</f>
        <v>75.5</v>
      </c>
      <c r="AF839" s="2" t="str">
        <f aca="false">IF(SUM(COUNTIF(M839,"RA"),COUNTIF(P839,"RA"),COUNTIF(S839,"RA"),COUNTIF(V839,"RA"),COUNTIF(Y839,"RA"),COUNTIF(AB839,"RA"))&gt;0,"FAIL","PASS")</f>
        <v>FAIL</v>
      </c>
    </row>
    <row r="840" customFormat="false" ht="15" hidden="false" customHeight="false" outlineLevel="0" collapsed="false">
      <c r="A840" s="2" t="n">
        <v>839</v>
      </c>
      <c r="B840" s="3" t="s">
        <v>4627</v>
      </c>
      <c r="C840" s="2" t="s">
        <v>816</v>
      </c>
      <c r="D840" s="2" t="s">
        <v>4628</v>
      </c>
      <c r="E840" s="2" t="s">
        <v>57</v>
      </c>
      <c r="F840" s="2" t="s">
        <v>36</v>
      </c>
      <c r="G840" s="2" t="s">
        <v>91</v>
      </c>
      <c r="H840" s="2" t="s">
        <v>824</v>
      </c>
      <c r="I840" s="3" t="s">
        <v>4629</v>
      </c>
      <c r="J840" s="2" t="s">
        <v>4630</v>
      </c>
      <c r="K840" s="2" t="s">
        <v>4631</v>
      </c>
      <c r="L840" s="4" t="n">
        <v>83</v>
      </c>
      <c r="M840" s="4" t="s">
        <v>42</v>
      </c>
      <c r="N840" s="5" t="n">
        <v>83</v>
      </c>
      <c r="O840" s="6" t="n">
        <v>82</v>
      </c>
      <c r="P840" s="6" t="s">
        <v>42</v>
      </c>
      <c r="Q840" s="7" t="n">
        <v>82</v>
      </c>
      <c r="R840" s="8" t="n">
        <v>85</v>
      </c>
      <c r="S840" s="8" t="s">
        <v>42</v>
      </c>
      <c r="T840" s="9" t="n">
        <v>85</v>
      </c>
      <c r="U840" s="10" t="n">
        <v>53</v>
      </c>
      <c r="V840" s="10" t="s">
        <v>53</v>
      </c>
      <c r="W840" s="11" t="n">
        <v>53</v>
      </c>
      <c r="X840" s="12" t="n">
        <v>91</v>
      </c>
      <c r="Y840" s="12" t="s">
        <v>54</v>
      </c>
      <c r="Z840" s="13" t="n">
        <v>91</v>
      </c>
      <c r="AA840" s="14" t="n">
        <v>67</v>
      </c>
      <c r="AB840" s="14" t="s">
        <v>44</v>
      </c>
      <c r="AC840" s="15" t="n">
        <v>67</v>
      </c>
      <c r="AD840" s="2" t="n">
        <f aca="false">SUM(L840,O840,R840,U840,X840,AA840)</f>
        <v>461</v>
      </c>
      <c r="AE840" s="16" t="n">
        <f aca="false">AD840/6</f>
        <v>76.8333333333333</v>
      </c>
      <c r="AF840" s="2" t="str">
        <f aca="false">IF(SUM(COUNTIF(M840,"RA"),COUNTIF(P840,"RA"),COUNTIF(S840,"RA"),COUNTIF(V840,"RA"),COUNTIF(Y840,"RA"),COUNTIF(AB840,"RA"))&gt;0,"FAIL","PASS")</f>
        <v>PASS</v>
      </c>
    </row>
    <row r="841" customFormat="false" ht="15" hidden="false" customHeight="false" outlineLevel="0" collapsed="false">
      <c r="A841" s="2" t="n">
        <v>840</v>
      </c>
      <c r="B841" s="3" t="s">
        <v>4632</v>
      </c>
      <c r="C841" s="2" t="s">
        <v>757</v>
      </c>
      <c r="D841" s="2" t="s">
        <v>4633</v>
      </c>
      <c r="E841" s="2" t="s">
        <v>35</v>
      </c>
      <c r="F841" s="2" t="s">
        <v>36</v>
      </c>
      <c r="G841" s="2" t="s">
        <v>78</v>
      </c>
      <c r="H841" s="2" t="s">
        <v>2140</v>
      </c>
      <c r="I841" s="3" t="s">
        <v>4634</v>
      </c>
      <c r="J841" s="2" t="s">
        <v>4635</v>
      </c>
      <c r="K841" s="2" t="s">
        <v>4636</v>
      </c>
      <c r="L841" s="4" t="n">
        <v>74</v>
      </c>
      <c r="M841" s="4" t="s">
        <v>43</v>
      </c>
      <c r="N841" s="5" t="n">
        <v>74</v>
      </c>
      <c r="O841" s="6" t="n">
        <v>65</v>
      </c>
      <c r="P841" s="6" t="s">
        <v>44</v>
      </c>
      <c r="Q841" s="7" t="n">
        <v>65</v>
      </c>
      <c r="R841" s="8" t="n">
        <v>61</v>
      </c>
      <c r="S841" s="8" t="s">
        <v>44</v>
      </c>
      <c r="T841" s="9" t="n">
        <v>61</v>
      </c>
      <c r="U841" s="10" t="n">
        <v>86</v>
      </c>
      <c r="V841" s="10" t="s">
        <v>42</v>
      </c>
      <c r="W841" s="11" t="n">
        <v>86</v>
      </c>
      <c r="X841" s="12" t="n">
        <v>60</v>
      </c>
      <c r="Y841" s="12" t="s">
        <v>44</v>
      </c>
      <c r="Z841" s="13" t="n">
        <v>60</v>
      </c>
      <c r="AA841" s="14" t="n">
        <v>76</v>
      </c>
      <c r="AB841" s="14" t="s">
        <v>43</v>
      </c>
      <c r="AC841" s="15" t="n">
        <v>76</v>
      </c>
      <c r="AD841" s="2" t="n">
        <f aca="false">SUM(L841,O841,R841,U841,X841,AA841)</f>
        <v>422</v>
      </c>
      <c r="AE841" s="16" t="n">
        <f aca="false">AD841/6</f>
        <v>70.3333333333333</v>
      </c>
      <c r="AF841" s="2" t="str">
        <f aca="false">IF(SUM(COUNTIF(M841,"RA"),COUNTIF(P841,"RA"),COUNTIF(S841,"RA"),COUNTIF(V841,"RA"),COUNTIF(Y841,"RA"),COUNTIF(AB841,"RA"))&gt;0,"FAIL","PASS")</f>
        <v>PASS</v>
      </c>
    </row>
    <row r="842" customFormat="false" ht="15" hidden="false" customHeight="false" outlineLevel="0" collapsed="false">
      <c r="A842" s="2" t="n">
        <v>841</v>
      </c>
      <c r="B842" s="3" t="s">
        <v>4637</v>
      </c>
      <c r="C842" s="2" t="s">
        <v>859</v>
      </c>
      <c r="D842" s="2" t="s">
        <v>4638</v>
      </c>
      <c r="E842" s="2" t="s">
        <v>57</v>
      </c>
      <c r="F842" s="2" t="s">
        <v>36</v>
      </c>
      <c r="G842" s="2" t="s">
        <v>78</v>
      </c>
      <c r="H842" s="2" t="s">
        <v>4639</v>
      </c>
      <c r="I842" s="3" t="s">
        <v>3800</v>
      </c>
      <c r="J842" s="2" t="s">
        <v>4640</v>
      </c>
      <c r="K842" s="2" t="s">
        <v>4641</v>
      </c>
      <c r="L842" s="4" t="n">
        <v>90</v>
      </c>
      <c r="M842" s="4" t="s">
        <v>54</v>
      </c>
      <c r="N842" s="5" t="n">
        <v>90</v>
      </c>
      <c r="O842" s="6" t="n">
        <v>75</v>
      </c>
      <c r="P842" s="6" t="s">
        <v>43</v>
      </c>
      <c r="Q842" s="7" t="n">
        <v>75</v>
      </c>
      <c r="R842" s="8" t="n">
        <v>74</v>
      </c>
      <c r="S842" s="8" t="s">
        <v>43</v>
      </c>
      <c r="T842" s="9" t="n">
        <v>74</v>
      </c>
      <c r="U842" s="10" t="n">
        <v>96</v>
      </c>
      <c r="V842" s="10" t="s">
        <v>54</v>
      </c>
      <c r="W842" s="11" t="n">
        <v>96</v>
      </c>
      <c r="X842" s="12" t="n">
        <v>87</v>
      </c>
      <c r="Y842" s="12" t="s">
        <v>42</v>
      </c>
      <c r="Z842" s="13" t="n">
        <v>87</v>
      </c>
      <c r="AA842" s="14" t="n">
        <v>85</v>
      </c>
      <c r="AB842" s="14" t="s">
        <v>42</v>
      </c>
      <c r="AC842" s="15" t="n">
        <v>85</v>
      </c>
      <c r="AD842" s="2" t="n">
        <f aca="false">SUM(L842,O842,R842,U842,X842,AA842)</f>
        <v>507</v>
      </c>
      <c r="AE842" s="16" t="n">
        <f aca="false">AD842/6</f>
        <v>84.5</v>
      </c>
      <c r="AF842" s="2" t="str">
        <f aca="false">IF(SUM(COUNTIF(M842,"RA"),COUNTIF(P842,"RA"),COUNTIF(S842,"RA"),COUNTIF(V842,"RA"),COUNTIF(Y842,"RA"),COUNTIF(AB842,"RA"))&gt;0,"FAIL","PASS")</f>
        <v>PASS</v>
      </c>
    </row>
    <row r="843" customFormat="false" ht="15" hidden="false" customHeight="false" outlineLevel="0" collapsed="false">
      <c r="A843" s="2" t="n">
        <v>842</v>
      </c>
      <c r="B843" s="3" t="s">
        <v>4642</v>
      </c>
      <c r="C843" s="2" t="s">
        <v>859</v>
      </c>
      <c r="D843" s="2" t="s">
        <v>4643</v>
      </c>
      <c r="E843" s="2" t="s">
        <v>35</v>
      </c>
      <c r="F843" s="2" t="s">
        <v>36</v>
      </c>
      <c r="G843" s="2" t="s">
        <v>78</v>
      </c>
      <c r="H843" s="2" t="s">
        <v>4644</v>
      </c>
      <c r="I843" s="3" t="s">
        <v>4121</v>
      </c>
      <c r="J843" s="2" t="s">
        <v>4645</v>
      </c>
      <c r="K843" s="2" t="s">
        <v>4646</v>
      </c>
      <c r="L843" s="4" t="n">
        <v>94</v>
      </c>
      <c r="M843" s="4" t="s">
        <v>54</v>
      </c>
      <c r="N843" s="5" t="n">
        <v>94</v>
      </c>
      <c r="O843" s="6" t="n">
        <v>95</v>
      </c>
      <c r="P843" s="6" t="s">
        <v>54</v>
      </c>
      <c r="Q843" s="7" t="n">
        <v>95</v>
      </c>
      <c r="R843" s="8" t="n">
        <v>67</v>
      </c>
      <c r="S843" s="8" t="s">
        <v>44</v>
      </c>
      <c r="T843" s="9" t="n">
        <v>67</v>
      </c>
      <c r="U843" s="10" t="n">
        <v>94</v>
      </c>
      <c r="V843" s="10" t="s">
        <v>54</v>
      </c>
      <c r="W843" s="11" t="n">
        <v>94</v>
      </c>
      <c r="X843" s="12" t="n">
        <v>93</v>
      </c>
      <c r="Y843" s="12" t="s">
        <v>54</v>
      </c>
      <c r="Z843" s="13" t="n">
        <v>93</v>
      </c>
      <c r="AA843" s="14" t="n">
        <v>87</v>
      </c>
      <c r="AB843" s="14" t="s">
        <v>42</v>
      </c>
      <c r="AC843" s="15" t="n">
        <v>87</v>
      </c>
      <c r="AD843" s="2" t="n">
        <f aca="false">SUM(L843,O843,R843,U843,X843,AA843)</f>
        <v>530</v>
      </c>
      <c r="AE843" s="16" t="n">
        <f aca="false">AD843/6</f>
        <v>88.3333333333333</v>
      </c>
      <c r="AF843" s="2" t="str">
        <f aca="false">IF(SUM(COUNTIF(M843,"RA"),COUNTIF(P843,"RA"),COUNTIF(S843,"RA"),COUNTIF(V843,"RA"),COUNTIF(Y843,"RA"),COUNTIF(AB843,"RA"))&gt;0,"FAIL","PASS")</f>
        <v>PASS</v>
      </c>
    </row>
    <row r="844" customFormat="false" ht="15" hidden="false" customHeight="false" outlineLevel="0" collapsed="false">
      <c r="A844" s="2" t="n">
        <v>843</v>
      </c>
      <c r="B844" s="3" t="s">
        <v>4647</v>
      </c>
      <c r="C844" s="2" t="s">
        <v>912</v>
      </c>
      <c r="D844" s="2" t="s">
        <v>4648</v>
      </c>
      <c r="E844" s="2" t="s">
        <v>57</v>
      </c>
      <c r="F844" s="2" t="s">
        <v>36</v>
      </c>
      <c r="G844" s="2" t="s">
        <v>91</v>
      </c>
      <c r="H844" s="2" t="s">
        <v>745</v>
      </c>
      <c r="I844" s="3" t="s">
        <v>4154</v>
      </c>
      <c r="J844" s="2" t="s">
        <v>4649</v>
      </c>
      <c r="K844" s="2" t="s">
        <v>4650</v>
      </c>
      <c r="L844" s="4" t="n">
        <v>94</v>
      </c>
      <c r="M844" s="4" t="s">
        <v>54</v>
      </c>
      <c r="N844" s="5" t="n">
        <v>94</v>
      </c>
      <c r="O844" s="6" t="n">
        <v>90</v>
      </c>
      <c r="P844" s="6" t="s">
        <v>54</v>
      </c>
      <c r="Q844" s="7" t="n">
        <v>90</v>
      </c>
      <c r="R844" s="8" t="n">
        <v>79</v>
      </c>
      <c r="S844" s="8" t="s">
        <v>43</v>
      </c>
      <c r="T844" s="9" t="n">
        <v>79</v>
      </c>
      <c r="U844" s="10" t="n">
        <v>69</v>
      </c>
      <c r="V844" s="10" t="s">
        <v>44</v>
      </c>
      <c r="W844" s="11" t="n">
        <v>69</v>
      </c>
      <c r="X844" s="12" t="n">
        <v>85</v>
      </c>
      <c r="Y844" s="12" t="s">
        <v>42</v>
      </c>
      <c r="Z844" s="13" t="n">
        <v>85</v>
      </c>
      <c r="AA844" s="14" t="n">
        <v>86</v>
      </c>
      <c r="AB844" s="14" t="s">
        <v>42</v>
      </c>
      <c r="AC844" s="15" t="n">
        <v>86</v>
      </c>
      <c r="AD844" s="2" t="n">
        <f aca="false">SUM(L844,O844,R844,U844,X844,AA844)</f>
        <v>503</v>
      </c>
      <c r="AE844" s="16" t="n">
        <f aca="false">AD844/6</f>
        <v>83.8333333333333</v>
      </c>
      <c r="AF844" s="2" t="str">
        <f aca="false">IF(SUM(COUNTIF(M844,"RA"),COUNTIF(P844,"RA"),COUNTIF(S844,"RA"),COUNTIF(V844,"RA"),COUNTIF(Y844,"RA"),COUNTIF(AB844,"RA"))&gt;0,"FAIL","PASS")</f>
        <v>PASS</v>
      </c>
    </row>
    <row r="845" customFormat="false" ht="15" hidden="false" customHeight="false" outlineLevel="0" collapsed="false">
      <c r="A845" s="2" t="n">
        <v>844</v>
      </c>
      <c r="B845" s="3" t="s">
        <v>4651</v>
      </c>
      <c r="C845" s="2" t="s">
        <v>783</v>
      </c>
      <c r="D845" s="2" t="s">
        <v>4652</v>
      </c>
      <c r="E845" s="2" t="s">
        <v>35</v>
      </c>
      <c r="F845" s="2" t="s">
        <v>36</v>
      </c>
      <c r="G845" s="2" t="s">
        <v>37</v>
      </c>
      <c r="H845" s="2" t="s">
        <v>4653</v>
      </c>
      <c r="I845" s="3" t="s">
        <v>4359</v>
      </c>
      <c r="J845" s="2" t="s">
        <v>4654</v>
      </c>
      <c r="K845" s="2" t="s">
        <v>4655</v>
      </c>
      <c r="L845" s="4" t="n">
        <v>74</v>
      </c>
      <c r="M845" s="4" t="s">
        <v>43</v>
      </c>
      <c r="N845" s="5" t="n">
        <v>74</v>
      </c>
      <c r="O845" s="6" t="n">
        <v>95</v>
      </c>
      <c r="P845" s="6" t="s">
        <v>54</v>
      </c>
      <c r="Q845" s="7" t="n">
        <v>95</v>
      </c>
      <c r="R845" s="8" t="n">
        <v>61</v>
      </c>
      <c r="S845" s="8" t="s">
        <v>44</v>
      </c>
      <c r="T845" s="9" t="n">
        <v>61</v>
      </c>
      <c r="U845" s="10" t="n">
        <v>94</v>
      </c>
      <c r="V845" s="10" t="s">
        <v>54</v>
      </c>
      <c r="W845" s="11" t="n">
        <v>94</v>
      </c>
      <c r="X845" s="12" t="n">
        <v>88</v>
      </c>
      <c r="Y845" s="12" t="s">
        <v>42</v>
      </c>
      <c r="Z845" s="13" t="n">
        <v>88</v>
      </c>
      <c r="AA845" s="14" t="n">
        <v>97</v>
      </c>
      <c r="AB845" s="14" t="s">
        <v>54</v>
      </c>
      <c r="AC845" s="15" t="n">
        <v>97</v>
      </c>
      <c r="AD845" s="2" t="n">
        <f aca="false">SUM(L845,O845,R845,U845,X845,AA845)</f>
        <v>509</v>
      </c>
      <c r="AE845" s="16" t="n">
        <f aca="false">AD845/6</f>
        <v>84.8333333333333</v>
      </c>
      <c r="AF845" s="2" t="str">
        <f aca="false">IF(SUM(COUNTIF(M845,"RA"),COUNTIF(P845,"RA"),COUNTIF(S845,"RA"),COUNTIF(V845,"RA"),COUNTIF(Y845,"RA"),COUNTIF(AB845,"RA"))&gt;0,"FAIL","PASS")</f>
        <v>PASS</v>
      </c>
    </row>
    <row r="846" customFormat="false" ht="15" hidden="false" customHeight="false" outlineLevel="0" collapsed="false">
      <c r="A846" s="2" t="n">
        <v>845</v>
      </c>
      <c r="B846" s="3" t="s">
        <v>4656</v>
      </c>
      <c r="C846" s="2" t="s">
        <v>912</v>
      </c>
      <c r="D846" s="2" t="s">
        <v>4657</v>
      </c>
      <c r="E846" s="2" t="s">
        <v>35</v>
      </c>
      <c r="F846" s="2" t="s">
        <v>36</v>
      </c>
      <c r="G846" s="2" t="s">
        <v>64</v>
      </c>
      <c r="H846" s="2" t="s">
        <v>1667</v>
      </c>
      <c r="I846" s="3" t="s">
        <v>509</v>
      </c>
      <c r="J846" s="2" t="s">
        <v>4658</v>
      </c>
      <c r="K846" s="2" t="s">
        <v>4659</v>
      </c>
      <c r="L846" s="4" t="n">
        <v>99</v>
      </c>
      <c r="M846" s="4" t="s">
        <v>54</v>
      </c>
      <c r="N846" s="5" t="n">
        <v>99</v>
      </c>
      <c r="O846" s="6" t="n">
        <v>88</v>
      </c>
      <c r="P846" s="6" t="s">
        <v>42</v>
      </c>
      <c r="Q846" s="7" t="n">
        <v>88</v>
      </c>
      <c r="R846" s="8" t="n">
        <v>75</v>
      </c>
      <c r="S846" s="8" t="s">
        <v>43</v>
      </c>
      <c r="T846" s="9" t="n">
        <v>75</v>
      </c>
      <c r="U846" s="10" t="n">
        <v>55</v>
      </c>
      <c r="V846" s="10" t="s">
        <v>53</v>
      </c>
      <c r="W846" s="11" t="n">
        <v>55</v>
      </c>
      <c r="X846" s="12" t="n">
        <v>54</v>
      </c>
      <c r="Y846" s="12" t="s">
        <v>53</v>
      </c>
      <c r="Z846" s="13" t="n">
        <v>54</v>
      </c>
      <c r="AA846" s="14" t="n">
        <v>89</v>
      </c>
      <c r="AB846" s="14" t="s">
        <v>42</v>
      </c>
      <c r="AC846" s="15" t="n">
        <v>89</v>
      </c>
      <c r="AD846" s="2" t="n">
        <f aca="false">SUM(L846,O846,R846,U846,X846,AA846)</f>
        <v>460</v>
      </c>
      <c r="AE846" s="16" t="n">
        <f aca="false">AD846/6</f>
        <v>76.6666666666667</v>
      </c>
      <c r="AF846" s="2" t="str">
        <f aca="false">IF(SUM(COUNTIF(M846,"RA"),COUNTIF(P846,"RA"),COUNTIF(S846,"RA"),COUNTIF(V846,"RA"),COUNTIF(Y846,"RA"),COUNTIF(AB846,"RA"))&gt;0,"FAIL","PASS")</f>
        <v>PASS</v>
      </c>
    </row>
    <row r="847" customFormat="false" ht="15" hidden="false" customHeight="false" outlineLevel="0" collapsed="false">
      <c r="A847" s="2" t="n">
        <v>846</v>
      </c>
      <c r="B847" s="3" t="s">
        <v>4660</v>
      </c>
      <c r="C847" s="2" t="s">
        <v>783</v>
      </c>
      <c r="D847" s="2" t="s">
        <v>4661</v>
      </c>
      <c r="E847" s="2" t="s">
        <v>57</v>
      </c>
      <c r="F847" s="2" t="s">
        <v>36</v>
      </c>
      <c r="G847" s="2" t="s">
        <v>48</v>
      </c>
      <c r="H847" s="2" t="s">
        <v>4662</v>
      </c>
      <c r="I847" s="3" t="s">
        <v>2035</v>
      </c>
      <c r="J847" s="2" t="s">
        <v>4663</v>
      </c>
      <c r="K847" s="2" t="s">
        <v>4664</v>
      </c>
      <c r="L847" s="4" t="n">
        <v>48</v>
      </c>
      <c r="M847" s="4" t="s">
        <v>45</v>
      </c>
      <c r="N847" s="5" t="n">
        <v>48</v>
      </c>
      <c r="O847" s="6" t="n">
        <v>98</v>
      </c>
      <c r="P847" s="6" t="s">
        <v>54</v>
      </c>
      <c r="Q847" s="7" t="n">
        <v>98</v>
      </c>
      <c r="R847" s="8" t="n">
        <v>70</v>
      </c>
      <c r="S847" s="8" t="s">
        <v>43</v>
      </c>
      <c r="T847" s="9" t="n">
        <v>70</v>
      </c>
      <c r="U847" s="10" t="n">
        <v>61</v>
      </c>
      <c r="V847" s="10" t="s">
        <v>44</v>
      </c>
      <c r="W847" s="11" t="n">
        <v>61</v>
      </c>
      <c r="X847" s="12" t="n">
        <v>85</v>
      </c>
      <c r="Y847" s="12" t="s">
        <v>42</v>
      </c>
      <c r="Z847" s="13" t="n">
        <v>85</v>
      </c>
      <c r="AA847" s="14" t="n">
        <v>71</v>
      </c>
      <c r="AB847" s="14" t="s">
        <v>43</v>
      </c>
      <c r="AC847" s="15" t="n">
        <v>71</v>
      </c>
      <c r="AD847" s="2" t="n">
        <f aca="false">SUM(L847,O847,R847,U847,X847,AA847)</f>
        <v>433</v>
      </c>
      <c r="AE847" s="16" t="n">
        <f aca="false">AD847/6</f>
        <v>72.1666666666667</v>
      </c>
      <c r="AF847" s="2" t="str">
        <f aca="false">IF(SUM(COUNTIF(M847,"RA"),COUNTIF(P847,"RA"),COUNTIF(S847,"RA"),COUNTIF(V847,"RA"),COUNTIF(Y847,"RA"),COUNTIF(AB847,"RA"))&gt;0,"FAIL","PASS")</f>
        <v>FAIL</v>
      </c>
    </row>
    <row r="848" customFormat="false" ht="15" hidden="false" customHeight="false" outlineLevel="0" collapsed="false">
      <c r="A848" s="2" t="n">
        <v>847</v>
      </c>
      <c r="B848" s="3" t="s">
        <v>4665</v>
      </c>
      <c r="C848" s="2" t="s">
        <v>790</v>
      </c>
      <c r="D848" s="2" t="s">
        <v>4666</v>
      </c>
      <c r="E848" s="2" t="s">
        <v>35</v>
      </c>
      <c r="F848" s="2" t="s">
        <v>36</v>
      </c>
      <c r="G848" s="2" t="s">
        <v>64</v>
      </c>
      <c r="H848" s="2" t="s">
        <v>4364</v>
      </c>
      <c r="I848" s="3" t="s">
        <v>4667</v>
      </c>
      <c r="J848" s="2" t="s">
        <v>4668</v>
      </c>
      <c r="K848" s="2" t="s">
        <v>4669</v>
      </c>
      <c r="L848" s="4" t="n">
        <v>75</v>
      </c>
      <c r="M848" s="4" t="s">
        <v>43</v>
      </c>
      <c r="N848" s="5" t="n">
        <v>75</v>
      </c>
      <c r="O848" s="6" t="n">
        <v>69</v>
      </c>
      <c r="P848" s="6" t="s">
        <v>44</v>
      </c>
      <c r="Q848" s="7" t="n">
        <v>69</v>
      </c>
      <c r="R848" s="8" t="n">
        <v>60</v>
      </c>
      <c r="S848" s="8" t="s">
        <v>44</v>
      </c>
      <c r="T848" s="9" t="n">
        <v>60</v>
      </c>
      <c r="U848" s="10" t="n">
        <v>94</v>
      </c>
      <c r="V848" s="10" t="s">
        <v>54</v>
      </c>
      <c r="W848" s="11" t="n">
        <v>94</v>
      </c>
      <c r="X848" s="12" t="n">
        <v>95</v>
      </c>
      <c r="Y848" s="12" t="s">
        <v>54</v>
      </c>
      <c r="Z848" s="13" t="n">
        <v>95</v>
      </c>
      <c r="AA848" s="14" t="n">
        <v>45</v>
      </c>
      <c r="AB848" s="14" t="s">
        <v>45</v>
      </c>
      <c r="AC848" s="15" t="n">
        <v>45</v>
      </c>
      <c r="AD848" s="2" t="n">
        <f aca="false">SUM(L848,O848,R848,U848,X848,AA848)</f>
        <v>438</v>
      </c>
      <c r="AE848" s="16" t="n">
        <f aca="false">AD848/6</f>
        <v>73</v>
      </c>
      <c r="AF848" s="2" t="str">
        <f aca="false">IF(SUM(COUNTIF(M848,"RA"),COUNTIF(P848,"RA"),COUNTIF(S848,"RA"),COUNTIF(V848,"RA"),COUNTIF(Y848,"RA"),COUNTIF(AB848,"RA"))&gt;0,"FAIL","PASS")</f>
        <v>FAIL</v>
      </c>
    </row>
    <row r="849" customFormat="false" ht="15" hidden="false" customHeight="false" outlineLevel="0" collapsed="false">
      <c r="A849" s="2" t="n">
        <v>848</v>
      </c>
      <c r="B849" s="3" t="s">
        <v>4670</v>
      </c>
      <c r="C849" s="2" t="s">
        <v>790</v>
      </c>
      <c r="D849" s="2" t="s">
        <v>4671</v>
      </c>
      <c r="E849" s="2" t="s">
        <v>35</v>
      </c>
      <c r="F849" s="2" t="s">
        <v>36</v>
      </c>
      <c r="G849" s="2" t="s">
        <v>78</v>
      </c>
      <c r="H849" s="2" t="s">
        <v>4672</v>
      </c>
      <c r="I849" s="3" t="s">
        <v>1613</v>
      </c>
      <c r="J849" s="2" t="s">
        <v>4673</v>
      </c>
      <c r="K849" s="2" t="s">
        <v>4674</v>
      </c>
      <c r="L849" s="4" t="n">
        <v>63</v>
      </c>
      <c r="M849" s="4" t="s">
        <v>44</v>
      </c>
      <c r="N849" s="5" t="n">
        <v>63</v>
      </c>
      <c r="O849" s="6" t="n">
        <v>89</v>
      </c>
      <c r="P849" s="6" t="s">
        <v>42</v>
      </c>
      <c r="Q849" s="7" t="n">
        <v>89</v>
      </c>
      <c r="R849" s="8" t="n">
        <v>68</v>
      </c>
      <c r="S849" s="8" t="s">
        <v>44</v>
      </c>
      <c r="T849" s="9" t="n">
        <v>68</v>
      </c>
      <c r="U849" s="10" t="n">
        <v>82</v>
      </c>
      <c r="V849" s="10" t="s">
        <v>42</v>
      </c>
      <c r="W849" s="11" t="n">
        <v>82</v>
      </c>
      <c r="X849" s="12" t="n">
        <v>92</v>
      </c>
      <c r="Y849" s="12" t="s">
        <v>54</v>
      </c>
      <c r="Z849" s="13" t="n">
        <v>92</v>
      </c>
      <c r="AA849" s="14" t="n">
        <v>74</v>
      </c>
      <c r="AB849" s="14" t="s">
        <v>43</v>
      </c>
      <c r="AC849" s="15" t="n">
        <v>74</v>
      </c>
      <c r="AD849" s="2" t="n">
        <f aca="false">SUM(L849,O849,R849,U849,X849,AA849)</f>
        <v>468</v>
      </c>
      <c r="AE849" s="16" t="n">
        <f aca="false">AD849/6</f>
        <v>78</v>
      </c>
      <c r="AF849" s="2" t="str">
        <f aca="false">IF(SUM(COUNTIF(M849,"RA"),COUNTIF(P849,"RA"),COUNTIF(S849,"RA"),COUNTIF(V849,"RA"),COUNTIF(Y849,"RA"),COUNTIF(AB849,"RA"))&gt;0,"FAIL","PASS")</f>
        <v>PASS</v>
      </c>
    </row>
    <row r="850" customFormat="false" ht="15" hidden="false" customHeight="false" outlineLevel="0" collapsed="false">
      <c r="A850" s="2" t="n">
        <v>849</v>
      </c>
      <c r="B850" s="3" t="s">
        <v>4675</v>
      </c>
      <c r="C850" s="2" t="s">
        <v>757</v>
      </c>
      <c r="D850" s="2" t="s">
        <v>4676</v>
      </c>
      <c r="E850" s="2" t="s">
        <v>57</v>
      </c>
      <c r="F850" s="2" t="s">
        <v>36</v>
      </c>
      <c r="G850" s="2" t="s">
        <v>78</v>
      </c>
      <c r="H850" s="2" t="s">
        <v>4677</v>
      </c>
      <c r="I850" s="3" t="s">
        <v>636</v>
      </c>
      <c r="J850" s="2" t="s">
        <v>4678</v>
      </c>
      <c r="K850" s="2" t="s">
        <v>4679</v>
      </c>
      <c r="L850" s="4" t="n">
        <v>71</v>
      </c>
      <c r="M850" s="4" t="s">
        <v>43</v>
      </c>
      <c r="N850" s="5" t="n">
        <v>71</v>
      </c>
      <c r="O850" s="6" t="n">
        <v>95</v>
      </c>
      <c r="P850" s="6" t="s">
        <v>54</v>
      </c>
      <c r="Q850" s="7" t="n">
        <v>95</v>
      </c>
      <c r="R850" s="8" t="n">
        <v>65</v>
      </c>
      <c r="S850" s="8" t="s">
        <v>44</v>
      </c>
      <c r="T850" s="9" t="n">
        <v>65</v>
      </c>
      <c r="U850" s="10" t="n">
        <v>86</v>
      </c>
      <c r="V850" s="10" t="s">
        <v>42</v>
      </c>
      <c r="W850" s="11" t="n">
        <v>86</v>
      </c>
      <c r="X850" s="12" t="n">
        <v>78</v>
      </c>
      <c r="Y850" s="12" t="s">
        <v>43</v>
      </c>
      <c r="Z850" s="13" t="n">
        <v>78</v>
      </c>
      <c r="AA850" s="14" t="n">
        <v>67</v>
      </c>
      <c r="AB850" s="14" t="s">
        <v>44</v>
      </c>
      <c r="AC850" s="15" t="n">
        <v>67</v>
      </c>
      <c r="AD850" s="2" t="n">
        <f aca="false">SUM(L850,O850,R850,U850,X850,AA850)</f>
        <v>462</v>
      </c>
      <c r="AE850" s="16" t="n">
        <f aca="false">AD850/6</f>
        <v>77</v>
      </c>
      <c r="AF850" s="2" t="str">
        <f aca="false">IF(SUM(COUNTIF(M850,"RA"),COUNTIF(P850,"RA"),COUNTIF(S850,"RA"),COUNTIF(V850,"RA"),COUNTIF(Y850,"RA"),COUNTIF(AB850,"RA"))&gt;0,"FAIL","PASS")</f>
        <v>PASS</v>
      </c>
    </row>
    <row r="851" customFormat="false" ht="15" hidden="false" customHeight="false" outlineLevel="0" collapsed="false">
      <c r="A851" s="2" t="n">
        <v>850</v>
      </c>
      <c r="B851" s="3" t="s">
        <v>4680</v>
      </c>
      <c r="C851" s="2" t="s">
        <v>816</v>
      </c>
      <c r="D851" s="2" t="s">
        <v>4681</v>
      </c>
      <c r="E851" s="2" t="s">
        <v>35</v>
      </c>
      <c r="F851" s="2" t="s">
        <v>36</v>
      </c>
      <c r="G851" s="2" t="s">
        <v>91</v>
      </c>
      <c r="H851" s="2" t="s">
        <v>550</v>
      </c>
      <c r="I851" s="3" t="s">
        <v>2656</v>
      </c>
      <c r="J851" s="2" t="s">
        <v>4682</v>
      </c>
      <c r="K851" s="2" t="s">
        <v>4683</v>
      </c>
      <c r="L851" s="4" t="n">
        <v>56</v>
      </c>
      <c r="M851" s="4" t="s">
        <v>53</v>
      </c>
      <c r="N851" s="5" t="n">
        <v>56</v>
      </c>
      <c r="O851" s="6" t="n">
        <v>61</v>
      </c>
      <c r="P851" s="6" t="s">
        <v>44</v>
      </c>
      <c r="Q851" s="7" t="n">
        <v>61</v>
      </c>
      <c r="R851" s="8" t="n">
        <v>66</v>
      </c>
      <c r="S851" s="8" t="s">
        <v>44</v>
      </c>
      <c r="T851" s="9" t="n">
        <v>66</v>
      </c>
      <c r="U851" s="10" t="n">
        <v>88</v>
      </c>
      <c r="V851" s="10" t="s">
        <v>42</v>
      </c>
      <c r="W851" s="11" t="n">
        <v>88</v>
      </c>
      <c r="X851" s="12" t="n">
        <v>61</v>
      </c>
      <c r="Y851" s="12" t="s">
        <v>44</v>
      </c>
      <c r="Z851" s="13" t="n">
        <v>61</v>
      </c>
      <c r="AA851" s="14" t="n">
        <v>78</v>
      </c>
      <c r="AB851" s="14" t="s">
        <v>43</v>
      </c>
      <c r="AC851" s="15" t="n">
        <v>78</v>
      </c>
      <c r="AD851" s="2" t="n">
        <f aca="false">SUM(L851,O851,R851,U851,X851,AA851)</f>
        <v>410</v>
      </c>
      <c r="AE851" s="16" t="n">
        <f aca="false">AD851/6</f>
        <v>68.3333333333333</v>
      </c>
      <c r="AF851" s="2" t="str">
        <f aca="false">IF(SUM(COUNTIF(M851,"RA"),COUNTIF(P851,"RA"),COUNTIF(S851,"RA"),COUNTIF(V851,"RA"),COUNTIF(Y851,"RA"),COUNTIF(AB851,"RA"))&gt;0,"FAIL","PASS")</f>
        <v>PASS</v>
      </c>
    </row>
    <row r="852" customFormat="false" ht="15" hidden="false" customHeight="false" outlineLevel="0" collapsed="false">
      <c r="A852" s="2" t="n">
        <v>851</v>
      </c>
      <c r="B852" s="3" t="s">
        <v>4684</v>
      </c>
      <c r="C852" s="2" t="s">
        <v>841</v>
      </c>
      <c r="D852" s="2" t="s">
        <v>4685</v>
      </c>
      <c r="E852" s="2" t="s">
        <v>35</v>
      </c>
      <c r="F852" s="2" t="s">
        <v>36</v>
      </c>
      <c r="G852" s="2" t="s">
        <v>78</v>
      </c>
      <c r="H852" s="2" t="s">
        <v>1026</v>
      </c>
      <c r="I852" s="3" t="s">
        <v>4686</v>
      </c>
      <c r="J852" s="2" t="s">
        <v>4687</v>
      </c>
      <c r="K852" s="2" t="s">
        <v>4688</v>
      </c>
      <c r="L852" s="4" t="n">
        <v>62</v>
      </c>
      <c r="M852" s="4" t="s">
        <v>44</v>
      </c>
      <c r="N852" s="5" t="n">
        <v>62</v>
      </c>
      <c r="O852" s="6" t="n">
        <v>100</v>
      </c>
      <c r="P852" s="6" t="s">
        <v>54</v>
      </c>
      <c r="Q852" s="7" t="n">
        <v>100</v>
      </c>
      <c r="R852" s="8" t="n">
        <v>91</v>
      </c>
      <c r="S852" s="8" t="s">
        <v>54</v>
      </c>
      <c r="T852" s="9" t="n">
        <v>91</v>
      </c>
      <c r="U852" s="10" t="n">
        <v>94</v>
      </c>
      <c r="V852" s="10" t="s">
        <v>54</v>
      </c>
      <c r="W852" s="11" t="n">
        <v>94</v>
      </c>
      <c r="X852" s="12" t="n">
        <v>61</v>
      </c>
      <c r="Y852" s="12" t="s">
        <v>44</v>
      </c>
      <c r="Z852" s="13" t="n">
        <v>61</v>
      </c>
      <c r="AA852" s="14" t="n">
        <v>52</v>
      </c>
      <c r="AB852" s="14" t="s">
        <v>53</v>
      </c>
      <c r="AC852" s="15" t="n">
        <v>52</v>
      </c>
      <c r="AD852" s="2" t="n">
        <f aca="false">SUM(L852,O852,R852,U852,X852,AA852)</f>
        <v>460</v>
      </c>
      <c r="AE852" s="16" t="n">
        <f aca="false">AD852/6</f>
        <v>76.6666666666667</v>
      </c>
      <c r="AF852" s="2" t="str">
        <f aca="false">IF(SUM(COUNTIF(M852,"RA"),COUNTIF(P852,"RA"),COUNTIF(S852,"RA"),COUNTIF(V852,"RA"),COUNTIF(Y852,"RA"),COUNTIF(AB852,"RA"))&gt;0,"FAIL","PASS")</f>
        <v>PASS</v>
      </c>
    </row>
    <row r="853" customFormat="false" ht="15" hidden="false" customHeight="false" outlineLevel="0" collapsed="false">
      <c r="A853" s="2" t="n">
        <v>852</v>
      </c>
      <c r="B853" s="3" t="s">
        <v>4689</v>
      </c>
      <c r="C853" s="2" t="s">
        <v>803</v>
      </c>
      <c r="D853" s="2" t="s">
        <v>4690</v>
      </c>
      <c r="E853" s="2" t="s">
        <v>35</v>
      </c>
      <c r="F853" s="2" t="s">
        <v>36</v>
      </c>
      <c r="G853" s="2" t="s">
        <v>37</v>
      </c>
      <c r="H853" s="2" t="s">
        <v>4691</v>
      </c>
      <c r="I853" s="3" t="s">
        <v>4692</v>
      </c>
      <c r="J853" s="2" t="s">
        <v>4693</v>
      </c>
      <c r="K853" s="2" t="s">
        <v>4694</v>
      </c>
      <c r="L853" s="4" t="n">
        <v>80</v>
      </c>
      <c r="M853" s="4" t="s">
        <v>42</v>
      </c>
      <c r="N853" s="5" t="n">
        <v>80</v>
      </c>
      <c r="O853" s="6" t="n">
        <v>63</v>
      </c>
      <c r="P853" s="6" t="s">
        <v>44</v>
      </c>
      <c r="Q853" s="7" t="n">
        <v>63</v>
      </c>
      <c r="R853" s="8" t="n">
        <v>59</v>
      </c>
      <c r="S853" s="8" t="s">
        <v>53</v>
      </c>
      <c r="T853" s="9" t="n">
        <v>59</v>
      </c>
      <c r="U853" s="10" t="n">
        <v>78</v>
      </c>
      <c r="V853" s="10" t="s">
        <v>43</v>
      </c>
      <c r="W853" s="11" t="n">
        <v>78</v>
      </c>
      <c r="X853" s="12" t="n">
        <v>84</v>
      </c>
      <c r="Y853" s="12" t="s">
        <v>42</v>
      </c>
      <c r="Z853" s="13" t="n">
        <v>84</v>
      </c>
      <c r="AA853" s="14" t="n">
        <v>79</v>
      </c>
      <c r="AB853" s="14" t="s">
        <v>43</v>
      </c>
      <c r="AC853" s="15" t="n">
        <v>79</v>
      </c>
      <c r="AD853" s="2" t="n">
        <f aca="false">SUM(L853,O853,R853,U853,X853,AA853)</f>
        <v>443</v>
      </c>
      <c r="AE853" s="16" t="n">
        <f aca="false">AD853/6</f>
        <v>73.8333333333333</v>
      </c>
      <c r="AF853" s="2" t="str">
        <f aca="false">IF(SUM(COUNTIF(M853,"RA"),COUNTIF(P853,"RA"),COUNTIF(S853,"RA"),COUNTIF(V853,"RA"),COUNTIF(Y853,"RA"),COUNTIF(AB853,"RA"))&gt;0,"FAIL","PASS")</f>
        <v>PASS</v>
      </c>
    </row>
    <row r="854" customFormat="false" ht="15" hidden="false" customHeight="false" outlineLevel="0" collapsed="false">
      <c r="A854" s="2" t="n">
        <v>853</v>
      </c>
      <c r="B854" s="3" t="s">
        <v>4695</v>
      </c>
      <c r="C854" s="2" t="s">
        <v>859</v>
      </c>
      <c r="D854" s="2" t="s">
        <v>4696</v>
      </c>
      <c r="E854" s="2" t="s">
        <v>57</v>
      </c>
      <c r="F854" s="2" t="s">
        <v>36</v>
      </c>
      <c r="G854" s="2" t="s">
        <v>44</v>
      </c>
      <c r="H854" s="2" t="s">
        <v>2588</v>
      </c>
      <c r="I854" s="3" t="s">
        <v>2695</v>
      </c>
      <c r="J854" s="2" t="s">
        <v>4697</v>
      </c>
      <c r="K854" s="2" t="s">
        <v>4698</v>
      </c>
      <c r="L854" s="4" t="n">
        <v>87</v>
      </c>
      <c r="M854" s="4" t="s">
        <v>42</v>
      </c>
      <c r="N854" s="5" t="n">
        <v>87</v>
      </c>
      <c r="O854" s="6" t="n">
        <v>89</v>
      </c>
      <c r="P854" s="6" t="s">
        <v>42</v>
      </c>
      <c r="Q854" s="7" t="n">
        <v>89</v>
      </c>
      <c r="R854" s="8" t="n">
        <v>97</v>
      </c>
      <c r="S854" s="8" t="s">
        <v>54</v>
      </c>
      <c r="T854" s="9" t="n">
        <v>97</v>
      </c>
      <c r="U854" s="10" t="n">
        <v>83</v>
      </c>
      <c r="V854" s="10" t="s">
        <v>42</v>
      </c>
      <c r="W854" s="11" t="n">
        <v>83</v>
      </c>
      <c r="X854" s="12" t="n">
        <v>61</v>
      </c>
      <c r="Y854" s="12" t="s">
        <v>44</v>
      </c>
      <c r="Z854" s="13" t="n">
        <v>61</v>
      </c>
      <c r="AA854" s="14" t="n">
        <v>43</v>
      </c>
      <c r="AB854" s="14" t="s">
        <v>45</v>
      </c>
      <c r="AC854" s="15" t="n">
        <v>43</v>
      </c>
      <c r="AD854" s="2" t="n">
        <f aca="false">SUM(L854,O854,R854,U854,X854,AA854)</f>
        <v>460</v>
      </c>
      <c r="AE854" s="16" t="n">
        <f aca="false">AD854/6</f>
        <v>76.6666666666667</v>
      </c>
      <c r="AF854" s="2" t="str">
        <f aca="false">IF(SUM(COUNTIF(M854,"RA"),COUNTIF(P854,"RA"),COUNTIF(S854,"RA"),COUNTIF(V854,"RA"),COUNTIF(Y854,"RA"),COUNTIF(AB854,"RA"))&gt;0,"FAIL","PASS")</f>
        <v>FAIL</v>
      </c>
    </row>
    <row r="855" customFormat="false" ht="15" hidden="false" customHeight="false" outlineLevel="0" collapsed="false">
      <c r="A855" s="2" t="n">
        <v>854</v>
      </c>
      <c r="B855" s="3" t="s">
        <v>4699</v>
      </c>
      <c r="C855" s="2" t="s">
        <v>912</v>
      </c>
      <c r="D855" s="2" t="s">
        <v>4700</v>
      </c>
      <c r="E855" s="2" t="s">
        <v>57</v>
      </c>
      <c r="F855" s="2" t="s">
        <v>36</v>
      </c>
      <c r="G855" s="2" t="s">
        <v>44</v>
      </c>
      <c r="H855" s="2" t="s">
        <v>4701</v>
      </c>
      <c r="I855" s="3" t="s">
        <v>4702</v>
      </c>
      <c r="J855" s="2" t="s">
        <v>4703</v>
      </c>
      <c r="K855" s="2" t="s">
        <v>4704</v>
      </c>
      <c r="L855" s="4" t="n">
        <v>62</v>
      </c>
      <c r="M855" s="4" t="s">
        <v>44</v>
      </c>
      <c r="N855" s="5" t="n">
        <v>62</v>
      </c>
      <c r="O855" s="6" t="n">
        <v>95</v>
      </c>
      <c r="P855" s="6" t="s">
        <v>54</v>
      </c>
      <c r="Q855" s="7" t="n">
        <v>95</v>
      </c>
      <c r="R855" s="8" t="n">
        <v>58</v>
      </c>
      <c r="S855" s="8" t="s">
        <v>53</v>
      </c>
      <c r="T855" s="9" t="n">
        <v>58</v>
      </c>
      <c r="U855" s="10" t="n">
        <v>85</v>
      </c>
      <c r="V855" s="10" t="s">
        <v>42</v>
      </c>
      <c r="W855" s="11" t="n">
        <v>85</v>
      </c>
      <c r="X855" s="12" t="n">
        <v>63</v>
      </c>
      <c r="Y855" s="12" t="s">
        <v>44</v>
      </c>
      <c r="Z855" s="13" t="n">
        <v>63</v>
      </c>
      <c r="AA855" s="14" t="n">
        <v>55</v>
      </c>
      <c r="AB855" s="14" t="s">
        <v>53</v>
      </c>
      <c r="AC855" s="15" t="n">
        <v>55</v>
      </c>
      <c r="AD855" s="2" t="n">
        <f aca="false">SUM(L855,O855,R855,U855,X855,AA855)</f>
        <v>418</v>
      </c>
      <c r="AE855" s="16" t="n">
        <f aca="false">AD855/6</f>
        <v>69.6666666666667</v>
      </c>
      <c r="AF855" s="2" t="str">
        <f aca="false">IF(SUM(COUNTIF(M855,"RA"),COUNTIF(P855,"RA"),COUNTIF(S855,"RA"),COUNTIF(V855,"RA"),COUNTIF(Y855,"RA"),COUNTIF(AB855,"RA"))&gt;0,"FAIL","PASS")</f>
        <v>PASS</v>
      </c>
    </row>
    <row r="856" customFormat="false" ht="15" hidden="false" customHeight="false" outlineLevel="0" collapsed="false">
      <c r="A856" s="2" t="n">
        <v>855</v>
      </c>
      <c r="B856" s="3" t="s">
        <v>4705</v>
      </c>
      <c r="C856" s="2" t="s">
        <v>750</v>
      </c>
      <c r="D856" s="2" t="s">
        <v>4706</v>
      </c>
      <c r="E856" s="2" t="s">
        <v>57</v>
      </c>
      <c r="F856" s="2" t="s">
        <v>36</v>
      </c>
      <c r="G856" s="2" t="s">
        <v>64</v>
      </c>
      <c r="H856" s="2" t="s">
        <v>4707</v>
      </c>
      <c r="I856" s="3" t="s">
        <v>3845</v>
      </c>
      <c r="J856" s="2" t="s">
        <v>4708</v>
      </c>
      <c r="K856" s="2" t="s">
        <v>4709</v>
      </c>
      <c r="L856" s="4" t="n">
        <v>87</v>
      </c>
      <c r="M856" s="4" t="s">
        <v>42</v>
      </c>
      <c r="N856" s="5" t="n">
        <v>87</v>
      </c>
      <c r="O856" s="6" t="n">
        <v>92</v>
      </c>
      <c r="P856" s="6" t="s">
        <v>54</v>
      </c>
      <c r="Q856" s="7" t="n">
        <v>92</v>
      </c>
      <c r="R856" s="8" t="n">
        <v>84</v>
      </c>
      <c r="S856" s="8" t="s">
        <v>42</v>
      </c>
      <c r="T856" s="9" t="n">
        <v>84</v>
      </c>
      <c r="U856" s="10" t="n">
        <v>61</v>
      </c>
      <c r="V856" s="10" t="s">
        <v>44</v>
      </c>
      <c r="W856" s="11" t="n">
        <v>61</v>
      </c>
      <c r="X856" s="12" t="n">
        <v>61</v>
      </c>
      <c r="Y856" s="12" t="s">
        <v>44</v>
      </c>
      <c r="Z856" s="13" t="n">
        <v>61</v>
      </c>
      <c r="AA856" s="14" t="n">
        <v>100</v>
      </c>
      <c r="AB856" s="14" t="s">
        <v>54</v>
      </c>
      <c r="AC856" s="15" t="n">
        <v>100</v>
      </c>
      <c r="AD856" s="2" t="n">
        <f aca="false">SUM(L856,O856,R856,U856,X856,AA856)</f>
        <v>485</v>
      </c>
      <c r="AE856" s="16" t="n">
        <f aca="false">AD856/6</f>
        <v>80.8333333333333</v>
      </c>
      <c r="AF856" s="2" t="str">
        <f aca="false">IF(SUM(COUNTIF(M856,"RA"),COUNTIF(P856,"RA"),COUNTIF(S856,"RA"),COUNTIF(V856,"RA"),COUNTIF(Y856,"RA"),COUNTIF(AB856,"RA"))&gt;0,"FAIL","PASS")</f>
        <v>PASS</v>
      </c>
    </row>
    <row r="857" customFormat="false" ht="15" hidden="false" customHeight="false" outlineLevel="0" collapsed="false">
      <c r="A857" s="2" t="n">
        <v>856</v>
      </c>
      <c r="B857" s="3" t="s">
        <v>4710</v>
      </c>
      <c r="C857" s="2" t="s">
        <v>790</v>
      </c>
      <c r="D857" s="2" t="s">
        <v>4711</v>
      </c>
      <c r="E857" s="2" t="s">
        <v>57</v>
      </c>
      <c r="F857" s="2" t="s">
        <v>36</v>
      </c>
      <c r="G857" s="2" t="s">
        <v>64</v>
      </c>
      <c r="H857" s="2" t="s">
        <v>1989</v>
      </c>
      <c r="I857" s="3" t="s">
        <v>4712</v>
      </c>
      <c r="J857" s="2" t="s">
        <v>4713</v>
      </c>
      <c r="K857" s="2" t="s">
        <v>4714</v>
      </c>
      <c r="L857" s="4" t="n">
        <v>72</v>
      </c>
      <c r="M857" s="4" t="s">
        <v>43</v>
      </c>
      <c r="N857" s="5" t="n">
        <v>72</v>
      </c>
      <c r="O857" s="6" t="n">
        <v>60</v>
      </c>
      <c r="P857" s="6" t="s">
        <v>44</v>
      </c>
      <c r="Q857" s="7" t="n">
        <v>60</v>
      </c>
      <c r="R857" s="8" t="n">
        <v>86</v>
      </c>
      <c r="S857" s="8" t="s">
        <v>42</v>
      </c>
      <c r="T857" s="9" t="n">
        <v>86</v>
      </c>
      <c r="U857" s="10" t="n">
        <v>79</v>
      </c>
      <c r="V857" s="10" t="s">
        <v>43</v>
      </c>
      <c r="W857" s="11" t="n">
        <v>79</v>
      </c>
      <c r="X857" s="12" t="n">
        <v>92</v>
      </c>
      <c r="Y857" s="12" t="s">
        <v>54</v>
      </c>
      <c r="Z857" s="13" t="n">
        <v>92</v>
      </c>
      <c r="AA857" s="14" t="n">
        <v>88</v>
      </c>
      <c r="AB857" s="14" t="s">
        <v>42</v>
      </c>
      <c r="AC857" s="15" t="n">
        <v>88</v>
      </c>
      <c r="AD857" s="2" t="n">
        <f aca="false">SUM(L857,O857,R857,U857,X857,AA857)</f>
        <v>477</v>
      </c>
      <c r="AE857" s="16" t="n">
        <f aca="false">AD857/6</f>
        <v>79.5</v>
      </c>
      <c r="AF857" s="2" t="str">
        <f aca="false">IF(SUM(COUNTIF(M857,"RA"),COUNTIF(P857,"RA"),COUNTIF(S857,"RA"),COUNTIF(V857,"RA"),COUNTIF(Y857,"RA"),COUNTIF(AB857,"RA"))&gt;0,"FAIL","PASS")</f>
        <v>PASS</v>
      </c>
    </row>
    <row r="858" customFormat="false" ht="15" hidden="false" customHeight="false" outlineLevel="0" collapsed="false">
      <c r="A858" s="2" t="n">
        <v>857</v>
      </c>
      <c r="B858" s="3" t="s">
        <v>4715</v>
      </c>
      <c r="C858" s="2" t="s">
        <v>790</v>
      </c>
      <c r="D858" s="2" t="s">
        <v>4716</v>
      </c>
      <c r="E858" s="2" t="s">
        <v>57</v>
      </c>
      <c r="F858" s="2" t="s">
        <v>36</v>
      </c>
      <c r="G858" s="2" t="s">
        <v>71</v>
      </c>
      <c r="H858" s="2" t="s">
        <v>4717</v>
      </c>
      <c r="I858" s="3" t="s">
        <v>3990</v>
      </c>
      <c r="J858" s="2" t="s">
        <v>4718</v>
      </c>
      <c r="K858" s="2" t="s">
        <v>4719</v>
      </c>
      <c r="L858" s="4" t="n">
        <v>80</v>
      </c>
      <c r="M858" s="4" t="s">
        <v>42</v>
      </c>
      <c r="N858" s="5" t="n">
        <v>80</v>
      </c>
      <c r="O858" s="6" t="n">
        <v>57</v>
      </c>
      <c r="P858" s="6" t="s">
        <v>53</v>
      </c>
      <c r="Q858" s="7" t="n">
        <v>57</v>
      </c>
      <c r="R858" s="8" t="n">
        <v>70</v>
      </c>
      <c r="S858" s="8" t="s">
        <v>43</v>
      </c>
      <c r="T858" s="9" t="n">
        <v>70</v>
      </c>
      <c r="U858" s="10" t="n">
        <v>95</v>
      </c>
      <c r="V858" s="10" t="s">
        <v>54</v>
      </c>
      <c r="W858" s="11" t="n">
        <v>95</v>
      </c>
      <c r="X858" s="12" t="n">
        <v>87</v>
      </c>
      <c r="Y858" s="12" t="s">
        <v>42</v>
      </c>
      <c r="Z858" s="13" t="n">
        <v>87</v>
      </c>
      <c r="AA858" s="14" t="n">
        <v>90</v>
      </c>
      <c r="AB858" s="14" t="s">
        <v>54</v>
      </c>
      <c r="AC858" s="15" t="n">
        <v>90</v>
      </c>
      <c r="AD858" s="2" t="n">
        <f aca="false">SUM(L858,O858,R858,U858,X858,AA858)</f>
        <v>479</v>
      </c>
      <c r="AE858" s="16" t="n">
        <f aca="false">AD858/6</f>
        <v>79.8333333333333</v>
      </c>
      <c r="AF858" s="2" t="str">
        <f aca="false">IF(SUM(COUNTIF(M858,"RA"),COUNTIF(P858,"RA"),COUNTIF(S858,"RA"),COUNTIF(V858,"RA"),COUNTIF(Y858,"RA"),COUNTIF(AB858,"RA"))&gt;0,"FAIL","PASS")</f>
        <v>PASS</v>
      </c>
    </row>
    <row r="859" customFormat="false" ht="15" hidden="false" customHeight="false" outlineLevel="0" collapsed="false">
      <c r="A859" s="2" t="n">
        <v>858</v>
      </c>
      <c r="B859" s="3" t="s">
        <v>4720</v>
      </c>
      <c r="C859" s="2" t="s">
        <v>783</v>
      </c>
      <c r="D859" s="2" t="s">
        <v>4721</v>
      </c>
      <c r="E859" s="2" t="s">
        <v>35</v>
      </c>
      <c r="F859" s="2" t="s">
        <v>36</v>
      </c>
      <c r="G859" s="2" t="s">
        <v>91</v>
      </c>
      <c r="H859" s="2" t="s">
        <v>4506</v>
      </c>
      <c r="I859" s="3" t="s">
        <v>80</v>
      </c>
      <c r="J859" s="2" t="s">
        <v>4722</v>
      </c>
      <c r="K859" s="2" t="s">
        <v>4723</v>
      </c>
      <c r="L859" s="4" t="n">
        <v>57</v>
      </c>
      <c r="M859" s="4" t="s">
        <v>53</v>
      </c>
      <c r="N859" s="5" t="n">
        <v>57</v>
      </c>
      <c r="O859" s="6" t="n">
        <v>90</v>
      </c>
      <c r="P859" s="6" t="s">
        <v>54</v>
      </c>
      <c r="Q859" s="7" t="n">
        <v>90</v>
      </c>
      <c r="R859" s="8" t="n">
        <v>85</v>
      </c>
      <c r="S859" s="8" t="s">
        <v>42</v>
      </c>
      <c r="T859" s="9" t="n">
        <v>85</v>
      </c>
      <c r="U859" s="10" t="n">
        <v>77</v>
      </c>
      <c r="V859" s="10" t="s">
        <v>43</v>
      </c>
      <c r="W859" s="11" t="n">
        <v>77</v>
      </c>
      <c r="X859" s="12" t="n">
        <v>77</v>
      </c>
      <c r="Y859" s="12" t="s">
        <v>43</v>
      </c>
      <c r="Z859" s="13" t="n">
        <v>77</v>
      </c>
      <c r="AA859" s="14" t="n">
        <v>47</v>
      </c>
      <c r="AB859" s="14" t="s">
        <v>45</v>
      </c>
      <c r="AC859" s="15" t="n">
        <v>47</v>
      </c>
      <c r="AD859" s="2" t="n">
        <f aca="false">SUM(L859,O859,R859,U859,X859,AA859)</f>
        <v>433</v>
      </c>
      <c r="AE859" s="16" t="n">
        <f aca="false">AD859/6</f>
        <v>72.1666666666667</v>
      </c>
      <c r="AF859" s="2" t="str">
        <f aca="false">IF(SUM(COUNTIF(M859,"RA"),COUNTIF(P859,"RA"),COUNTIF(S859,"RA"),COUNTIF(V859,"RA"),COUNTIF(Y859,"RA"),COUNTIF(AB859,"RA"))&gt;0,"FAIL","PASS")</f>
        <v>FAIL</v>
      </c>
    </row>
    <row r="860" customFormat="false" ht="15" hidden="false" customHeight="false" outlineLevel="0" collapsed="false">
      <c r="A860" s="2" t="n">
        <v>859</v>
      </c>
      <c r="B860" s="3" t="s">
        <v>4724</v>
      </c>
      <c r="C860" s="2" t="s">
        <v>757</v>
      </c>
      <c r="D860" s="2" t="s">
        <v>4725</v>
      </c>
      <c r="E860" s="2" t="s">
        <v>57</v>
      </c>
      <c r="F860" s="2" t="s">
        <v>36</v>
      </c>
      <c r="G860" s="2" t="s">
        <v>78</v>
      </c>
      <c r="H860" s="2" t="s">
        <v>4726</v>
      </c>
      <c r="I860" s="3" t="s">
        <v>3873</v>
      </c>
      <c r="J860" s="2" t="s">
        <v>4727</v>
      </c>
      <c r="K860" s="2" t="s">
        <v>4728</v>
      </c>
      <c r="L860" s="4" t="n">
        <v>67</v>
      </c>
      <c r="M860" s="4" t="s">
        <v>44</v>
      </c>
      <c r="N860" s="5" t="n">
        <v>67</v>
      </c>
      <c r="O860" s="6" t="n">
        <v>88</v>
      </c>
      <c r="P860" s="6" t="s">
        <v>42</v>
      </c>
      <c r="Q860" s="7" t="n">
        <v>88</v>
      </c>
      <c r="R860" s="8" t="n">
        <v>82</v>
      </c>
      <c r="S860" s="8" t="s">
        <v>42</v>
      </c>
      <c r="T860" s="9" t="n">
        <v>82</v>
      </c>
      <c r="U860" s="10" t="n">
        <v>62</v>
      </c>
      <c r="V860" s="10" t="s">
        <v>44</v>
      </c>
      <c r="W860" s="11" t="n">
        <v>62</v>
      </c>
      <c r="X860" s="12" t="n">
        <v>94</v>
      </c>
      <c r="Y860" s="12" t="s">
        <v>54</v>
      </c>
      <c r="Z860" s="13" t="n">
        <v>94</v>
      </c>
      <c r="AA860" s="14" t="n">
        <v>92</v>
      </c>
      <c r="AB860" s="14" t="s">
        <v>54</v>
      </c>
      <c r="AC860" s="15" t="n">
        <v>92</v>
      </c>
      <c r="AD860" s="2" t="n">
        <f aca="false">SUM(L860,O860,R860,U860,X860,AA860)</f>
        <v>485</v>
      </c>
      <c r="AE860" s="16" t="n">
        <f aca="false">AD860/6</f>
        <v>80.8333333333333</v>
      </c>
      <c r="AF860" s="2" t="str">
        <f aca="false">IF(SUM(COUNTIF(M860,"RA"),COUNTIF(P860,"RA"),COUNTIF(S860,"RA"),COUNTIF(V860,"RA"),COUNTIF(Y860,"RA"),COUNTIF(AB860,"RA"))&gt;0,"FAIL","PASS")</f>
        <v>PASS</v>
      </c>
    </row>
    <row r="861" customFormat="false" ht="15" hidden="false" customHeight="false" outlineLevel="0" collapsed="false">
      <c r="A861" s="2" t="n">
        <v>860</v>
      </c>
      <c r="B861" s="3" t="s">
        <v>4729</v>
      </c>
      <c r="C861" s="2" t="s">
        <v>750</v>
      </c>
      <c r="D861" s="2" t="s">
        <v>4730</v>
      </c>
      <c r="E861" s="2" t="s">
        <v>57</v>
      </c>
      <c r="F861" s="2" t="s">
        <v>36</v>
      </c>
      <c r="G861" s="2" t="s">
        <v>37</v>
      </c>
      <c r="H861" s="2" t="s">
        <v>4731</v>
      </c>
      <c r="I861" s="3" t="s">
        <v>4732</v>
      </c>
      <c r="J861" s="2" t="s">
        <v>4733</v>
      </c>
      <c r="K861" s="2" t="s">
        <v>4734</v>
      </c>
      <c r="L861" s="4" t="n">
        <v>90</v>
      </c>
      <c r="M861" s="4" t="s">
        <v>54</v>
      </c>
      <c r="N861" s="5" t="n">
        <v>90</v>
      </c>
      <c r="O861" s="6" t="n">
        <v>93</v>
      </c>
      <c r="P861" s="6" t="s">
        <v>54</v>
      </c>
      <c r="Q861" s="7" t="n">
        <v>93</v>
      </c>
      <c r="R861" s="8" t="n">
        <v>62</v>
      </c>
      <c r="S861" s="8" t="s">
        <v>44</v>
      </c>
      <c r="T861" s="9" t="n">
        <v>62</v>
      </c>
      <c r="U861" s="10" t="n">
        <v>71</v>
      </c>
      <c r="V861" s="10" t="s">
        <v>43</v>
      </c>
      <c r="W861" s="11" t="n">
        <v>71</v>
      </c>
      <c r="X861" s="12" t="n">
        <v>100</v>
      </c>
      <c r="Y861" s="12" t="s">
        <v>54</v>
      </c>
      <c r="Z861" s="13" t="n">
        <v>100</v>
      </c>
      <c r="AA861" s="14" t="n">
        <v>42</v>
      </c>
      <c r="AB861" s="14" t="s">
        <v>45</v>
      </c>
      <c r="AC861" s="15" t="n">
        <v>42</v>
      </c>
      <c r="AD861" s="2" t="n">
        <f aca="false">SUM(L861,O861,R861,U861,X861,AA861)</f>
        <v>458</v>
      </c>
      <c r="AE861" s="16" t="n">
        <f aca="false">AD861/6</f>
        <v>76.3333333333333</v>
      </c>
      <c r="AF861" s="2" t="str">
        <f aca="false">IF(SUM(COUNTIF(M861,"RA"),COUNTIF(P861,"RA"),COUNTIF(S861,"RA"),COUNTIF(V861,"RA"),COUNTIF(Y861,"RA"),COUNTIF(AB861,"RA"))&gt;0,"FAIL","PASS")</f>
        <v>FAIL</v>
      </c>
    </row>
    <row r="862" customFormat="false" ht="15" hidden="false" customHeight="false" outlineLevel="0" collapsed="false">
      <c r="A862" s="2" t="n">
        <v>861</v>
      </c>
      <c r="B862" s="3" t="s">
        <v>4735</v>
      </c>
      <c r="C862" s="2" t="s">
        <v>770</v>
      </c>
      <c r="D862" s="2" t="s">
        <v>4736</v>
      </c>
      <c r="E862" s="2" t="s">
        <v>35</v>
      </c>
      <c r="F862" s="2" t="s">
        <v>36</v>
      </c>
      <c r="G862" s="2" t="s">
        <v>44</v>
      </c>
      <c r="H862" s="2" t="s">
        <v>4737</v>
      </c>
      <c r="I862" s="3" t="s">
        <v>4475</v>
      </c>
      <c r="J862" s="2" t="s">
        <v>4738</v>
      </c>
      <c r="K862" s="2" t="s">
        <v>4739</v>
      </c>
      <c r="L862" s="4" t="n">
        <v>79</v>
      </c>
      <c r="M862" s="4" t="s">
        <v>43</v>
      </c>
      <c r="N862" s="5" t="n">
        <v>79</v>
      </c>
      <c r="O862" s="6" t="n">
        <v>69</v>
      </c>
      <c r="P862" s="6" t="s">
        <v>44</v>
      </c>
      <c r="Q862" s="7" t="n">
        <v>69</v>
      </c>
      <c r="R862" s="8" t="n">
        <v>95</v>
      </c>
      <c r="S862" s="8" t="s">
        <v>54</v>
      </c>
      <c r="T862" s="9" t="n">
        <v>95</v>
      </c>
      <c r="U862" s="10" t="n">
        <v>98</v>
      </c>
      <c r="V862" s="10" t="s">
        <v>54</v>
      </c>
      <c r="W862" s="11" t="n">
        <v>98</v>
      </c>
      <c r="X862" s="12" t="n">
        <v>72</v>
      </c>
      <c r="Y862" s="12" t="s">
        <v>43</v>
      </c>
      <c r="Z862" s="13" t="n">
        <v>72</v>
      </c>
      <c r="AA862" s="14" t="n">
        <v>60</v>
      </c>
      <c r="AB862" s="14" t="s">
        <v>44</v>
      </c>
      <c r="AC862" s="15" t="n">
        <v>60</v>
      </c>
      <c r="AD862" s="2" t="n">
        <f aca="false">SUM(L862,O862,R862,U862,X862,AA862)</f>
        <v>473</v>
      </c>
      <c r="AE862" s="16" t="n">
        <f aca="false">AD862/6</f>
        <v>78.8333333333333</v>
      </c>
      <c r="AF862" s="2" t="str">
        <f aca="false">IF(SUM(COUNTIF(M862,"RA"),COUNTIF(P862,"RA"),COUNTIF(S862,"RA"),COUNTIF(V862,"RA"),COUNTIF(Y862,"RA"),COUNTIF(AB862,"RA"))&gt;0,"FAIL","PASS")</f>
        <v>PASS</v>
      </c>
    </row>
    <row r="863" customFormat="false" ht="15" hidden="false" customHeight="false" outlineLevel="0" collapsed="false">
      <c r="A863" s="2" t="n">
        <v>862</v>
      </c>
      <c r="B863" s="3" t="s">
        <v>4740</v>
      </c>
      <c r="C863" s="2" t="s">
        <v>757</v>
      </c>
      <c r="D863" s="2" t="s">
        <v>4741</v>
      </c>
      <c r="E863" s="2" t="s">
        <v>35</v>
      </c>
      <c r="F863" s="2" t="s">
        <v>36</v>
      </c>
      <c r="G863" s="2" t="s">
        <v>71</v>
      </c>
      <c r="H863" s="2" t="s">
        <v>4742</v>
      </c>
      <c r="I863" s="3" t="s">
        <v>1113</v>
      </c>
      <c r="J863" s="2" t="s">
        <v>4743</v>
      </c>
      <c r="K863" s="2" t="s">
        <v>4744</v>
      </c>
      <c r="L863" s="4" t="n">
        <v>73</v>
      </c>
      <c r="M863" s="4" t="s">
        <v>43</v>
      </c>
      <c r="N863" s="5" t="n">
        <v>73</v>
      </c>
      <c r="O863" s="6" t="n">
        <v>91</v>
      </c>
      <c r="P863" s="6" t="s">
        <v>54</v>
      </c>
      <c r="Q863" s="7" t="n">
        <v>91</v>
      </c>
      <c r="R863" s="8" t="n">
        <v>86</v>
      </c>
      <c r="S863" s="8" t="s">
        <v>42</v>
      </c>
      <c r="T863" s="9" t="n">
        <v>86</v>
      </c>
      <c r="U863" s="10" t="n">
        <v>75</v>
      </c>
      <c r="V863" s="10" t="s">
        <v>43</v>
      </c>
      <c r="W863" s="11" t="n">
        <v>75</v>
      </c>
      <c r="X863" s="12" t="n">
        <v>54</v>
      </c>
      <c r="Y863" s="12" t="s">
        <v>53</v>
      </c>
      <c r="Z863" s="13" t="n">
        <v>54</v>
      </c>
      <c r="AA863" s="14" t="n">
        <v>91</v>
      </c>
      <c r="AB863" s="14" t="s">
        <v>54</v>
      </c>
      <c r="AC863" s="15" t="n">
        <v>91</v>
      </c>
      <c r="AD863" s="2" t="n">
        <f aca="false">SUM(L863,O863,R863,U863,X863,AA863)</f>
        <v>470</v>
      </c>
      <c r="AE863" s="16" t="n">
        <f aca="false">AD863/6</f>
        <v>78.3333333333333</v>
      </c>
      <c r="AF863" s="2" t="str">
        <f aca="false">IF(SUM(COUNTIF(M863,"RA"),COUNTIF(P863,"RA"),COUNTIF(S863,"RA"),COUNTIF(V863,"RA"),COUNTIF(Y863,"RA"),COUNTIF(AB863,"RA"))&gt;0,"FAIL","PASS")</f>
        <v>PASS</v>
      </c>
    </row>
    <row r="864" customFormat="false" ht="15" hidden="false" customHeight="false" outlineLevel="0" collapsed="false">
      <c r="A864" s="2" t="n">
        <v>863</v>
      </c>
      <c r="B864" s="3" t="s">
        <v>4745</v>
      </c>
      <c r="C864" s="2" t="s">
        <v>859</v>
      </c>
      <c r="D864" s="2" t="s">
        <v>4746</v>
      </c>
      <c r="E864" s="2" t="s">
        <v>35</v>
      </c>
      <c r="F864" s="2" t="s">
        <v>36</v>
      </c>
      <c r="G864" s="2" t="s">
        <v>44</v>
      </c>
      <c r="H864" s="2" t="s">
        <v>4747</v>
      </c>
      <c r="I864" s="3" t="s">
        <v>3050</v>
      </c>
      <c r="J864" s="2" t="s">
        <v>4748</v>
      </c>
      <c r="K864" s="2" t="s">
        <v>4749</v>
      </c>
      <c r="L864" s="4" t="n">
        <v>47</v>
      </c>
      <c r="M864" s="4" t="s">
        <v>45</v>
      </c>
      <c r="N864" s="5" t="n">
        <v>47</v>
      </c>
      <c r="O864" s="6" t="n">
        <v>72</v>
      </c>
      <c r="P864" s="6" t="s">
        <v>43</v>
      </c>
      <c r="Q864" s="7" t="n">
        <v>72</v>
      </c>
      <c r="R864" s="8" t="n">
        <v>89</v>
      </c>
      <c r="S864" s="8" t="s">
        <v>42</v>
      </c>
      <c r="T864" s="9" t="n">
        <v>89</v>
      </c>
      <c r="U864" s="10" t="n">
        <v>95</v>
      </c>
      <c r="V864" s="10" t="s">
        <v>54</v>
      </c>
      <c r="W864" s="11" t="n">
        <v>95</v>
      </c>
      <c r="X864" s="12" t="n">
        <v>85</v>
      </c>
      <c r="Y864" s="12" t="s">
        <v>42</v>
      </c>
      <c r="Z864" s="13" t="n">
        <v>85</v>
      </c>
      <c r="AA864" s="14" t="n">
        <v>98</v>
      </c>
      <c r="AB864" s="14" t="s">
        <v>54</v>
      </c>
      <c r="AC864" s="15" t="n">
        <v>98</v>
      </c>
      <c r="AD864" s="2" t="n">
        <f aca="false">SUM(L864,O864,R864,U864,X864,AA864)</f>
        <v>486</v>
      </c>
      <c r="AE864" s="16" t="n">
        <f aca="false">AD864/6</f>
        <v>81</v>
      </c>
      <c r="AF864" s="2" t="str">
        <f aca="false">IF(SUM(COUNTIF(M864,"RA"),COUNTIF(P864,"RA"),COUNTIF(S864,"RA"),COUNTIF(V864,"RA"),COUNTIF(Y864,"RA"),COUNTIF(AB864,"RA"))&gt;0,"FAIL","PASS")</f>
        <v>FAIL</v>
      </c>
    </row>
    <row r="865" customFormat="false" ht="15" hidden="false" customHeight="false" outlineLevel="0" collapsed="false">
      <c r="A865" s="2" t="n">
        <v>864</v>
      </c>
      <c r="B865" s="3" t="s">
        <v>4750</v>
      </c>
      <c r="C865" s="2" t="s">
        <v>841</v>
      </c>
      <c r="D865" s="2" t="s">
        <v>4751</v>
      </c>
      <c r="E865" s="2" t="s">
        <v>35</v>
      </c>
      <c r="F865" s="2" t="s">
        <v>36</v>
      </c>
      <c r="G865" s="2" t="s">
        <v>78</v>
      </c>
      <c r="H865" s="2" t="s">
        <v>366</v>
      </c>
      <c r="I865" s="3" t="s">
        <v>1473</v>
      </c>
      <c r="J865" s="2" t="s">
        <v>4752</v>
      </c>
      <c r="K865" s="2" t="s">
        <v>4753</v>
      </c>
      <c r="L865" s="4" t="n">
        <v>84</v>
      </c>
      <c r="M865" s="4" t="s">
        <v>42</v>
      </c>
      <c r="N865" s="5" t="n">
        <v>84</v>
      </c>
      <c r="O865" s="6" t="n">
        <v>86</v>
      </c>
      <c r="P865" s="6" t="s">
        <v>42</v>
      </c>
      <c r="Q865" s="7" t="n">
        <v>86</v>
      </c>
      <c r="R865" s="8" t="n">
        <v>78</v>
      </c>
      <c r="S865" s="8" t="s">
        <v>43</v>
      </c>
      <c r="T865" s="9" t="n">
        <v>78</v>
      </c>
      <c r="U865" s="10" t="n">
        <v>63</v>
      </c>
      <c r="V865" s="10" t="s">
        <v>44</v>
      </c>
      <c r="W865" s="11" t="n">
        <v>63</v>
      </c>
      <c r="X865" s="12" t="n">
        <v>99</v>
      </c>
      <c r="Y865" s="12" t="s">
        <v>54</v>
      </c>
      <c r="Z865" s="13" t="n">
        <v>99</v>
      </c>
      <c r="AA865" s="14" t="n">
        <v>71</v>
      </c>
      <c r="AB865" s="14" t="s">
        <v>43</v>
      </c>
      <c r="AC865" s="15" t="n">
        <v>71</v>
      </c>
      <c r="AD865" s="2" t="n">
        <f aca="false">SUM(L865,O865,R865,U865,X865,AA865)</f>
        <v>481</v>
      </c>
      <c r="AE865" s="16" t="n">
        <f aca="false">AD865/6</f>
        <v>80.1666666666667</v>
      </c>
      <c r="AF865" s="2" t="str">
        <f aca="false">IF(SUM(COUNTIF(M865,"RA"),COUNTIF(P865,"RA"),COUNTIF(S865,"RA"),COUNTIF(V865,"RA"),COUNTIF(Y865,"RA"),COUNTIF(AB865,"RA"))&gt;0,"FAIL","PASS")</f>
        <v>PASS</v>
      </c>
    </row>
    <row r="866" customFormat="false" ht="15" hidden="false" customHeight="false" outlineLevel="0" collapsed="false">
      <c r="A866" s="2" t="n">
        <v>865</v>
      </c>
      <c r="B866" s="3" t="s">
        <v>4754</v>
      </c>
      <c r="C866" s="2" t="s">
        <v>841</v>
      </c>
      <c r="D866" s="2" t="s">
        <v>4755</v>
      </c>
      <c r="E866" s="2" t="s">
        <v>57</v>
      </c>
      <c r="F866" s="2" t="s">
        <v>36</v>
      </c>
      <c r="G866" s="2" t="s">
        <v>71</v>
      </c>
      <c r="H866" s="2" t="s">
        <v>3793</v>
      </c>
      <c r="I866" s="3" t="s">
        <v>4756</v>
      </c>
      <c r="J866" s="2" t="s">
        <v>4757</v>
      </c>
      <c r="K866" s="2" t="s">
        <v>4758</v>
      </c>
      <c r="L866" s="4" t="n">
        <v>87</v>
      </c>
      <c r="M866" s="4" t="s">
        <v>42</v>
      </c>
      <c r="N866" s="5" t="n">
        <v>87</v>
      </c>
      <c r="O866" s="6" t="n">
        <v>65</v>
      </c>
      <c r="P866" s="6" t="s">
        <v>44</v>
      </c>
      <c r="Q866" s="7" t="n">
        <v>65</v>
      </c>
      <c r="R866" s="8" t="n">
        <v>76</v>
      </c>
      <c r="S866" s="8" t="s">
        <v>43</v>
      </c>
      <c r="T866" s="9" t="n">
        <v>76</v>
      </c>
      <c r="U866" s="10" t="n">
        <v>92</v>
      </c>
      <c r="V866" s="10" t="s">
        <v>54</v>
      </c>
      <c r="W866" s="11" t="n">
        <v>92</v>
      </c>
      <c r="X866" s="12" t="n">
        <v>92</v>
      </c>
      <c r="Y866" s="12" t="s">
        <v>54</v>
      </c>
      <c r="Z866" s="13" t="n">
        <v>92</v>
      </c>
      <c r="AA866" s="14" t="n">
        <v>59</v>
      </c>
      <c r="AB866" s="14" t="s">
        <v>53</v>
      </c>
      <c r="AC866" s="15" t="n">
        <v>59</v>
      </c>
      <c r="AD866" s="2" t="n">
        <f aca="false">SUM(L866,O866,R866,U866,X866,AA866)</f>
        <v>471</v>
      </c>
      <c r="AE866" s="16" t="n">
        <f aca="false">AD866/6</f>
        <v>78.5</v>
      </c>
      <c r="AF866" s="2" t="str">
        <f aca="false">IF(SUM(COUNTIF(M866,"RA"),COUNTIF(P866,"RA"),COUNTIF(S866,"RA"),COUNTIF(V866,"RA"),COUNTIF(Y866,"RA"),COUNTIF(AB866,"RA"))&gt;0,"FAIL","PASS")</f>
        <v>PASS</v>
      </c>
    </row>
    <row r="867" customFormat="false" ht="15" hidden="false" customHeight="false" outlineLevel="0" collapsed="false">
      <c r="A867" s="2" t="n">
        <v>866</v>
      </c>
      <c r="B867" s="3" t="s">
        <v>4759</v>
      </c>
      <c r="C867" s="2" t="s">
        <v>859</v>
      </c>
      <c r="D867" s="2" t="s">
        <v>4760</v>
      </c>
      <c r="E867" s="2" t="s">
        <v>35</v>
      </c>
      <c r="F867" s="2" t="s">
        <v>36</v>
      </c>
      <c r="G867" s="2" t="s">
        <v>48</v>
      </c>
      <c r="H867" s="2" t="s">
        <v>3285</v>
      </c>
      <c r="I867" s="3" t="s">
        <v>4062</v>
      </c>
      <c r="J867" s="2" t="s">
        <v>4761</v>
      </c>
      <c r="K867" s="2" t="s">
        <v>4762</v>
      </c>
      <c r="L867" s="4" t="n">
        <v>77</v>
      </c>
      <c r="M867" s="4" t="s">
        <v>43</v>
      </c>
      <c r="N867" s="5" t="n">
        <v>77</v>
      </c>
      <c r="O867" s="6" t="n">
        <v>60</v>
      </c>
      <c r="P867" s="6" t="s">
        <v>44</v>
      </c>
      <c r="Q867" s="7" t="n">
        <v>60</v>
      </c>
      <c r="R867" s="8" t="n">
        <v>66</v>
      </c>
      <c r="S867" s="8" t="s">
        <v>44</v>
      </c>
      <c r="T867" s="9" t="n">
        <v>66</v>
      </c>
      <c r="U867" s="10" t="n">
        <v>70</v>
      </c>
      <c r="V867" s="10" t="s">
        <v>43</v>
      </c>
      <c r="W867" s="11" t="n">
        <v>70</v>
      </c>
      <c r="X867" s="12" t="n">
        <v>78</v>
      </c>
      <c r="Y867" s="12" t="s">
        <v>43</v>
      </c>
      <c r="Z867" s="13" t="n">
        <v>78</v>
      </c>
      <c r="AA867" s="14" t="n">
        <v>78</v>
      </c>
      <c r="AB867" s="14" t="s">
        <v>43</v>
      </c>
      <c r="AC867" s="15" t="n">
        <v>78</v>
      </c>
      <c r="AD867" s="2" t="n">
        <f aca="false">SUM(L867,O867,R867,U867,X867,AA867)</f>
        <v>429</v>
      </c>
      <c r="AE867" s="16" t="n">
        <f aca="false">AD867/6</f>
        <v>71.5</v>
      </c>
      <c r="AF867" s="2" t="str">
        <f aca="false">IF(SUM(COUNTIF(M867,"RA"),COUNTIF(P867,"RA"),COUNTIF(S867,"RA"),COUNTIF(V867,"RA"),COUNTIF(Y867,"RA"),COUNTIF(AB867,"RA"))&gt;0,"FAIL","PASS")</f>
        <v>PASS</v>
      </c>
    </row>
    <row r="868" customFormat="false" ht="15" hidden="false" customHeight="false" outlineLevel="0" collapsed="false">
      <c r="A868" s="2" t="n">
        <v>867</v>
      </c>
      <c r="B868" s="3" t="s">
        <v>4763</v>
      </c>
      <c r="C868" s="2" t="s">
        <v>790</v>
      </c>
      <c r="D868" s="2" t="s">
        <v>4764</v>
      </c>
      <c r="E868" s="2" t="s">
        <v>57</v>
      </c>
      <c r="F868" s="2" t="s">
        <v>36</v>
      </c>
      <c r="G868" s="2" t="s">
        <v>44</v>
      </c>
      <c r="H868" s="2" t="s">
        <v>2626</v>
      </c>
      <c r="I868" s="3" t="s">
        <v>4148</v>
      </c>
      <c r="J868" s="2" t="s">
        <v>4765</v>
      </c>
      <c r="K868" s="2" t="s">
        <v>4766</v>
      </c>
      <c r="L868" s="4" t="n">
        <v>100</v>
      </c>
      <c r="M868" s="4" t="s">
        <v>54</v>
      </c>
      <c r="N868" s="5" t="n">
        <v>100</v>
      </c>
      <c r="O868" s="6" t="n">
        <v>92</v>
      </c>
      <c r="P868" s="6" t="s">
        <v>54</v>
      </c>
      <c r="Q868" s="7" t="n">
        <v>92</v>
      </c>
      <c r="R868" s="8" t="n">
        <v>71</v>
      </c>
      <c r="S868" s="8" t="s">
        <v>43</v>
      </c>
      <c r="T868" s="9" t="n">
        <v>71</v>
      </c>
      <c r="U868" s="10" t="n">
        <v>60</v>
      </c>
      <c r="V868" s="10" t="s">
        <v>44</v>
      </c>
      <c r="W868" s="11" t="n">
        <v>60</v>
      </c>
      <c r="X868" s="12" t="n">
        <v>87</v>
      </c>
      <c r="Y868" s="12" t="s">
        <v>42</v>
      </c>
      <c r="Z868" s="13" t="n">
        <v>87</v>
      </c>
      <c r="AA868" s="14" t="n">
        <v>86</v>
      </c>
      <c r="AB868" s="14" t="s">
        <v>42</v>
      </c>
      <c r="AC868" s="15" t="n">
        <v>86</v>
      </c>
      <c r="AD868" s="2" t="n">
        <f aca="false">SUM(L868,O868,R868,U868,X868,AA868)</f>
        <v>496</v>
      </c>
      <c r="AE868" s="16" t="n">
        <f aca="false">AD868/6</f>
        <v>82.6666666666667</v>
      </c>
      <c r="AF868" s="2" t="str">
        <f aca="false">IF(SUM(COUNTIF(M868,"RA"),COUNTIF(P868,"RA"),COUNTIF(S868,"RA"),COUNTIF(V868,"RA"),COUNTIF(Y868,"RA"),COUNTIF(AB868,"RA"))&gt;0,"FAIL","PASS")</f>
        <v>PASS</v>
      </c>
    </row>
    <row r="869" customFormat="false" ht="15" hidden="false" customHeight="false" outlineLevel="0" collapsed="false">
      <c r="A869" s="2" t="n">
        <v>868</v>
      </c>
      <c r="B869" s="3" t="s">
        <v>4767</v>
      </c>
      <c r="C869" s="2" t="s">
        <v>770</v>
      </c>
      <c r="D869" s="2" t="s">
        <v>4768</v>
      </c>
      <c r="E869" s="2" t="s">
        <v>57</v>
      </c>
      <c r="F869" s="2" t="s">
        <v>36</v>
      </c>
      <c r="G869" s="2" t="s">
        <v>78</v>
      </c>
      <c r="H869" s="2" t="s">
        <v>3105</v>
      </c>
      <c r="I869" s="3" t="s">
        <v>527</v>
      </c>
      <c r="J869" s="2" t="s">
        <v>4769</v>
      </c>
      <c r="K869" s="2" t="s">
        <v>4770</v>
      </c>
      <c r="L869" s="4" t="n">
        <v>79</v>
      </c>
      <c r="M869" s="4" t="s">
        <v>43</v>
      </c>
      <c r="N869" s="5" t="n">
        <v>79</v>
      </c>
      <c r="O869" s="6" t="n">
        <v>64</v>
      </c>
      <c r="P869" s="6" t="s">
        <v>44</v>
      </c>
      <c r="Q869" s="7" t="n">
        <v>64</v>
      </c>
      <c r="R869" s="8" t="n">
        <v>60</v>
      </c>
      <c r="S869" s="8" t="s">
        <v>44</v>
      </c>
      <c r="T869" s="9" t="n">
        <v>60</v>
      </c>
      <c r="U869" s="10" t="n">
        <v>46</v>
      </c>
      <c r="V869" s="10" t="s">
        <v>45</v>
      </c>
      <c r="W869" s="11" t="n">
        <v>46</v>
      </c>
      <c r="X869" s="12" t="n">
        <v>64</v>
      </c>
      <c r="Y869" s="12" t="s">
        <v>44</v>
      </c>
      <c r="Z869" s="13" t="n">
        <v>64</v>
      </c>
      <c r="AA869" s="14" t="n">
        <v>53</v>
      </c>
      <c r="AB869" s="14" t="s">
        <v>53</v>
      </c>
      <c r="AC869" s="15" t="n">
        <v>53</v>
      </c>
      <c r="AD869" s="2" t="n">
        <f aca="false">SUM(L869,O869,R869,U869,X869,AA869)</f>
        <v>366</v>
      </c>
      <c r="AE869" s="16" t="n">
        <f aca="false">AD869/6</f>
        <v>61</v>
      </c>
      <c r="AF869" s="2" t="str">
        <f aca="false">IF(SUM(COUNTIF(M869,"RA"),COUNTIF(P869,"RA"),COUNTIF(S869,"RA"),COUNTIF(V869,"RA"),COUNTIF(Y869,"RA"),COUNTIF(AB869,"RA"))&gt;0,"FAIL","PASS")</f>
        <v>FAIL</v>
      </c>
    </row>
    <row r="870" customFormat="false" ht="15" hidden="false" customHeight="false" outlineLevel="0" collapsed="false">
      <c r="A870" s="2" t="n">
        <v>869</v>
      </c>
      <c r="B870" s="3" t="s">
        <v>4771</v>
      </c>
      <c r="C870" s="2" t="s">
        <v>803</v>
      </c>
      <c r="D870" s="2" t="s">
        <v>4772</v>
      </c>
      <c r="E870" s="2" t="s">
        <v>57</v>
      </c>
      <c r="F870" s="2" t="s">
        <v>36</v>
      </c>
      <c r="G870" s="2" t="s">
        <v>42</v>
      </c>
      <c r="H870" s="2" t="s">
        <v>3295</v>
      </c>
      <c r="I870" s="3" t="s">
        <v>1214</v>
      </c>
      <c r="J870" s="2" t="s">
        <v>4773</v>
      </c>
      <c r="K870" s="2" t="s">
        <v>4774</v>
      </c>
      <c r="L870" s="4" t="n">
        <v>87</v>
      </c>
      <c r="M870" s="4" t="s">
        <v>42</v>
      </c>
      <c r="N870" s="5" t="n">
        <v>87</v>
      </c>
      <c r="O870" s="6" t="n">
        <v>65</v>
      </c>
      <c r="P870" s="6" t="s">
        <v>44</v>
      </c>
      <c r="Q870" s="7" t="n">
        <v>65</v>
      </c>
      <c r="R870" s="8" t="n">
        <v>91</v>
      </c>
      <c r="S870" s="8" t="s">
        <v>54</v>
      </c>
      <c r="T870" s="9" t="n">
        <v>91</v>
      </c>
      <c r="U870" s="10" t="n">
        <v>91</v>
      </c>
      <c r="V870" s="10" t="s">
        <v>54</v>
      </c>
      <c r="W870" s="11" t="n">
        <v>91</v>
      </c>
      <c r="X870" s="12" t="n">
        <v>54</v>
      </c>
      <c r="Y870" s="12" t="s">
        <v>53</v>
      </c>
      <c r="Z870" s="13" t="n">
        <v>54</v>
      </c>
      <c r="AA870" s="14" t="n">
        <v>98</v>
      </c>
      <c r="AB870" s="14" t="s">
        <v>54</v>
      </c>
      <c r="AC870" s="15" t="n">
        <v>98</v>
      </c>
      <c r="AD870" s="2" t="n">
        <f aca="false">SUM(L870,O870,R870,U870,X870,AA870)</f>
        <v>486</v>
      </c>
      <c r="AE870" s="16" t="n">
        <f aca="false">AD870/6</f>
        <v>81</v>
      </c>
      <c r="AF870" s="2" t="str">
        <f aca="false">IF(SUM(COUNTIF(M870,"RA"),COUNTIF(P870,"RA"),COUNTIF(S870,"RA"),COUNTIF(V870,"RA"),COUNTIF(Y870,"RA"),COUNTIF(AB870,"RA"))&gt;0,"FAIL","PASS")</f>
        <v>PASS</v>
      </c>
    </row>
    <row r="871" customFormat="false" ht="15" hidden="false" customHeight="false" outlineLevel="0" collapsed="false">
      <c r="A871" s="2" t="n">
        <v>870</v>
      </c>
      <c r="B871" s="3" t="s">
        <v>4775</v>
      </c>
      <c r="C871" s="2" t="s">
        <v>803</v>
      </c>
      <c r="D871" s="2" t="s">
        <v>4776</v>
      </c>
      <c r="E871" s="2" t="s">
        <v>35</v>
      </c>
      <c r="F871" s="2" t="s">
        <v>36</v>
      </c>
      <c r="G871" s="2" t="s">
        <v>42</v>
      </c>
      <c r="H871" s="2" t="s">
        <v>152</v>
      </c>
      <c r="I871" s="3" t="s">
        <v>3990</v>
      </c>
      <c r="J871" s="2" t="s">
        <v>4777</v>
      </c>
      <c r="K871" s="2" t="s">
        <v>4778</v>
      </c>
      <c r="L871" s="4" t="n">
        <v>84</v>
      </c>
      <c r="M871" s="4" t="s">
        <v>42</v>
      </c>
      <c r="N871" s="5" t="n">
        <v>84</v>
      </c>
      <c r="O871" s="6" t="n">
        <v>95</v>
      </c>
      <c r="P871" s="6" t="s">
        <v>54</v>
      </c>
      <c r="Q871" s="7" t="n">
        <v>95</v>
      </c>
      <c r="R871" s="8" t="n">
        <v>98</v>
      </c>
      <c r="S871" s="8" t="s">
        <v>54</v>
      </c>
      <c r="T871" s="9" t="n">
        <v>98</v>
      </c>
      <c r="U871" s="10" t="n">
        <v>77</v>
      </c>
      <c r="V871" s="10" t="s">
        <v>43</v>
      </c>
      <c r="W871" s="11" t="n">
        <v>77</v>
      </c>
      <c r="X871" s="12" t="n">
        <v>99</v>
      </c>
      <c r="Y871" s="12" t="s">
        <v>54</v>
      </c>
      <c r="Z871" s="13" t="n">
        <v>99</v>
      </c>
      <c r="AA871" s="14" t="n">
        <v>43</v>
      </c>
      <c r="AB871" s="14" t="s">
        <v>45</v>
      </c>
      <c r="AC871" s="15" t="n">
        <v>43</v>
      </c>
      <c r="AD871" s="2" t="n">
        <f aca="false">SUM(L871,O871,R871,U871,X871,AA871)</f>
        <v>496</v>
      </c>
      <c r="AE871" s="16" t="n">
        <f aca="false">AD871/6</f>
        <v>82.6666666666667</v>
      </c>
      <c r="AF871" s="2" t="str">
        <f aca="false">IF(SUM(COUNTIF(M871,"RA"),COUNTIF(P871,"RA"),COUNTIF(S871,"RA"),COUNTIF(V871,"RA"),COUNTIF(Y871,"RA"),COUNTIF(AB871,"RA"))&gt;0,"FAIL","PASS")</f>
        <v>FAIL</v>
      </c>
    </row>
    <row r="872" customFormat="false" ht="15" hidden="false" customHeight="false" outlineLevel="0" collapsed="false">
      <c r="A872" s="2" t="n">
        <v>871</v>
      </c>
      <c r="B872" s="3" t="s">
        <v>4779</v>
      </c>
      <c r="C872" s="2" t="s">
        <v>816</v>
      </c>
      <c r="D872" s="2" t="s">
        <v>4780</v>
      </c>
      <c r="E872" s="2" t="s">
        <v>35</v>
      </c>
      <c r="F872" s="2" t="s">
        <v>36</v>
      </c>
      <c r="G872" s="2" t="s">
        <v>78</v>
      </c>
      <c r="H872" s="2" t="s">
        <v>4781</v>
      </c>
      <c r="I872" s="3" t="s">
        <v>4782</v>
      </c>
      <c r="J872" s="2" t="s">
        <v>4783</v>
      </c>
      <c r="K872" s="2" t="s">
        <v>4784</v>
      </c>
      <c r="L872" s="4" t="n">
        <v>46</v>
      </c>
      <c r="M872" s="4" t="s">
        <v>45</v>
      </c>
      <c r="N872" s="5" t="n">
        <v>46</v>
      </c>
      <c r="O872" s="6" t="n">
        <v>45</v>
      </c>
      <c r="P872" s="6" t="s">
        <v>45</v>
      </c>
      <c r="Q872" s="7" t="n">
        <v>45</v>
      </c>
      <c r="R872" s="8" t="n">
        <v>73</v>
      </c>
      <c r="S872" s="8" t="s">
        <v>43</v>
      </c>
      <c r="T872" s="9" t="n">
        <v>73</v>
      </c>
      <c r="U872" s="10" t="n">
        <v>63</v>
      </c>
      <c r="V872" s="10" t="s">
        <v>44</v>
      </c>
      <c r="W872" s="11" t="n">
        <v>63</v>
      </c>
      <c r="X872" s="12" t="n">
        <v>63</v>
      </c>
      <c r="Y872" s="12" t="s">
        <v>44</v>
      </c>
      <c r="Z872" s="13" t="n">
        <v>63</v>
      </c>
      <c r="AA872" s="14" t="n">
        <v>53</v>
      </c>
      <c r="AB872" s="14" t="s">
        <v>53</v>
      </c>
      <c r="AC872" s="15" t="n">
        <v>53</v>
      </c>
      <c r="AD872" s="2" t="n">
        <f aca="false">SUM(L872,O872,R872,U872,X872,AA872)</f>
        <v>343</v>
      </c>
      <c r="AE872" s="16" t="n">
        <f aca="false">AD872/6</f>
        <v>57.1666666666667</v>
      </c>
      <c r="AF872" s="2" t="str">
        <f aca="false">IF(SUM(COUNTIF(M872,"RA"),COUNTIF(P872,"RA"),COUNTIF(S872,"RA"),COUNTIF(V872,"RA"),COUNTIF(Y872,"RA"),COUNTIF(AB872,"RA"))&gt;0,"FAIL","PASS")</f>
        <v>FAIL</v>
      </c>
    </row>
    <row r="873" customFormat="false" ht="15" hidden="false" customHeight="false" outlineLevel="0" collapsed="false">
      <c r="A873" s="2" t="n">
        <v>872</v>
      </c>
      <c r="B873" s="3" t="s">
        <v>4785</v>
      </c>
      <c r="C873" s="2" t="s">
        <v>841</v>
      </c>
      <c r="D873" s="2" t="s">
        <v>4786</v>
      </c>
      <c r="E873" s="2" t="s">
        <v>35</v>
      </c>
      <c r="F873" s="2" t="s">
        <v>36</v>
      </c>
      <c r="G873" s="2" t="s">
        <v>44</v>
      </c>
      <c r="H873" s="2" t="s">
        <v>4787</v>
      </c>
      <c r="I873" s="3" t="s">
        <v>153</v>
      </c>
      <c r="J873" s="2" t="s">
        <v>4788</v>
      </c>
      <c r="K873" s="2" t="s">
        <v>4789</v>
      </c>
      <c r="L873" s="4" t="n">
        <v>79</v>
      </c>
      <c r="M873" s="4" t="s">
        <v>43</v>
      </c>
      <c r="N873" s="5" t="n">
        <v>79</v>
      </c>
      <c r="O873" s="6" t="n">
        <v>61</v>
      </c>
      <c r="P873" s="6" t="s">
        <v>44</v>
      </c>
      <c r="Q873" s="7" t="n">
        <v>61</v>
      </c>
      <c r="R873" s="8" t="n">
        <v>98</v>
      </c>
      <c r="S873" s="8" t="s">
        <v>54</v>
      </c>
      <c r="T873" s="9" t="n">
        <v>98</v>
      </c>
      <c r="U873" s="10" t="n">
        <v>90</v>
      </c>
      <c r="V873" s="10" t="s">
        <v>54</v>
      </c>
      <c r="W873" s="11" t="n">
        <v>90</v>
      </c>
      <c r="X873" s="12" t="n">
        <v>92</v>
      </c>
      <c r="Y873" s="12" t="s">
        <v>54</v>
      </c>
      <c r="Z873" s="13" t="n">
        <v>92</v>
      </c>
      <c r="AA873" s="14" t="n">
        <v>52</v>
      </c>
      <c r="AB873" s="14" t="s">
        <v>53</v>
      </c>
      <c r="AC873" s="15" t="n">
        <v>52</v>
      </c>
      <c r="AD873" s="2" t="n">
        <f aca="false">SUM(L873,O873,R873,U873,X873,AA873)</f>
        <v>472</v>
      </c>
      <c r="AE873" s="16" t="n">
        <f aca="false">AD873/6</f>
        <v>78.6666666666667</v>
      </c>
      <c r="AF873" s="2" t="str">
        <f aca="false">IF(SUM(COUNTIF(M873,"RA"),COUNTIF(P873,"RA"),COUNTIF(S873,"RA"),COUNTIF(V873,"RA"),COUNTIF(Y873,"RA"),COUNTIF(AB873,"RA"))&gt;0,"FAIL","PASS")</f>
        <v>PASS</v>
      </c>
    </row>
    <row r="874" customFormat="false" ht="15" hidden="false" customHeight="false" outlineLevel="0" collapsed="false">
      <c r="A874" s="2" t="n">
        <v>873</v>
      </c>
      <c r="B874" s="3" t="s">
        <v>4790</v>
      </c>
      <c r="C874" s="2" t="s">
        <v>841</v>
      </c>
      <c r="D874" s="2" t="s">
        <v>4791</v>
      </c>
      <c r="E874" s="2" t="s">
        <v>35</v>
      </c>
      <c r="F874" s="2" t="s">
        <v>36</v>
      </c>
      <c r="G874" s="2" t="s">
        <v>42</v>
      </c>
      <c r="H874" s="2" t="s">
        <v>4792</v>
      </c>
      <c r="I874" s="3" t="s">
        <v>707</v>
      </c>
      <c r="J874" s="2" t="s">
        <v>4793</v>
      </c>
      <c r="K874" s="2" t="s">
        <v>4794</v>
      </c>
      <c r="L874" s="4" t="n">
        <v>83</v>
      </c>
      <c r="M874" s="4" t="s">
        <v>42</v>
      </c>
      <c r="N874" s="5" t="n">
        <v>83</v>
      </c>
      <c r="O874" s="6" t="n">
        <v>100</v>
      </c>
      <c r="P874" s="6" t="s">
        <v>54</v>
      </c>
      <c r="Q874" s="7" t="n">
        <v>100</v>
      </c>
      <c r="R874" s="8" t="n">
        <v>67</v>
      </c>
      <c r="S874" s="8" t="s">
        <v>44</v>
      </c>
      <c r="T874" s="9" t="n">
        <v>67</v>
      </c>
      <c r="U874" s="10" t="n">
        <v>78</v>
      </c>
      <c r="V874" s="10" t="s">
        <v>43</v>
      </c>
      <c r="W874" s="11" t="n">
        <v>78</v>
      </c>
      <c r="X874" s="12" t="n">
        <v>81</v>
      </c>
      <c r="Y874" s="12" t="s">
        <v>42</v>
      </c>
      <c r="Z874" s="13" t="n">
        <v>81</v>
      </c>
      <c r="AA874" s="14" t="n">
        <v>77</v>
      </c>
      <c r="AB874" s="14" t="s">
        <v>43</v>
      </c>
      <c r="AC874" s="15" t="n">
        <v>77</v>
      </c>
      <c r="AD874" s="2" t="n">
        <f aca="false">SUM(L874,O874,R874,U874,X874,AA874)</f>
        <v>486</v>
      </c>
      <c r="AE874" s="16" t="n">
        <f aca="false">AD874/6</f>
        <v>81</v>
      </c>
      <c r="AF874" s="2" t="str">
        <f aca="false">IF(SUM(COUNTIF(M874,"RA"),COUNTIF(P874,"RA"),COUNTIF(S874,"RA"),COUNTIF(V874,"RA"),COUNTIF(Y874,"RA"),COUNTIF(AB874,"RA"))&gt;0,"FAIL","PASS")</f>
        <v>PASS</v>
      </c>
    </row>
    <row r="875" customFormat="false" ht="15" hidden="false" customHeight="false" outlineLevel="0" collapsed="false">
      <c r="A875" s="2" t="n">
        <v>874</v>
      </c>
      <c r="B875" s="3" t="s">
        <v>4795</v>
      </c>
      <c r="C875" s="2" t="s">
        <v>859</v>
      </c>
      <c r="D875" s="2" t="s">
        <v>4796</v>
      </c>
      <c r="E875" s="2" t="s">
        <v>57</v>
      </c>
      <c r="F875" s="2" t="s">
        <v>36</v>
      </c>
      <c r="G875" s="2" t="s">
        <v>48</v>
      </c>
      <c r="H875" s="2" t="s">
        <v>4797</v>
      </c>
      <c r="I875" s="3" t="s">
        <v>4798</v>
      </c>
      <c r="J875" s="2" t="s">
        <v>4799</v>
      </c>
      <c r="K875" s="2" t="s">
        <v>4800</v>
      </c>
      <c r="L875" s="4" t="n">
        <v>82</v>
      </c>
      <c r="M875" s="4" t="s">
        <v>42</v>
      </c>
      <c r="N875" s="5" t="n">
        <v>82</v>
      </c>
      <c r="O875" s="6" t="n">
        <v>69</v>
      </c>
      <c r="P875" s="6" t="s">
        <v>44</v>
      </c>
      <c r="Q875" s="7" t="n">
        <v>69</v>
      </c>
      <c r="R875" s="8" t="n">
        <v>100</v>
      </c>
      <c r="S875" s="8" t="s">
        <v>54</v>
      </c>
      <c r="T875" s="9" t="n">
        <v>100</v>
      </c>
      <c r="U875" s="10" t="n">
        <v>61</v>
      </c>
      <c r="V875" s="10" t="s">
        <v>44</v>
      </c>
      <c r="W875" s="11" t="n">
        <v>61</v>
      </c>
      <c r="X875" s="12" t="n">
        <v>58</v>
      </c>
      <c r="Y875" s="12" t="s">
        <v>53</v>
      </c>
      <c r="Z875" s="13" t="n">
        <v>58</v>
      </c>
      <c r="AA875" s="14" t="n">
        <v>88</v>
      </c>
      <c r="AB875" s="14" t="s">
        <v>42</v>
      </c>
      <c r="AC875" s="15" t="n">
        <v>88</v>
      </c>
      <c r="AD875" s="2" t="n">
        <f aca="false">SUM(L875,O875,R875,U875,X875,AA875)</f>
        <v>458</v>
      </c>
      <c r="AE875" s="16" t="n">
        <f aca="false">AD875/6</f>
        <v>76.3333333333333</v>
      </c>
      <c r="AF875" s="2" t="str">
        <f aca="false">IF(SUM(COUNTIF(M875,"RA"),COUNTIF(P875,"RA"),COUNTIF(S875,"RA"),COUNTIF(V875,"RA"),COUNTIF(Y875,"RA"),COUNTIF(AB875,"RA"))&gt;0,"FAIL","PASS")</f>
        <v>PASS</v>
      </c>
    </row>
    <row r="876" customFormat="false" ht="15" hidden="false" customHeight="false" outlineLevel="0" collapsed="false">
      <c r="A876" s="2" t="n">
        <v>875</v>
      </c>
      <c r="B876" s="3" t="s">
        <v>4801</v>
      </c>
      <c r="C876" s="2" t="s">
        <v>757</v>
      </c>
      <c r="D876" s="2" t="s">
        <v>4802</v>
      </c>
      <c r="E876" s="2" t="s">
        <v>57</v>
      </c>
      <c r="F876" s="2" t="s">
        <v>36</v>
      </c>
      <c r="G876" s="2" t="s">
        <v>71</v>
      </c>
      <c r="H876" s="2" t="s">
        <v>4803</v>
      </c>
      <c r="I876" s="3" t="s">
        <v>117</v>
      </c>
      <c r="J876" s="2" t="s">
        <v>4804</v>
      </c>
      <c r="K876" s="2" t="s">
        <v>4805</v>
      </c>
      <c r="L876" s="4" t="n">
        <v>60</v>
      </c>
      <c r="M876" s="4" t="s">
        <v>44</v>
      </c>
      <c r="N876" s="5" t="n">
        <v>60</v>
      </c>
      <c r="O876" s="6" t="n">
        <v>40</v>
      </c>
      <c r="P876" s="6" t="s">
        <v>45</v>
      </c>
      <c r="Q876" s="7" t="n">
        <v>40</v>
      </c>
      <c r="R876" s="8" t="n">
        <v>97</v>
      </c>
      <c r="S876" s="8" t="s">
        <v>54</v>
      </c>
      <c r="T876" s="9" t="n">
        <v>97</v>
      </c>
      <c r="U876" s="10" t="n">
        <v>79</v>
      </c>
      <c r="V876" s="10" t="s">
        <v>43</v>
      </c>
      <c r="W876" s="11" t="n">
        <v>79</v>
      </c>
      <c r="X876" s="12" t="n">
        <v>76</v>
      </c>
      <c r="Y876" s="12" t="s">
        <v>43</v>
      </c>
      <c r="Z876" s="13" t="n">
        <v>76</v>
      </c>
      <c r="AA876" s="14" t="n">
        <v>59</v>
      </c>
      <c r="AB876" s="14" t="s">
        <v>53</v>
      </c>
      <c r="AC876" s="15" t="n">
        <v>59</v>
      </c>
      <c r="AD876" s="2" t="n">
        <f aca="false">SUM(L876,O876,R876,U876,X876,AA876)</f>
        <v>411</v>
      </c>
      <c r="AE876" s="16" t="n">
        <f aca="false">AD876/6</f>
        <v>68.5</v>
      </c>
      <c r="AF876" s="2" t="str">
        <f aca="false">IF(SUM(COUNTIF(M876,"RA"),COUNTIF(P876,"RA"),COUNTIF(S876,"RA"),COUNTIF(V876,"RA"),COUNTIF(Y876,"RA"),COUNTIF(AB876,"RA"))&gt;0,"FAIL","PASS")</f>
        <v>FAIL</v>
      </c>
    </row>
    <row r="877" customFormat="false" ht="15" hidden="false" customHeight="false" outlineLevel="0" collapsed="false">
      <c r="A877" s="2" t="n">
        <v>876</v>
      </c>
      <c r="B877" s="3" t="s">
        <v>4806</v>
      </c>
      <c r="C877" s="2" t="s">
        <v>859</v>
      </c>
      <c r="D877" s="2" t="s">
        <v>4807</v>
      </c>
      <c r="E877" s="2" t="s">
        <v>35</v>
      </c>
      <c r="F877" s="2" t="s">
        <v>36</v>
      </c>
      <c r="G877" s="2" t="s">
        <v>71</v>
      </c>
      <c r="H877" s="2" t="s">
        <v>4808</v>
      </c>
      <c r="I877" s="3" t="s">
        <v>4809</v>
      </c>
      <c r="J877" s="2" t="s">
        <v>4810</v>
      </c>
      <c r="K877" s="2" t="s">
        <v>4811</v>
      </c>
      <c r="L877" s="4" t="n">
        <v>98</v>
      </c>
      <c r="M877" s="4" t="s">
        <v>54</v>
      </c>
      <c r="N877" s="5" t="n">
        <v>98</v>
      </c>
      <c r="O877" s="6" t="n">
        <v>50</v>
      </c>
      <c r="P877" s="6" t="s">
        <v>53</v>
      </c>
      <c r="Q877" s="7" t="n">
        <v>50</v>
      </c>
      <c r="R877" s="8" t="n">
        <v>52</v>
      </c>
      <c r="S877" s="8" t="s">
        <v>53</v>
      </c>
      <c r="T877" s="9" t="n">
        <v>52</v>
      </c>
      <c r="U877" s="10" t="n">
        <v>56</v>
      </c>
      <c r="V877" s="10" t="s">
        <v>53</v>
      </c>
      <c r="W877" s="11" t="n">
        <v>56</v>
      </c>
      <c r="X877" s="12" t="n">
        <v>99</v>
      </c>
      <c r="Y877" s="12" t="s">
        <v>54</v>
      </c>
      <c r="Z877" s="13" t="n">
        <v>99</v>
      </c>
      <c r="AA877" s="14" t="n">
        <v>100</v>
      </c>
      <c r="AB877" s="14" t="s">
        <v>54</v>
      </c>
      <c r="AC877" s="15" t="n">
        <v>100</v>
      </c>
      <c r="AD877" s="2" t="n">
        <f aca="false">SUM(L877,O877,R877,U877,X877,AA877)</f>
        <v>455</v>
      </c>
      <c r="AE877" s="16" t="n">
        <f aca="false">AD877/6</f>
        <v>75.8333333333333</v>
      </c>
      <c r="AF877" s="2" t="str">
        <f aca="false">IF(SUM(COUNTIF(M877,"RA"),COUNTIF(P877,"RA"),COUNTIF(S877,"RA"),COUNTIF(V877,"RA"),COUNTIF(Y877,"RA"),COUNTIF(AB877,"RA"))&gt;0,"FAIL","PASS")</f>
        <v>PASS</v>
      </c>
    </row>
    <row r="878" customFormat="false" ht="15" hidden="false" customHeight="false" outlineLevel="0" collapsed="false">
      <c r="A878" s="2" t="n">
        <v>877</v>
      </c>
      <c r="B878" s="3" t="s">
        <v>4812</v>
      </c>
      <c r="C878" s="2" t="s">
        <v>803</v>
      </c>
      <c r="D878" s="2" t="s">
        <v>4813</v>
      </c>
      <c r="E878" s="2" t="s">
        <v>57</v>
      </c>
      <c r="F878" s="2" t="s">
        <v>36</v>
      </c>
      <c r="G878" s="2" t="s">
        <v>78</v>
      </c>
      <c r="H878" s="2" t="s">
        <v>4814</v>
      </c>
      <c r="I878" s="3" t="s">
        <v>2399</v>
      </c>
      <c r="J878" s="2" t="s">
        <v>4815</v>
      </c>
      <c r="K878" s="2" t="s">
        <v>4816</v>
      </c>
      <c r="L878" s="4" t="n">
        <v>77</v>
      </c>
      <c r="M878" s="4" t="s">
        <v>43</v>
      </c>
      <c r="N878" s="5" t="n">
        <v>77</v>
      </c>
      <c r="O878" s="6" t="n">
        <v>74</v>
      </c>
      <c r="P878" s="6" t="s">
        <v>43</v>
      </c>
      <c r="Q878" s="7" t="n">
        <v>74</v>
      </c>
      <c r="R878" s="8" t="n">
        <v>100</v>
      </c>
      <c r="S878" s="8" t="s">
        <v>54</v>
      </c>
      <c r="T878" s="9" t="n">
        <v>100</v>
      </c>
      <c r="U878" s="10" t="n">
        <v>88</v>
      </c>
      <c r="V878" s="10" t="s">
        <v>42</v>
      </c>
      <c r="W878" s="11" t="n">
        <v>88</v>
      </c>
      <c r="X878" s="12" t="n">
        <v>87</v>
      </c>
      <c r="Y878" s="12" t="s">
        <v>42</v>
      </c>
      <c r="Z878" s="13" t="n">
        <v>87</v>
      </c>
      <c r="AA878" s="14" t="n">
        <v>79</v>
      </c>
      <c r="AB878" s="14" t="s">
        <v>43</v>
      </c>
      <c r="AC878" s="15" t="n">
        <v>79</v>
      </c>
      <c r="AD878" s="2" t="n">
        <f aca="false">SUM(L878,O878,R878,U878,X878,AA878)</f>
        <v>505</v>
      </c>
      <c r="AE878" s="16" t="n">
        <f aca="false">AD878/6</f>
        <v>84.1666666666667</v>
      </c>
      <c r="AF878" s="2" t="str">
        <f aca="false">IF(SUM(COUNTIF(M878,"RA"),COUNTIF(P878,"RA"),COUNTIF(S878,"RA"),COUNTIF(V878,"RA"),COUNTIF(Y878,"RA"),COUNTIF(AB878,"RA"))&gt;0,"FAIL","PASS")</f>
        <v>PASS</v>
      </c>
    </row>
    <row r="879" customFormat="false" ht="15" hidden="false" customHeight="false" outlineLevel="0" collapsed="false">
      <c r="A879" s="2" t="n">
        <v>878</v>
      </c>
      <c r="B879" s="3" t="s">
        <v>4817</v>
      </c>
      <c r="C879" s="2" t="s">
        <v>841</v>
      </c>
      <c r="D879" s="2" t="s">
        <v>4818</v>
      </c>
      <c r="E879" s="2" t="s">
        <v>57</v>
      </c>
      <c r="F879" s="2" t="s">
        <v>36</v>
      </c>
      <c r="G879" s="2" t="s">
        <v>37</v>
      </c>
      <c r="H879" s="2" t="s">
        <v>4819</v>
      </c>
      <c r="I879" s="3" t="s">
        <v>2854</v>
      </c>
      <c r="J879" s="2" t="s">
        <v>4820</v>
      </c>
      <c r="K879" s="2" t="s">
        <v>4821</v>
      </c>
      <c r="L879" s="4" t="n">
        <v>65</v>
      </c>
      <c r="M879" s="4" t="s">
        <v>44</v>
      </c>
      <c r="N879" s="5" t="n">
        <v>65</v>
      </c>
      <c r="O879" s="6" t="n">
        <v>74</v>
      </c>
      <c r="P879" s="6" t="s">
        <v>43</v>
      </c>
      <c r="Q879" s="7" t="n">
        <v>74</v>
      </c>
      <c r="R879" s="8" t="n">
        <v>78</v>
      </c>
      <c r="S879" s="8" t="s">
        <v>43</v>
      </c>
      <c r="T879" s="9" t="n">
        <v>78</v>
      </c>
      <c r="U879" s="10" t="n">
        <v>46</v>
      </c>
      <c r="V879" s="10" t="s">
        <v>45</v>
      </c>
      <c r="W879" s="11" t="n">
        <v>46</v>
      </c>
      <c r="X879" s="12" t="n">
        <v>44</v>
      </c>
      <c r="Y879" s="12" t="s">
        <v>45</v>
      </c>
      <c r="Z879" s="13" t="n">
        <v>44</v>
      </c>
      <c r="AA879" s="14" t="n">
        <v>76</v>
      </c>
      <c r="AB879" s="14" t="s">
        <v>43</v>
      </c>
      <c r="AC879" s="15" t="n">
        <v>76</v>
      </c>
      <c r="AD879" s="2" t="n">
        <f aca="false">SUM(L879,O879,R879,U879,X879,AA879)</f>
        <v>383</v>
      </c>
      <c r="AE879" s="16" t="n">
        <f aca="false">AD879/6</f>
        <v>63.8333333333333</v>
      </c>
      <c r="AF879" s="2" t="str">
        <f aca="false">IF(SUM(COUNTIF(M879,"RA"),COUNTIF(P879,"RA"),COUNTIF(S879,"RA"),COUNTIF(V879,"RA"),COUNTIF(Y879,"RA"),COUNTIF(AB879,"RA"))&gt;0,"FAIL","PASS")</f>
        <v>FAIL</v>
      </c>
    </row>
    <row r="880" customFormat="false" ht="15" hidden="false" customHeight="false" outlineLevel="0" collapsed="false">
      <c r="A880" s="2" t="n">
        <v>879</v>
      </c>
      <c r="B880" s="3" t="s">
        <v>4822</v>
      </c>
      <c r="C880" s="2" t="s">
        <v>750</v>
      </c>
      <c r="D880" s="2" t="s">
        <v>4823</v>
      </c>
      <c r="E880" s="2" t="s">
        <v>35</v>
      </c>
      <c r="F880" s="2" t="s">
        <v>36</v>
      </c>
      <c r="G880" s="2" t="s">
        <v>42</v>
      </c>
      <c r="H880" s="2" t="s">
        <v>4824</v>
      </c>
      <c r="I880" s="3" t="s">
        <v>4825</v>
      </c>
      <c r="J880" s="2" t="s">
        <v>4826</v>
      </c>
      <c r="K880" s="2" t="s">
        <v>4827</v>
      </c>
      <c r="L880" s="4" t="n">
        <v>47</v>
      </c>
      <c r="M880" s="4" t="s">
        <v>45</v>
      </c>
      <c r="N880" s="5" t="n">
        <v>47</v>
      </c>
      <c r="O880" s="6" t="n">
        <v>89</v>
      </c>
      <c r="P880" s="6" t="s">
        <v>42</v>
      </c>
      <c r="Q880" s="7" t="n">
        <v>89</v>
      </c>
      <c r="R880" s="8" t="n">
        <v>89</v>
      </c>
      <c r="S880" s="8" t="s">
        <v>42</v>
      </c>
      <c r="T880" s="9" t="n">
        <v>89</v>
      </c>
      <c r="U880" s="10" t="n">
        <v>100</v>
      </c>
      <c r="V880" s="10" t="s">
        <v>54</v>
      </c>
      <c r="W880" s="11" t="n">
        <v>100</v>
      </c>
      <c r="X880" s="12" t="n">
        <v>87</v>
      </c>
      <c r="Y880" s="12" t="s">
        <v>42</v>
      </c>
      <c r="Z880" s="13" t="n">
        <v>87</v>
      </c>
      <c r="AA880" s="14" t="n">
        <v>97</v>
      </c>
      <c r="AB880" s="14" t="s">
        <v>54</v>
      </c>
      <c r="AC880" s="15" t="n">
        <v>97</v>
      </c>
      <c r="AD880" s="2" t="n">
        <f aca="false">SUM(L880,O880,R880,U880,X880,AA880)</f>
        <v>509</v>
      </c>
      <c r="AE880" s="16" t="n">
        <f aca="false">AD880/6</f>
        <v>84.8333333333333</v>
      </c>
      <c r="AF880" s="2" t="str">
        <f aca="false">IF(SUM(COUNTIF(M880,"RA"),COUNTIF(P880,"RA"),COUNTIF(S880,"RA"),COUNTIF(V880,"RA"),COUNTIF(Y880,"RA"),COUNTIF(AB880,"RA"))&gt;0,"FAIL","PASS")</f>
        <v>FAIL</v>
      </c>
    </row>
    <row r="881" customFormat="false" ht="15" hidden="false" customHeight="false" outlineLevel="0" collapsed="false">
      <c r="A881" s="2" t="n">
        <v>880</v>
      </c>
      <c r="B881" s="3" t="s">
        <v>4828</v>
      </c>
      <c r="C881" s="2" t="s">
        <v>750</v>
      </c>
      <c r="D881" s="2" t="s">
        <v>4829</v>
      </c>
      <c r="E881" s="2" t="s">
        <v>35</v>
      </c>
      <c r="F881" s="2" t="s">
        <v>36</v>
      </c>
      <c r="G881" s="2" t="s">
        <v>44</v>
      </c>
      <c r="H881" s="2" t="s">
        <v>4830</v>
      </c>
      <c r="I881" s="3" t="s">
        <v>4175</v>
      </c>
      <c r="J881" s="2" t="s">
        <v>4831</v>
      </c>
      <c r="K881" s="2" t="s">
        <v>4832</v>
      </c>
      <c r="L881" s="4" t="n">
        <v>85</v>
      </c>
      <c r="M881" s="4" t="s">
        <v>42</v>
      </c>
      <c r="N881" s="5" t="n">
        <v>85</v>
      </c>
      <c r="O881" s="6" t="n">
        <v>99</v>
      </c>
      <c r="P881" s="6" t="s">
        <v>54</v>
      </c>
      <c r="Q881" s="7" t="n">
        <v>99</v>
      </c>
      <c r="R881" s="8" t="n">
        <v>81</v>
      </c>
      <c r="S881" s="8" t="s">
        <v>42</v>
      </c>
      <c r="T881" s="9" t="n">
        <v>81</v>
      </c>
      <c r="U881" s="10" t="n">
        <v>86</v>
      </c>
      <c r="V881" s="10" t="s">
        <v>42</v>
      </c>
      <c r="W881" s="11" t="n">
        <v>86</v>
      </c>
      <c r="X881" s="12" t="n">
        <v>74</v>
      </c>
      <c r="Y881" s="12" t="s">
        <v>43</v>
      </c>
      <c r="Z881" s="13" t="n">
        <v>74</v>
      </c>
      <c r="AA881" s="14" t="n">
        <v>66</v>
      </c>
      <c r="AB881" s="14" t="s">
        <v>44</v>
      </c>
      <c r="AC881" s="15" t="n">
        <v>66</v>
      </c>
      <c r="AD881" s="2" t="n">
        <f aca="false">SUM(L881,O881,R881,U881,X881,AA881)</f>
        <v>491</v>
      </c>
      <c r="AE881" s="16" t="n">
        <f aca="false">AD881/6</f>
        <v>81.8333333333333</v>
      </c>
      <c r="AF881" s="2" t="str">
        <f aca="false">IF(SUM(COUNTIF(M881,"RA"),COUNTIF(P881,"RA"),COUNTIF(S881,"RA"),COUNTIF(V881,"RA"),COUNTIF(Y881,"RA"),COUNTIF(AB881,"RA"))&gt;0,"FAIL","PASS")</f>
        <v>PASS</v>
      </c>
    </row>
    <row r="882" customFormat="false" ht="15" hidden="false" customHeight="false" outlineLevel="0" collapsed="false">
      <c r="A882" s="2" t="n">
        <v>881</v>
      </c>
      <c r="B882" s="3" t="s">
        <v>4833</v>
      </c>
      <c r="C882" s="2" t="s">
        <v>841</v>
      </c>
      <c r="D882" s="2" t="s">
        <v>4834</v>
      </c>
      <c r="E882" s="2" t="s">
        <v>35</v>
      </c>
      <c r="F882" s="2" t="s">
        <v>36</v>
      </c>
      <c r="G882" s="2" t="s">
        <v>37</v>
      </c>
      <c r="H882" s="2" t="s">
        <v>4835</v>
      </c>
      <c r="I882" s="3" t="s">
        <v>4836</v>
      </c>
      <c r="J882" s="2" t="s">
        <v>4837</v>
      </c>
      <c r="K882" s="2" t="s">
        <v>4838</v>
      </c>
      <c r="L882" s="4" t="n">
        <v>96</v>
      </c>
      <c r="M882" s="4" t="s">
        <v>54</v>
      </c>
      <c r="N882" s="5" t="n">
        <v>96</v>
      </c>
      <c r="O882" s="6" t="n">
        <v>59</v>
      </c>
      <c r="P882" s="6" t="s">
        <v>53</v>
      </c>
      <c r="Q882" s="7" t="n">
        <v>59</v>
      </c>
      <c r="R882" s="8" t="n">
        <v>96</v>
      </c>
      <c r="S882" s="8" t="s">
        <v>54</v>
      </c>
      <c r="T882" s="9" t="n">
        <v>96</v>
      </c>
      <c r="U882" s="10" t="n">
        <v>67</v>
      </c>
      <c r="V882" s="10" t="s">
        <v>44</v>
      </c>
      <c r="W882" s="11" t="n">
        <v>67</v>
      </c>
      <c r="X882" s="12" t="n">
        <v>93</v>
      </c>
      <c r="Y882" s="12" t="s">
        <v>54</v>
      </c>
      <c r="Z882" s="13" t="n">
        <v>93</v>
      </c>
      <c r="AA882" s="14" t="n">
        <v>83</v>
      </c>
      <c r="AB882" s="14" t="s">
        <v>42</v>
      </c>
      <c r="AC882" s="15" t="n">
        <v>83</v>
      </c>
      <c r="AD882" s="2" t="n">
        <f aca="false">SUM(L882,O882,R882,U882,X882,AA882)</f>
        <v>494</v>
      </c>
      <c r="AE882" s="16" t="n">
        <f aca="false">AD882/6</f>
        <v>82.3333333333333</v>
      </c>
      <c r="AF882" s="2" t="str">
        <f aca="false">IF(SUM(COUNTIF(M882,"RA"),COUNTIF(P882,"RA"),COUNTIF(S882,"RA"),COUNTIF(V882,"RA"),COUNTIF(Y882,"RA"),COUNTIF(AB882,"RA"))&gt;0,"FAIL","PASS")</f>
        <v>PASS</v>
      </c>
    </row>
    <row r="883" customFormat="false" ht="15" hidden="false" customHeight="false" outlineLevel="0" collapsed="false">
      <c r="A883" s="2" t="n">
        <v>882</v>
      </c>
      <c r="B883" s="3" t="s">
        <v>4839</v>
      </c>
      <c r="C883" s="2" t="s">
        <v>750</v>
      </c>
      <c r="D883" s="2" t="s">
        <v>4840</v>
      </c>
      <c r="E883" s="2" t="s">
        <v>35</v>
      </c>
      <c r="F883" s="2" t="s">
        <v>36</v>
      </c>
      <c r="G883" s="2" t="s">
        <v>78</v>
      </c>
      <c r="H883" s="2" t="s">
        <v>4841</v>
      </c>
      <c r="I883" s="3" t="s">
        <v>4842</v>
      </c>
      <c r="J883" s="2" t="s">
        <v>4843</v>
      </c>
      <c r="K883" s="2" t="s">
        <v>4844</v>
      </c>
      <c r="L883" s="4" t="n">
        <v>82</v>
      </c>
      <c r="M883" s="4" t="s">
        <v>42</v>
      </c>
      <c r="N883" s="5" t="n">
        <v>82</v>
      </c>
      <c r="O883" s="6" t="n">
        <v>49</v>
      </c>
      <c r="P883" s="6" t="s">
        <v>45</v>
      </c>
      <c r="Q883" s="7" t="n">
        <v>49</v>
      </c>
      <c r="R883" s="8" t="n">
        <v>83</v>
      </c>
      <c r="S883" s="8" t="s">
        <v>42</v>
      </c>
      <c r="T883" s="9" t="n">
        <v>83</v>
      </c>
      <c r="U883" s="10" t="n">
        <v>89</v>
      </c>
      <c r="V883" s="10" t="s">
        <v>42</v>
      </c>
      <c r="W883" s="11" t="n">
        <v>89</v>
      </c>
      <c r="X883" s="12" t="n">
        <v>66</v>
      </c>
      <c r="Y883" s="12" t="s">
        <v>44</v>
      </c>
      <c r="Z883" s="13" t="n">
        <v>66</v>
      </c>
      <c r="AA883" s="14" t="n">
        <v>63</v>
      </c>
      <c r="AB883" s="14" t="s">
        <v>44</v>
      </c>
      <c r="AC883" s="15" t="n">
        <v>63</v>
      </c>
      <c r="AD883" s="2" t="n">
        <f aca="false">SUM(L883,O883,R883,U883,X883,AA883)</f>
        <v>432</v>
      </c>
      <c r="AE883" s="16" t="n">
        <f aca="false">AD883/6</f>
        <v>72</v>
      </c>
      <c r="AF883" s="2" t="str">
        <f aca="false">IF(SUM(COUNTIF(M883,"RA"),COUNTIF(P883,"RA"),COUNTIF(S883,"RA"),COUNTIF(V883,"RA"),COUNTIF(Y883,"RA"),COUNTIF(AB883,"RA"))&gt;0,"FAIL","PASS")</f>
        <v>FAIL</v>
      </c>
    </row>
    <row r="884" customFormat="false" ht="15" hidden="false" customHeight="false" outlineLevel="0" collapsed="false">
      <c r="A884" s="2" t="n">
        <v>883</v>
      </c>
      <c r="B884" s="3" t="s">
        <v>4845</v>
      </c>
      <c r="C884" s="2" t="s">
        <v>757</v>
      </c>
      <c r="D884" s="2" t="s">
        <v>4846</v>
      </c>
      <c r="E884" s="2" t="s">
        <v>35</v>
      </c>
      <c r="F884" s="2" t="s">
        <v>36</v>
      </c>
      <c r="G884" s="2" t="s">
        <v>78</v>
      </c>
      <c r="H884" s="2" t="s">
        <v>4847</v>
      </c>
      <c r="I884" s="3" t="s">
        <v>2029</v>
      </c>
      <c r="J884" s="2" t="s">
        <v>4848</v>
      </c>
      <c r="K884" s="2" t="s">
        <v>4849</v>
      </c>
      <c r="L884" s="4" t="n">
        <v>60</v>
      </c>
      <c r="M884" s="4" t="s">
        <v>44</v>
      </c>
      <c r="N884" s="5" t="n">
        <v>60</v>
      </c>
      <c r="O884" s="6" t="n">
        <v>100</v>
      </c>
      <c r="P884" s="6" t="s">
        <v>54</v>
      </c>
      <c r="Q884" s="7" t="n">
        <v>100</v>
      </c>
      <c r="R884" s="8" t="n">
        <v>41</v>
      </c>
      <c r="S884" s="8" t="s">
        <v>45</v>
      </c>
      <c r="T884" s="9" t="n">
        <v>41</v>
      </c>
      <c r="U884" s="10" t="n">
        <v>93</v>
      </c>
      <c r="V884" s="10" t="s">
        <v>54</v>
      </c>
      <c r="W884" s="11" t="n">
        <v>93</v>
      </c>
      <c r="X884" s="12" t="n">
        <v>72</v>
      </c>
      <c r="Y884" s="12" t="s">
        <v>43</v>
      </c>
      <c r="Z884" s="13" t="n">
        <v>72</v>
      </c>
      <c r="AA884" s="14" t="n">
        <v>60</v>
      </c>
      <c r="AB884" s="14" t="s">
        <v>44</v>
      </c>
      <c r="AC884" s="15" t="n">
        <v>60</v>
      </c>
      <c r="AD884" s="2" t="n">
        <f aca="false">SUM(L884,O884,R884,U884,X884,AA884)</f>
        <v>426</v>
      </c>
      <c r="AE884" s="16" t="n">
        <f aca="false">AD884/6</f>
        <v>71</v>
      </c>
      <c r="AF884" s="2" t="str">
        <f aca="false">IF(SUM(COUNTIF(M884,"RA"),COUNTIF(P884,"RA"),COUNTIF(S884,"RA"),COUNTIF(V884,"RA"),COUNTIF(Y884,"RA"),COUNTIF(AB884,"RA"))&gt;0,"FAIL","PASS")</f>
        <v>FAIL</v>
      </c>
    </row>
    <row r="885" customFormat="false" ht="15" hidden="false" customHeight="false" outlineLevel="0" collapsed="false">
      <c r="A885" s="2" t="n">
        <v>884</v>
      </c>
      <c r="B885" s="3" t="s">
        <v>4850</v>
      </c>
      <c r="C885" s="2" t="s">
        <v>783</v>
      </c>
      <c r="D885" s="2" t="s">
        <v>4851</v>
      </c>
      <c r="E885" s="2" t="s">
        <v>57</v>
      </c>
      <c r="F885" s="2" t="s">
        <v>36</v>
      </c>
      <c r="G885" s="2" t="s">
        <v>71</v>
      </c>
      <c r="H885" s="2" t="s">
        <v>4852</v>
      </c>
      <c r="I885" s="3" t="s">
        <v>2161</v>
      </c>
      <c r="J885" s="2" t="s">
        <v>4853</v>
      </c>
      <c r="K885" s="2" t="s">
        <v>4854</v>
      </c>
      <c r="L885" s="4" t="n">
        <v>99</v>
      </c>
      <c r="M885" s="4" t="s">
        <v>54</v>
      </c>
      <c r="N885" s="5" t="n">
        <v>99</v>
      </c>
      <c r="O885" s="6" t="n">
        <v>43</v>
      </c>
      <c r="P885" s="6" t="s">
        <v>45</v>
      </c>
      <c r="Q885" s="7" t="n">
        <v>43</v>
      </c>
      <c r="R885" s="8" t="n">
        <v>62</v>
      </c>
      <c r="S885" s="8" t="s">
        <v>44</v>
      </c>
      <c r="T885" s="9" t="n">
        <v>62</v>
      </c>
      <c r="U885" s="10" t="n">
        <v>60</v>
      </c>
      <c r="V885" s="10" t="s">
        <v>44</v>
      </c>
      <c r="W885" s="11" t="n">
        <v>60</v>
      </c>
      <c r="X885" s="12" t="n">
        <v>74</v>
      </c>
      <c r="Y885" s="12" t="s">
        <v>43</v>
      </c>
      <c r="Z885" s="13" t="n">
        <v>74</v>
      </c>
      <c r="AA885" s="14" t="n">
        <v>62</v>
      </c>
      <c r="AB885" s="14" t="s">
        <v>44</v>
      </c>
      <c r="AC885" s="15" t="n">
        <v>62</v>
      </c>
      <c r="AD885" s="2" t="n">
        <f aca="false">SUM(L885,O885,R885,U885,X885,AA885)</f>
        <v>400</v>
      </c>
      <c r="AE885" s="16" t="n">
        <f aca="false">AD885/6</f>
        <v>66.6666666666667</v>
      </c>
      <c r="AF885" s="2" t="str">
        <f aca="false">IF(SUM(COUNTIF(M885,"RA"),COUNTIF(P885,"RA"),COUNTIF(S885,"RA"),COUNTIF(V885,"RA"),COUNTIF(Y885,"RA"),COUNTIF(AB885,"RA"))&gt;0,"FAIL","PASS")</f>
        <v>FAIL</v>
      </c>
    </row>
    <row r="886" customFormat="false" ht="15" hidden="false" customHeight="false" outlineLevel="0" collapsed="false">
      <c r="A886" s="2" t="n">
        <v>885</v>
      </c>
      <c r="B886" s="3" t="s">
        <v>4855</v>
      </c>
      <c r="C886" s="2" t="s">
        <v>757</v>
      </c>
      <c r="D886" s="2" t="s">
        <v>4856</v>
      </c>
      <c r="E886" s="2" t="s">
        <v>57</v>
      </c>
      <c r="F886" s="2" t="s">
        <v>36</v>
      </c>
      <c r="G886" s="2" t="s">
        <v>91</v>
      </c>
      <c r="H886" s="2" t="s">
        <v>4857</v>
      </c>
      <c r="I886" s="3" t="s">
        <v>4858</v>
      </c>
      <c r="J886" s="2" t="s">
        <v>4859</v>
      </c>
      <c r="K886" s="2" t="s">
        <v>4860</v>
      </c>
      <c r="L886" s="4" t="n">
        <v>89</v>
      </c>
      <c r="M886" s="4" t="s">
        <v>42</v>
      </c>
      <c r="N886" s="5" t="n">
        <v>89</v>
      </c>
      <c r="O886" s="6" t="n">
        <v>64</v>
      </c>
      <c r="P886" s="6" t="s">
        <v>44</v>
      </c>
      <c r="Q886" s="7" t="n">
        <v>64</v>
      </c>
      <c r="R886" s="8" t="n">
        <v>71</v>
      </c>
      <c r="S886" s="8" t="s">
        <v>43</v>
      </c>
      <c r="T886" s="9" t="n">
        <v>71</v>
      </c>
      <c r="U886" s="10" t="n">
        <v>87</v>
      </c>
      <c r="V886" s="10" t="s">
        <v>42</v>
      </c>
      <c r="W886" s="11" t="n">
        <v>87</v>
      </c>
      <c r="X886" s="12" t="n">
        <v>49</v>
      </c>
      <c r="Y886" s="12" t="s">
        <v>45</v>
      </c>
      <c r="Z886" s="13" t="n">
        <v>49</v>
      </c>
      <c r="AA886" s="14" t="n">
        <v>79</v>
      </c>
      <c r="AB886" s="14" t="s">
        <v>43</v>
      </c>
      <c r="AC886" s="15" t="n">
        <v>79</v>
      </c>
      <c r="AD886" s="2" t="n">
        <f aca="false">SUM(L886,O886,R886,U886,X886,AA886)</f>
        <v>439</v>
      </c>
      <c r="AE886" s="16" t="n">
        <f aca="false">AD886/6</f>
        <v>73.1666666666667</v>
      </c>
      <c r="AF886" s="2" t="str">
        <f aca="false">IF(SUM(COUNTIF(M886,"RA"),COUNTIF(P886,"RA"),COUNTIF(S886,"RA"),COUNTIF(V886,"RA"),COUNTIF(Y886,"RA"),COUNTIF(AB886,"RA"))&gt;0,"FAIL","PASS")</f>
        <v>FAIL</v>
      </c>
    </row>
    <row r="887" customFormat="false" ht="15" hidden="false" customHeight="false" outlineLevel="0" collapsed="false">
      <c r="A887" s="2" t="n">
        <v>886</v>
      </c>
      <c r="B887" s="3" t="s">
        <v>4861</v>
      </c>
      <c r="C887" s="2" t="s">
        <v>803</v>
      </c>
      <c r="D887" s="2" t="s">
        <v>4862</v>
      </c>
      <c r="E887" s="2" t="s">
        <v>35</v>
      </c>
      <c r="F887" s="2" t="s">
        <v>36</v>
      </c>
      <c r="G887" s="2" t="s">
        <v>42</v>
      </c>
      <c r="H887" s="2" t="s">
        <v>4863</v>
      </c>
      <c r="I887" s="3" t="s">
        <v>993</v>
      </c>
      <c r="J887" s="2" t="s">
        <v>4864</v>
      </c>
      <c r="K887" s="2" t="s">
        <v>4865</v>
      </c>
      <c r="L887" s="4" t="n">
        <v>56</v>
      </c>
      <c r="M887" s="4" t="s">
        <v>53</v>
      </c>
      <c r="N887" s="5" t="n">
        <v>56</v>
      </c>
      <c r="O887" s="6" t="n">
        <v>80</v>
      </c>
      <c r="P887" s="6" t="s">
        <v>42</v>
      </c>
      <c r="Q887" s="7" t="n">
        <v>80</v>
      </c>
      <c r="R887" s="8" t="n">
        <v>86</v>
      </c>
      <c r="S887" s="8" t="s">
        <v>42</v>
      </c>
      <c r="T887" s="9" t="n">
        <v>86</v>
      </c>
      <c r="U887" s="10" t="n">
        <v>57</v>
      </c>
      <c r="V887" s="10" t="s">
        <v>53</v>
      </c>
      <c r="W887" s="11" t="n">
        <v>57</v>
      </c>
      <c r="X887" s="12" t="n">
        <v>61</v>
      </c>
      <c r="Y887" s="12" t="s">
        <v>44</v>
      </c>
      <c r="Z887" s="13" t="n">
        <v>61</v>
      </c>
      <c r="AA887" s="14" t="n">
        <v>68</v>
      </c>
      <c r="AB887" s="14" t="s">
        <v>44</v>
      </c>
      <c r="AC887" s="15" t="n">
        <v>68</v>
      </c>
      <c r="AD887" s="2" t="n">
        <f aca="false">SUM(L887,O887,R887,U887,X887,AA887)</f>
        <v>408</v>
      </c>
      <c r="AE887" s="16" t="n">
        <f aca="false">AD887/6</f>
        <v>68</v>
      </c>
      <c r="AF887" s="2" t="str">
        <f aca="false">IF(SUM(COUNTIF(M887,"RA"),COUNTIF(P887,"RA"),COUNTIF(S887,"RA"),COUNTIF(V887,"RA"),COUNTIF(Y887,"RA"),COUNTIF(AB887,"RA"))&gt;0,"FAIL","PASS")</f>
        <v>PASS</v>
      </c>
    </row>
    <row r="888" customFormat="false" ht="15" hidden="false" customHeight="false" outlineLevel="0" collapsed="false">
      <c r="A888" s="2" t="n">
        <v>887</v>
      </c>
      <c r="B888" s="3" t="s">
        <v>4866</v>
      </c>
      <c r="C888" s="2" t="s">
        <v>770</v>
      </c>
      <c r="D888" s="2" t="s">
        <v>4867</v>
      </c>
      <c r="E888" s="2" t="s">
        <v>57</v>
      </c>
      <c r="F888" s="2" t="s">
        <v>36</v>
      </c>
      <c r="G888" s="2" t="s">
        <v>91</v>
      </c>
      <c r="H888" s="2" t="s">
        <v>1185</v>
      </c>
      <c r="I888" s="3" t="s">
        <v>2885</v>
      </c>
      <c r="J888" s="2" t="s">
        <v>4868</v>
      </c>
      <c r="K888" s="2" t="s">
        <v>4869</v>
      </c>
      <c r="L888" s="4" t="n">
        <v>41</v>
      </c>
      <c r="M888" s="4" t="s">
        <v>45</v>
      </c>
      <c r="N888" s="5" t="n">
        <v>41</v>
      </c>
      <c r="O888" s="6" t="n">
        <v>70</v>
      </c>
      <c r="P888" s="6" t="s">
        <v>43</v>
      </c>
      <c r="Q888" s="7" t="n">
        <v>70</v>
      </c>
      <c r="R888" s="8" t="n">
        <v>83</v>
      </c>
      <c r="S888" s="8" t="s">
        <v>42</v>
      </c>
      <c r="T888" s="9" t="n">
        <v>83</v>
      </c>
      <c r="U888" s="10" t="n">
        <v>69</v>
      </c>
      <c r="V888" s="10" t="s">
        <v>44</v>
      </c>
      <c r="W888" s="11" t="n">
        <v>69</v>
      </c>
      <c r="X888" s="12" t="n">
        <v>98</v>
      </c>
      <c r="Y888" s="12" t="s">
        <v>54</v>
      </c>
      <c r="Z888" s="13" t="n">
        <v>98</v>
      </c>
      <c r="AA888" s="14" t="n">
        <v>86</v>
      </c>
      <c r="AB888" s="14" t="s">
        <v>42</v>
      </c>
      <c r="AC888" s="15" t="n">
        <v>86</v>
      </c>
      <c r="AD888" s="2" t="n">
        <f aca="false">SUM(L888,O888,R888,U888,X888,AA888)</f>
        <v>447</v>
      </c>
      <c r="AE888" s="16" t="n">
        <f aca="false">AD888/6</f>
        <v>74.5</v>
      </c>
      <c r="AF888" s="2" t="str">
        <f aca="false">IF(SUM(COUNTIF(M888,"RA"),COUNTIF(P888,"RA"),COUNTIF(S888,"RA"),COUNTIF(V888,"RA"),COUNTIF(Y888,"RA"),COUNTIF(AB888,"RA"))&gt;0,"FAIL","PASS")</f>
        <v>FAIL</v>
      </c>
    </row>
    <row r="889" customFormat="false" ht="15" hidden="false" customHeight="false" outlineLevel="0" collapsed="false">
      <c r="A889" s="2" t="n">
        <v>888</v>
      </c>
      <c r="B889" s="3" t="s">
        <v>4870</v>
      </c>
      <c r="C889" s="2" t="s">
        <v>757</v>
      </c>
      <c r="D889" s="2" t="s">
        <v>4871</v>
      </c>
      <c r="E889" s="2" t="s">
        <v>35</v>
      </c>
      <c r="F889" s="2" t="s">
        <v>36</v>
      </c>
      <c r="G889" s="2" t="s">
        <v>48</v>
      </c>
      <c r="H889" s="2" t="s">
        <v>4872</v>
      </c>
      <c r="I889" s="3" t="s">
        <v>296</v>
      </c>
      <c r="J889" s="2" t="s">
        <v>4873</v>
      </c>
      <c r="K889" s="2" t="s">
        <v>4874</v>
      </c>
      <c r="L889" s="4" t="n">
        <v>65</v>
      </c>
      <c r="M889" s="4" t="s">
        <v>44</v>
      </c>
      <c r="N889" s="5" t="n">
        <v>65</v>
      </c>
      <c r="O889" s="6" t="n">
        <v>82</v>
      </c>
      <c r="P889" s="6" t="s">
        <v>42</v>
      </c>
      <c r="Q889" s="7" t="n">
        <v>82</v>
      </c>
      <c r="R889" s="8" t="n">
        <v>89</v>
      </c>
      <c r="S889" s="8" t="s">
        <v>42</v>
      </c>
      <c r="T889" s="9" t="n">
        <v>89</v>
      </c>
      <c r="U889" s="10" t="n">
        <v>88</v>
      </c>
      <c r="V889" s="10" t="s">
        <v>42</v>
      </c>
      <c r="W889" s="11" t="n">
        <v>88</v>
      </c>
      <c r="X889" s="12" t="n">
        <v>84</v>
      </c>
      <c r="Y889" s="12" t="s">
        <v>42</v>
      </c>
      <c r="Z889" s="13" t="n">
        <v>84</v>
      </c>
      <c r="AA889" s="14" t="n">
        <v>63</v>
      </c>
      <c r="AB889" s="14" t="s">
        <v>44</v>
      </c>
      <c r="AC889" s="15" t="n">
        <v>63</v>
      </c>
      <c r="AD889" s="2" t="n">
        <f aca="false">SUM(L889,O889,R889,U889,X889,AA889)</f>
        <v>471</v>
      </c>
      <c r="AE889" s="16" t="n">
        <f aca="false">AD889/6</f>
        <v>78.5</v>
      </c>
      <c r="AF889" s="2" t="str">
        <f aca="false">IF(SUM(COUNTIF(M889,"RA"),COUNTIF(P889,"RA"),COUNTIF(S889,"RA"),COUNTIF(V889,"RA"),COUNTIF(Y889,"RA"),COUNTIF(AB889,"RA"))&gt;0,"FAIL","PASS")</f>
        <v>PASS</v>
      </c>
    </row>
    <row r="890" customFormat="false" ht="15" hidden="false" customHeight="false" outlineLevel="0" collapsed="false">
      <c r="A890" s="2" t="n">
        <v>889</v>
      </c>
      <c r="B890" s="3" t="s">
        <v>4875</v>
      </c>
      <c r="C890" s="2" t="s">
        <v>757</v>
      </c>
      <c r="D890" s="2" t="s">
        <v>4876</v>
      </c>
      <c r="E890" s="2" t="s">
        <v>35</v>
      </c>
      <c r="F890" s="2" t="s">
        <v>36</v>
      </c>
      <c r="G890" s="2" t="s">
        <v>91</v>
      </c>
      <c r="H890" s="2" t="s">
        <v>4824</v>
      </c>
      <c r="I890" s="3" t="s">
        <v>3274</v>
      </c>
      <c r="J890" s="2" t="s">
        <v>4877</v>
      </c>
      <c r="K890" s="2" t="s">
        <v>4878</v>
      </c>
      <c r="L890" s="4" t="n">
        <v>46</v>
      </c>
      <c r="M890" s="4" t="s">
        <v>45</v>
      </c>
      <c r="N890" s="5" t="n">
        <v>46</v>
      </c>
      <c r="O890" s="6" t="n">
        <v>44</v>
      </c>
      <c r="P890" s="6" t="s">
        <v>45</v>
      </c>
      <c r="Q890" s="7" t="n">
        <v>44</v>
      </c>
      <c r="R890" s="8" t="n">
        <v>99</v>
      </c>
      <c r="S890" s="8" t="s">
        <v>54</v>
      </c>
      <c r="T890" s="9" t="n">
        <v>99</v>
      </c>
      <c r="U890" s="10" t="n">
        <v>73</v>
      </c>
      <c r="V890" s="10" t="s">
        <v>43</v>
      </c>
      <c r="W890" s="11" t="n">
        <v>73</v>
      </c>
      <c r="X890" s="12" t="n">
        <v>67</v>
      </c>
      <c r="Y890" s="12" t="s">
        <v>44</v>
      </c>
      <c r="Z890" s="13" t="n">
        <v>67</v>
      </c>
      <c r="AA890" s="14" t="n">
        <v>53</v>
      </c>
      <c r="AB890" s="14" t="s">
        <v>53</v>
      </c>
      <c r="AC890" s="15" t="n">
        <v>53</v>
      </c>
      <c r="AD890" s="2" t="n">
        <f aca="false">SUM(L890,O890,R890,U890,X890,AA890)</f>
        <v>382</v>
      </c>
      <c r="AE890" s="16" t="n">
        <f aca="false">AD890/6</f>
        <v>63.6666666666667</v>
      </c>
      <c r="AF890" s="2" t="str">
        <f aca="false">IF(SUM(COUNTIF(M890,"RA"),COUNTIF(P890,"RA"),COUNTIF(S890,"RA"),COUNTIF(V890,"RA"),COUNTIF(Y890,"RA"),COUNTIF(AB890,"RA"))&gt;0,"FAIL","PASS")</f>
        <v>FAIL</v>
      </c>
    </row>
    <row r="891" customFormat="false" ht="15" hidden="false" customHeight="false" outlineLevel="0" collapsed="false">
      <c r="A891" s="2" t="n">
        <v>890</v>
      </c>
      <c r="B891" s="3" t="s">
        <v>4879</v>
      </c>
      <c r="C891" s="2" t="s">
        <v>816</v>
      </c>
      <c r="D891" s="2" t="s">
        <v>4880</v>
      </c>
      <c r="E891" s="2" t="s">
        <v>35</v>
      </c>
      <c r="F891" s="2" t="s">
        <v>36</v>
      </c>
      <c r="G891" s="2" t="s">
        <v>48</v>
      </c>
      <c r="H891" s="2" t="s">
        <v>1690</v>
      </c>
      <c r="I891" s="3" t="s">
        <v>213</v>
      </c>
      <c r="J891" s="2" t="s">
        <v>4881</v>
      </c>
      <c r="K891" s="2" t="s">
        <v>4882</v>
      </c>
      <c r="L891" s="4" t="n">
        <v>84</v>
      </c>
      <c r="M891" s="4" t="s">
        <v>42</v>
      </c>
      <c r="N891" s="5" t="n">
        <v>84</v>
      </c>
      <c r="O891" s="6" t="n">
        <v>90</v>
      </c>
      <c r="P891" s="6" t="s">
        <v>54</v>
      </c>
      <c r="Q891" s="7" t="n">
        <v>90</v>
      </c>
      <c r="R891" s="8" t="n">
        <v>53</v>
      </c>
      <c r="S891" s="8" t="s">
        <v>53</v>
      </c>
      <c r="T891" s="9" t="n">
        <v>53</v>
      </c>
      <c r="U891" s="10" t="n">
        <v>78</v>
      </c>
      <c r="V891" s="10" t="s">
        <v>43</v>
      </c>
      <c r="W891" s="11" t="n">
        <v>78</v>
      </c>
      <c r="X891" s="12" t="n">
        <v>60</v>
      </c>
      <c r="Y891" s="12" t="s">
        <v>44</v>
      </c>
      <c r="Z891" s="13" t="n">
        <v>60</v>
      </c>
      <c r="AA891" s="14" t="n">
        <v>89</v>
      </c>
      <c r="AB891" s="14" t="s">
        <v>42</v>
      </c>
      <c r="AC891" s="15" t="n">
        <v>89</v>
      </c>
      <c r="AD891" s="2" t="n">
        <f aca="false">SUM(L891,O891,R891,U891,X891,AA891)</f>
        <v>454</v>
      </c>
      <c r="AE891" s="16" t="n">
        <f aca="false">AD891/6</f>
        <v>75.6666666666667</v>
      </c>
      <c r="AF891" s="2" t="str">
        <f aca="false">IF(SUM(COUNTIF(M891,"RA"),COUNTIF(P891,"RA"),COUNTIF(S891,"RA"),COUNTIF(V891,"RA"),COUNTIF(Y891,"RA"),COUNTIF(AB891,"RA"))&gt;0,"FAIL","PASS")</f>
        <v>PASS</v>
      </c>
    </row>
    <row r="892" customFormat="false" ht="15" hidden="false" customHeight="false" outlineLevel="0" collapsed="false">
      <c r="A892" s="2" t="n">
        <v>891</v>
      </c>
      <c r="B892" s="3" t="s">
        <v>4883</v>
      </c>
      <c r="C892" s="2" t="s">
        <v>757</v>
      </c>
      <c r="D892" s="2" t="s">
        <v>4884</v>
      </c>
      <c r="E892" s="2" t="s">
        <v>35</v>
      </c>
      <c r="F892" s="2" t="s">
        <v>36</v>
      </c>
      <c r="G892" s="2" t="s">
        <v>37</v>
      </c>
      <c r="H892" s="2" t="s">
        <v>4500</v>
      </c>
      <c r="I892" s="3" t="s">
        <v>1130</v>
      </c>
      <c r="J892" s="2" t="s">
        <v>4885</v>
      </c>
      <c r="K892" s="2" t="s">
        <v>4886</v>
      </c>
      <c r="L892" s="4" t="n">
        <v>85</v>
      </c>
      <c r="M892" s="4" t="s">
        <v>42</v>
      </c>
      <c r="N892" s="5" t="n">
        <v>85</v>
      </c>
      <c r="O892" s="6" t="n">
        <v>99</v>
      </c>
      <c r="P892" s="6" t="s">
        <v>54</v>
      </c>
      <c r="Q892" s="7" t="n">
        <v>99</v>
      </c>
      <c r="R892" s="8" t="n">
        <v>92</v>
      </c>
      <c r="S892" s="8" t="s">
        <v>54</v>
      </c>
      <c r="T892" s="9" t="n">
        <v>92</v>
      </c>
      <c r="U892" s="10" t="n">
        <v>83</v>
      </c>
      <c r="V892" s="10" t="s">
        <v>42</v>
      </c>
      <c r="W892" s="11" t="n">
        <v>83</v>
      </c>
      <c r="X892" s="12" t="n">
        <v>99</v>
      </c>
      <c r="Y892" s="12" t="s">
        <v>54</v>
      </c>
      <c r="Z892" s="13" t="n">
        <v>99</v>
      </c>
      <c r="AA892" s="14" t="n">
        <v>51</v>
      </c>
      <c r="AB892" s="14" t="s">
        <v>53</v>
      </c>
      <c r="AC892" s="15" t="n">
        <v>51</v>
      </c>
      <c r="AD892" s="2" t="n">
        <f aca="false">SUM(L892,O892,R892,U892,X892,AA892)</f>
        <v>509</v>
      </c>
      <c r="AE892" s="16" t="n">
        <f aca="false">AD892/6</f>
        <v>84.8333333333333</v>
      </c>
      <c r="AF892" s="2" t="str">
        <f aca="false">IF(SUM(COUNTIF(M892,"RA"),COUNTIF(P892,"RA"),COUNTIF(S892,"RA"),COUNTIF(V892,"RA"),COUNTIF(Y892,"RA"),COUNTIF(AB892,"RA"))&gt;0,"FAIL","PASS")</f>
        <v>PASS</v>
      </c>
    </row>
    <row r="893" customFormat="false" ht="15" hidden="false" customHeight="false" outlineLevel="0" collapsed="false">
      <c r="A893" s="2" t="n">
        <v>892</v>
      </c>
      <c r="B893" s="3" t="s">
        <v>4887</v>
      </c>
      <c r="C893" s="2" t="s">
        <v>816</v>
      </c>
      <c r="D893" s="2" t="s">
        <v>4888</v>
      </c>
      <c r="E893" s="2" t="s">
        <v>57</v>
      </c>
      <c r="F893" s="2" t="s">
        <v>36</v>
      </c>
      <c r="G893" s="2" t="s">
        <v>42</v>
      </c>
      <c r="H893" s="2" t="s">
        <v>4889</v>
      </c>
      <c r="I893" s="3" t="s">
        <v>4507</v>
      </c>
      <c r="J893" s="2" t="s">
        <v>4890</v>
      </c>
      <c r="K893" s="2" t="s">
        <v>4891</v>
      </c>
      <c r="L893" s="4" t="n">
        <v>54</v>
      </c>
      <c r="M893" s="4" t="s">
        <v>53</v>
      </c>
      <c r="N893" s="5" t="n">
        <v>54</v>
      </c>
      <c r="O893" s="6" t="n">
        <v>91</v>
      </c>
      <c r="P893" s="6" t="s">
        <v>54</v>
      </c>
      <c r="Q893" s="7" t="n">
        <v>91</v>
      </c>
      <c r="R893" s="8" t="n">
        <v>70</v>
      </c>
      <c r="S893" s="8" t="s">
        <v>43</v>
      </c>
      <c r="T893" s="9" t="n">
        <v>70</v>
      </c>
      <c r="U893" s="10" t="n">
        <v>77</v>
      </c>
      <c r="V893" s="10" t="s">
        <v>43</v>
      </c>
      <c r="W893" s="11" t="n">
        <v>77</v>
      </c>
      <c r="X893" s="12" t="n">
        <v>79</v>
      </c>
      <c r="Y893" s="12" t="s">
        <v>43</v>
      </c>
      <c r="Z893" s="13" t="n">
        <v>79</v>
      </c>
      <c r="AA893" s="14" t="n">
        <v>86</v>
      </c>
      <c r="AB893" s="14" t="s">
        <v>42</v>
      </c>
      <c r="AC893" s="15" t="n">
        <v>86</v>
      </c>
      <c r="AD893" s="2" t="n">
        <f aca="false">SUM(L893,O893,R893,U893,X893,AA893)</f>
        <v>457</v>
      </c>
      <c r="AE893" s="16" t="n">
        <f aca="false">AD893/6</f>
        <v>76.1666666666667</v>
      </c>
      <c r="AF893" s="2" t="str">
        <f aca="false">IF(SUM(COUNTIF(M893,"RA"),COUNTIF(P893,"RA"),COUNTIF(S893,"RA"),COUNTIF(V893,"RA"),COUNTIF(Y893,"RA"),COUNTIF(AB893,"RA"))&gt;0,"FAIL","PASS")</f>
        <v>PASS</v>
      </c>
    </row>
    <row r="894" customFormat="false" ht="15" hidden="false" customHeight="false" outlineLevel="0" collapsed="false">
      <c r="A894" s="2" t="n">
        <v>893</v>
      </c>
      <c r="B894" s="3" t="s">
        <v>4892</v>
      </c>
      <c r="C894" s="2" t="s">
        <v>816</v>
      </c>
      <c r="D894" s="2" t="s">
        <v>4893</v>
      </c>
      <c r="E894" s="2" t="s">
        <v>57</v>
      </c>
      <c r="F894" s="2" t="s">
        <v>36</v>
      </c>
      <c r="G894" s="2" t="s">
        <v>78</v>
      </c>
      <c r="H894" s="2" t="s">
        <v>4894</v>
      </c>
      <c r="I894" s="3" t="s">
        <v>1278</v>
      </c>
      <c r="J894" s="2" t="s">
        <v>4895</v>
      </c>
      <c r="K894" s="2" t="s">
        <v>4896</v>
      </c>
      <c r="L894" s="4" t="n">
        <v>95</v>
      </c>
      <c r="M894" s="4" t="s">
        <v>54</v>
      </c>
      <c r="N894" s="5" t="n">
        <v>95</v>
      </c>
      <c r="O894" s="6" t="n">
        <v>66</v>
      </c>
      <c r="P894" s="6" t="s">
        <v>44</v>
      </c>
      <c r="Q894" s="7" t="n">
        <v>66</v>
      </c>
      <c r="R894" s="8" t="n">
        <v>80</v>
      </c>
      <c r="S894" s="8" t="s">
        <v>42</v>
      </c>
      <c r="T894" s="9" t="n">
        <v>80</v>
      </c>
      <c r="U894" s="10" t="n">
        <v>69</v>
      </c>
      <c r="V894" s="10" t="s">
        <v>44</v>
      </c>
      <c r="W894" s="11" t="n">
        <v>69</v>
      </c>
      <c r="X894" s="12" t="n">
        <v>40</v>
      </c>
      <c r="Y894" s="12" t="s">
        <v>45</v>
      </c>
      <c r="Z894" s="13" t="n">
        <v>40</v>
      </c>
      <c r="AA894" s="14" t="n">
        <v>78</v>
      </c>
      <c r="AB894" s="14" t="s">
        <v>43</v>
      </c>
      <c r="AC894" s="15" t="n">
        <v>78</v>
      </c>
      <c r="AD894" s="2" t="n">
        <f aca="false">SUM(L894,O894,R894,U894,X894,AA894)</f>
        <v>428</v>
      </c>
      <c r="AE894" s="16" t="n">
        <f aca="false">AD894/6</f>
        <v>71.3333333333333</v>
      </c>
      <c r="AF894" s="2" t="str">
        <f aca="false">IF(SUM(COUNTIF(M894,"RA"),COUNTIF(P894,"RA"),COUNTIF(S894,"RA"),COUNTIF(V894,"RA"),COUNTIF(Y894,"RA"),COUNTIF(AB894,"RA"))&gt;0,"FAIL","PASS")</f>
        <v>FAIL</v>
      </c>
    </row>
    <row r="895" customFormat="false" ht="15" hidden="false" customHeight="false" outlineLevel="0" collapsed="false">
      <c r="A895" s="2" t="n">
        <v>894</v>
      </c>
      <c r="B895" s="3" t="s">
        <v>4897</v>
      </c>
      <c r="C895" s="2" t="s">
        <v>841</v>
      </c>
      <c r="D895" s="2" t="s">
        <v>4898</v>
      </c>
      <c r="E895" s="2" t="s">
        <v>35</v>
      </c>
      <c r="F895" s="2" t="s">
        <v>36</v>
      </c>
      <c r="G895" s="2" t="s">
        <v>64</v>
      </c>
      <c r="H895" s="2" t="s">
        <v>4899</v>
      </c>
      <c r="I895" s="3" t="s">
        <v>4900</v>
      </c>
      <c r="J895" s="2" t="s">
        <v>4901</v>
      </c>
      <c r="K895" s="2" t="s">
        <v>4902</v>
      </c>
      <c r="L895" s="4" t="n">
        <v>73</v>
      </c>
      <c r="M895" s="4" t="s">
        <v>43</v>
      </c>
      <c r="N895" s="5" t="n">
        <v>73</v>
      </c>
      <c r="O895" s="6" t="n">
        <v>85</v>
      </c>
      <c r="P895" s="6" t="s">
        <v>42</v>
      </c>
      <c r="Q895" s="7" t="n">
        <v>85</v>
      </c>
      <c r="R895" s="8" t="n">
        <v>63</v>
      </c>
      <c r="S895" s="8" t="s">
        <v>44</v>
      </c>
      <c r="T895" s="9" t="n">
        <v>63</v>
      </c>
      <c r="U895" s="10" t="n">
        <v>73</v>
      </c>
      <c r="V895" s="10" t="s">
        <v>43</v>
      </c>
      <c r="W895" s="11" t="n">
        <v>73</v>
      </c>
      <c r="X895" s="12" t="n">
        <v>96</v>
      </c>
      <c r="Y895" s="12" t="s">
        <v>54</v>
      </c>
      <c r="Z895" s="13" t="n">
        <v>96</v>
      </c>
      <c r="AA895" s="14" t="n">
        <v>96</v>
      </c>
      <c r="AB895" s="14" t="s">
        <v>54</v>
      </c>
      <c r="AC895" s="15" t="n">
        <v>96</v>
      </c>
      <c r="AD895" s="2" t="n">
        <f aca="false">SUM(L895,O895,R895,U895,X895,AA895)</f>
        <v>486</v>
      </c>
      <c r="AE895" s="16" t="n">
        <f aca="false">AD895/6</f>
        <v>81</v>
      </c>
      <c r="AF895" s="2" t="str">
        <f aca="false">IF(SUM(COUNTIF(M895,"RA"),COUNTIF(P895,"RA"),COUNTIF(S895,"RA"),COUNTIF(V895,"RA"),COUNTIF(Y895,"RA"),COUNTIF(AB895,"RA"))&gt;0,"FAIL","PASS")</f>
        <v>PASS</v>
      </c>
    </row>
    <row r="896" customFormat="false" ht="15" hidden="false" customHeight="false" outlineLevel="0" collapsed="false">
      <c r="A896" s="2" t="n">
        <v>895</v>
      </c>
      <c r="B896" s="3" t="s">
        <v>4903</v>
      </c>
      <c r="C896" s="2" t="s">
        <v>816</v>
      </c>
      <c r="D896" s="2" t="s">
        <v>4904</v>
      </c>
      <c r="E896" s="2" t="s">
        <v>35</v>
      </c>
      <c r="F896" s="2" t="s">
        <v>36</v>
      </c>
      <c r="G896" s="2" t="s">
        <v>71</v>
      </c>
      <c r="H896" s="2" t="s">
        <v>2655</v>
      </c>
      <c r="I896" s="3" t="s">
        <v>4905</v>
      </c>
      <c r="J896" s="2" t="s">
        <v>4906</v>
      </c>
      <c r="K896" s="2" t="s">
        <v>4907</v>
      </c>
      <c r="L896" s="4" t="n">
        <v>82</v>
      </c>
      <c r="M896" s="4" t="s">
        <v>42</v>
      </c>
      <c r="N896" s="5" t="n">
        <v>82</v>
      </c>
      <c r="O896" s="6" t="n">
        <v>97</v>
      </c>
      <c r="P896" s="6" t="s">
        <v>54</v>
      </c>
      <c r="Q896" s="7" t="n">
        <v>97</v>
      </c>
      <c r="R896" s="8" t="n">
        <v>53</v>
      </c>
      <c r="S896" s="8" t="s">
        <v>53</v>
      </c>
      <c r="T896" s="9" t="n">
        <v>53</v>
      </c>
      <c r="U896" s="10" t="n">
        <v>99</v>
      </c>
      <c r="V896" s="10" t="s">
        <v>54</v>
      </c>
      <c r="W896" s="11" t="n">
        <v>99</v>
      </c>
      <c r="X896" s="12" t="n">
        <v>67</v>
      </c>
      <c r="Y896" s="12" t="s">
        <v>44</v>
      </c>
      <c r="Z896" s="13" t="n">
        <v>67</v>
      </c>
      <c r="AA896" s="14" t="n">
        <v>45</v>
      </c>
      <c r="AB896" s="14" t="s">
        <v>45</v>
      </c>
      <c r="AC896" s="15" t="n">
        <v>45</v>
      </c>
      <c r="AD896" s="2" t="n">
        <f aca="false">SUM(L896,O896,R896,U896,X896,AA896)</f>
        <v>443</v>
      </c>
      <c r="AE896" s="16" t="n">
        <f aca="false">AD896/6</f>
        <v>73.8333333333333</v>
      </c>
      <c r="AF896" s="2" t="str">
        <f aca="false">IF(SUM(COUNTIF(M896,"RA"),COUNTIF(P896,"RA"),COUNTIF(S896,"RA"),COUNTIF(V896,"RA"),COUNTIF(Y896,"RA"),COUNTIF(AB896,"RA"))&gt;0,"FAIL","PASS")</f>
        <v>FAIL</v>
      </c>
    </row>
    <row r="897" customFormat="false" ht="15" hidden="false" customHeight="false" outlineLevel="0" collapsed="false">
      <c r="A897" s="2" t="n">
        <v>896</v>
      </c>
      <c r="B897" s="3" t="s">
        <v>4908</v>
      </c>
      <c r="C897" s="2" t="s">
        <v>816</v>
      </c>
      <c r="D897" s="2" t="s">
        <v>4909</v>
      </c>
      <c r="E897" s="2" t="s">
        <v>57</v>
      </c>
      <c r="F897" s="2" t="s">
        <v>36</v>
      </c>
      <c r="G897" s="2" t="s">
        <v>44</v>
      </c>
      <c r="H897" s="2" t="s">
        <v>4910</v>
      </c>
      <c r="I897" s="3" t="s">
        <v>1922</v>
      </c>
      <c r="J897" s="2" t="s">
        <v>4911</v>
      </c>
      <c r="K897" s="2" t="s">
        <v>4912</v>
      </c>
      <c r="L897" s="4" t="n">
        <v>95</v>
      </c>
      <c r="M897" s="4" t="s">
        <v>54</v>
      </c>
      <c r="N897" s="5" t="n">
        <v>95</v>
      </c>
      <c r="O897" s="6" t="n">
        <v>69</v>
      </c>
      <c r="P897" s="6" t="s">
        <v>44</v>
      </c>
      <c r="Q897" s="7" t="n">
        <v>69</v>
      </c>
      <c r="R897" s="8" t="n">
        <v>41</v>
      </c>
      <c r="S897" s="8" t="s">
        <v>45</v>
      </c>
      <c r="T897" s="9" t="n">
        <v>41</v>
      </c>
      <c r="U897" s="10" t="n">
        <v>79</v>
      </c>
      <c r="V897" s="10" t="s">
        <v>43</v>
      </c>
      <c r="W897" s="11" t="n">
        <v>79</v>
      </c>
      <c r="X897" s="12" t="n">
        <v>89</v>
      </c>
      <c r="Y897" s="12" t="s">
        <v>42</v>
      </c>
      <c r="Z897" s="13" t="n">
        <v>89</v>
      </c>
      <c r="AA897" s="14" t="n">
        <v>100</v>
      </c>
      <c r="AB897" s="14" t="s">
        <v>54</v>
      </c>
      <c r="AC897" s="15" t="n">
        <v>100</v>
      </c>
      <c r="AD897" s="2" t="n">
        <f aca="false">SUM(L897,O897,R897,U897,X897,AA897)</f>
        <v>473</v>
      </c>
      <c r="AE897" s="16" t="n">
        <f aca="false">AD897/6</f>
        <v>78.8333333333333</v>
      </c>
      <c r="AF897" s="2" t="str">
        <f aca="false">IF(SUM(COUNTIF(M897,"RA"),COUNTIF(P897,"RA"),COUNTIF(S897,"RA"),COUNTIF(V897,"RA"),COUNTIF(Y897,"RA"),COUNTIF(AB897,"RA"))&gt;0,"FAIL","PASS")</f>
        <v>FAIL</v>
      </c>
    </row>
    <row r="899" customFormat="false" ht="15" hidden="false" customHeight="false" outlineLevel="0" collapsed="false">
      <c r="A899" s="17" t="s">
        <v>4913</v>
      </c>
    </row>
  </sheetData>
  <autoFilter ref="A1:AF897"/>
  <conditionalFormatting sqref="AF2:AF897">
    <cfRule type="cellIs" priority="2" operator="equal" aboveAverage="0" equalAverage="0" bottom="0" percent="0" rank="0" text="" dxfId="13">
      <formula>"FAIL"</formula>
    </cfRule>
    <cfRule type="cellIs" priority="3" operator="equal" aboveAverage="0" equalAverage="0" bottom="0" percent="0" rank="0" text="" dxfId="14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8" t="s">
        <v>4914</v>
      </c>
      <c r="B1" s="18"/>
      <c r="C1" s="18"/>
      <c r="D1" s="18"/>
    </row>
    <row r="3" customFormat="false" ht="15" hidden="false" customHeight="false" outlineLevel="0" collapsed="false">
      <c r="A3" s="19" t="s">
        <v>4915</v>
      </c>
      <c r="B3" s="20" t="n">
        <f aca="false">COUNTA(Master!A2:A897)</f>
        <v>896</v>
      </c>
    </row>
    <row r="4" customFormat="false" ht="15" hidden="false" customHeight="false" outlineLevel="0" collapsed="false">
      <c r="A4" s="19" t="s">
        <v>4916</v>
      </c>
      <c r="B4" s="20" t="n">
        <f aca="false">COUNTIF(Master!E2:E897,"Hosteller")</f>
        <v>433</v>
      </c>
    </row>
    <row r="5" customFormat="false" ht="15" hidden="false" customHeight="false" outlineLevel="0" collapsed="false">
      <c r="A5" s="19" t="s">
        <v>4917</v>
      </c>
      <c r="B5" s="20" t="n">
        <f aca="false">COUNTIF(Master!E2:E897,"Dayscholar")</f>
        <v>463</v>
      </c>
    </row>
    <row r="6" customFormat="false" ht="15" hidden="false" customHeight="false" outlineLevel="0" collapsed="false">
      <c r="A6" s="19" t="s">
        <v>4918</v>
      </c>
      <c r="B6" s="20" t="n">
        <f aca="false">COUNTIF(Master!AF2:AF897,"PASS")</f>
        <v>557</v>
      </c>
    </row>
    <row r="7" customFormat="false" ht="15" hidden="false" customHeight="false" outlineLevel="0" collapsed="false">
      <c r="A7" s="19" t="s">
        <v>4919</v>
      </c>
      <c r="B7" s="20" t="n">
        <f aca="false">COUNTIF(Master!AF2:AF897,"FAIL")</f>
        <v>339</v>
      </c>
    </row>
    <row r="9" customFormat="false" ht="15" hidden="false" customHeight="false" outlineLevel="0" collapsed="false">
      <c r="A9" s="21" t="s">
        <v>4920</v>
      </c>
    </row>
    <row r="10" customFormat="false" ht="15" hidden="false" customHeight="false" outlineLevel="0" collapsed="false">
      <c r="A10" s="1" t="s">
        <v>4921</v>
      </c>
      <c r="B10" s="1" t="s">
        <v>4922</v>
      </c>
      <c r="C10" s="1" t="s">
        <v>4923</v>
      </c>
    </row>
    <row r="11" customFormat="false" ht="15" hidden="false" customHeight="false" outlineLevel="0" collapsed="false">
      <c r="A11" s="22" t="s">
        <v>4924</v>
      </c>
      <c r="B11" s="2" t="n">
        <f aca="false">ROUND(AVERAGE(Master!L2:L897),1)</f>
        <v>74.9</v>
      </c>
      <c r="C11" s="2" t="n">
        <f aca="false">ROUND((COUNTA(Master!M2:M897)-COUNTIF(Master!M2:M897,"RA"))/COUNTA(Master!M2:M897)*100,1)</f>
        <v>93.4</v>
      </c>
    </row>
    <row r="12" customFormat="false" ht="15" hidden="false" customHeight="false" outlineLevel="0" collapsed="false">
      <c r="A12" s="22" t="s">
        <v>4925</v>
      </c>
      <c r="B12" s="2" t="n">
        <f aca="false">ROUND(AVERAGE(Master!O2:O897),1)</f>
        <v>75.1</v>
      </c>
      <c r="C12" s="2" t="n">
        <f aca="false">ROUND((COUNTA(Master!P2:P897)-COUNTIF(Master!P2:P897,"RA"))/COUNTA(Master!P2:P897)*100,1)</f>
        <v>91</v>
      </c>
    </row>
    <row r="13" customFormat="false" ht="15" hidden="false" customHeight="false" outlineLevel="0" collapsed="false">
      <c r="A13" s="22" t="s">
        <v>4926</v>
      </c>
      <c r="B13" s="2" t="n">
        <f aca="false">ROUND(AVERAGE(Master!R2:R897),1)</f>
        <v>76</v>
      </c>
      <c r="C13" s="2" t="n">
        <f aca="false">ROUND((COUNTA(Master!S2:S897)-COUNTIF(Master!S2:S897,"RA"))/COUNTA(Master!S2:S897)*100,1)</f>
        <v>93.8</v>
      </c>
    </row>
    <row r="14" customFormat="false" ht="15" hidden="false" customHeight="false" outlineLevel="0" collapsed="false">
      <c r="A14" s="22" t="s">
        <v>4927</v>
      </c>
      <c r="B14" s="2" t="n">
        <f aca="false">ROUND(AVERAGE(Master!U2:U897),1)</f>
        <v>75</v>
      </c>
      <c r="C14" s="2" t="n">
        <f aca="false">ROUND((COUNTA(Master!V2:V897)-COUNTIF(Master!V2:V897,"RA"))/COUNTA(Master!V2:V897)*100,1)</f>
        <v>91.9</v>
      </c>
    </row>
    <row r="15" customFormat="false" ht="15" hidden="false" customHeight="false" outlineLevel="0" collapsed="false">
      <c r="A15" s="22" t="s">
        <v>4928</v>
      </c>
      <c r="B15" s="2" t="n">
        <f aca="false">ROUND(AVERAGE(Master!X2:X897),1)</f>
        <v>75.4</v>
      </c>
      <c r="C15" s="2" t="n">
        <f aca="false">ROUND((COUNTA(Master!Y2:Y897)-COUNTIF(Master!Y2:Y897,"RA"))/COUNTA(Master!Y2:Y897)*100,1)</f>
        <v>92.6</v>
      </c>
    </row>
    <row r="16" customFormat="false" ht="15" hidden="false" customHeight="false" outlineLevel="0" collapsed="false">
      <c r="A16" s="22" t="s">
        <v>4929</v>
      </c>
      <c r="B16" s="2" t="n">
        <f aca="false">ROUND(AVERAGE(Master!AA2:AA897),1)</f>
        <v>75</v>
      </c>
      <c r="C16" s="2" t="n">
        <f aca="false">ROUND((COUNTA(Master!AB2:AB897)-COUNTIF(Master!AB2:AB897,"RA"))/COUNTA(Master!AB2:AB897)*100,1)</f>
        <v>91.4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2026-07-22T10:30:26Z</dcterms:created>
  <dc:creator>openpyxl</dc:creator>
  <dc:description/>
  <dc:language>en-US</dc:language>
  <cp:lastModifiedBy/>
  <dcterms:modified xsi:type="dcterms:W3CDTF">2026-07-22T10:30:28Z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